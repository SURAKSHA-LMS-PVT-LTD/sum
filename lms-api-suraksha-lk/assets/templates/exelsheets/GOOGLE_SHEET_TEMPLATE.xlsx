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User\Desktop\New folder (4)\"/>
    </mc:Choice>
  </mc:AlternateContent>
  <xr:revisionPtr revIDLastSave="0" documentId="13_ncr:1_{FD306391-0F50-47ED-9251-4837DD4755A9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A" sheetId="11" r:id="rId1"/>
    <sheet name="B" sheetId="2" r:id="rId2"/>
    <sheet name="C" sheetId="10" r:id="rId3"/>
    <sheet name="D" sheetId="9" r:id="rId4"/>
    <sheet name="E" sheetId="8" r:id="rId5"/>
    <sheet name="F" sheetId="7" r:id="rId6"/>
    <sheet name="G" sheetId="6" r:id="rId7"/>
    <sheet name="H" sheetId="5" r:id="rId8"/>
    <sheet name="I" sheetId="4" r:id="rId9"/>
    <sheet name="J" sheetId="3" r:id="rId10"/>
    <sheet name="Summary" sheetId="12" r:id="rId11"/>
    <sheet name="Basket Summary" sheetId="15" r:id="rId12"/>
  </sheets>
  <definedNames>
    <definedName name="_xlnm.Print_Titles" localSheetId="11">'Basket Summary'!$6:$7</definedName>
    <definedName name="_xlnm.Print_Titles" localSheetId="10">Summary!$5:$5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0" i="15" l="1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Z102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P113" i="12"/>
  <c r="O113" i="12"/>
  <c r="N113" i="12"/>
  <c r="M113" i="12"/>
  <c r="L113" i="12"/>
  <c r="K113" i="12"/>
  <c r="J113" i="12"/>
  <c r="I113" i="12"/>
  <c r="H113" i="12"/>
  <c r="G113" i="12"/>
  <c r="F113" i="12"/>
  <c r="E113" i="12"/>
  <c r="P112" i="12"/>
  <c r="O112" i="12"/>
  <c r="N112" i="12"/>
  <c r="M112" i="12"/>
  <c r="L112" i="12"/>
  <c r="K112" i="12"/>
  <c r="J112" i="12"/>
  <c r="I112" i="12"/>
  <c r="H112" i="12"/>
  <c r="G112" i="12"/>
  <c r="F112" i="12"/>
  <c r="E112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P102" i="12"/>
  <c r="O102" i="12"/>
  <c r="N102" i="12"/>
  <c r="M102" i="12"/>
  <c r="L102" i="12"/>
  <c r="K102" i="12"/>
  <c r="J102" i="12"/>
  <c r="I102" i="12"/>
  <c r="H102" i="12"/>
  <c r="G102" i="12"/>
  <c r="F102" i="12"/>
  <c r="E102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P9" i="12"/>
  <c r="O9" i="12"/>
  <c r="N9" i="12"/>
  <c r="M9" i="12"/>
  <c r="L9" i="12"/>
  <c r="K9" i="12"/>
  <c r="J9" i="12"/>
  <c r="I9" i="12"/>
  <c r="H9" i="12"/>
  <c r="G9" i="12"/>
  <c r="F9" i="12"/>
  <c r="E9" i="12"/>
  <c r="P8" i="12"/>
  <c r="O8" i="12"/>
  <c r="N8" i="12"/>
  <c r="M8" i="12"/>
  <c r="L8" i="12"/>
  <c r="K8" i="12"/>
  <c r="J8" i="12"/>
  <c r="I8" i="12"/>
  <c r="H8" i="12"/>
  <c r="G8" i="12"/>
  <c r="F8" i="12"/>
  <c r="E8" i="12"/>
  <c r="P7" i="12"/>
  <c r="O7" i="12"/>
  <c r="N7" i="12"/>
  <c r="M7" i="12"/>
  <c r="L7" i="12"/>
  <c r="K7" i="12"/>
  <c r="J7" i="12"/>
  <c r="I7" i="12"/>
  <c r="H7" i="12"/>
  <c r="G7" i="12"/>
  <c r="F7" i="12"/>
  <c r="E7" i="12"/>
  <c r="P6" i="12"/>
  <c r="O6" i="12"/>
  <c r="N6" i="12"/>
  <c r="M6" i="12"/>
  <c r="L6" i="12"/>
  <c r="K6" i="12"/>
  <c r="J6" i="12"/>
  <c r="I6" i="12"/>
  <c r="H6" i="12"/>
  <c r="G6" i="12"/>
  <c r="F6" i="12"/>
  <c r="E6" i="12"/>
  <c r="V77" i="3"/>
  <c r="S77" i="3"/>
  <c r="P77" i="3"/>
  <c r="N77" i="3"/>
  <c r="L77" i="3"/>
  <c r="J77" i="3"/>
  <c r="H77" i="3"/>
  <c r="F77" i="3"/>
  <c r="D77" i="3"/>
  <c r="V76" i="3"/>
  <c r="S76" i="3"/>
  <c r="P76" i="3"/>
  <c r="N76" i="3"/>
  <c r="L76" i="3"/>
  <c r="J76" i="3"/>
  <c r="H76" i="3"/>
  <c r="F76" i="3"/>
  <c r="D76" i="3"/>
  <c r="V75" i="3"/>
  <c r="S75" i="3"/>
  <c r="P75" i="3"/>
  <c r="N75" i="3"/>
  <c r="L75" i="3"/>
  <c r="J75" i="3"/>
  <c r="H75" i="3"/>
  <c r="F75" i="3"/>
  <c r="D75" i="3"/>
  <c r="V74" i="3"/>
  <c r="S74" i="3"/>
  <c r="P74" i="3"/>
  <c r="N74" i="3"/>
  <c r="L74" i="3"/>
  <c r="J74" i="3"/>
  <c r="H74" i="3"/>
  <c r="F74" i="3"/>
  <c r="D74" i="3"/>
  <c r="W72" i="3"/>
  <c r="T72" i="3"/>
  <c r="Q72" i="3"/>
  <c r="O72" i="3"/>
  <c r="M72" i="3"/>
  <c r="K72" i="3"/>
  <c r="I72" i="3"/>
  <c r="G72" i="3"/>
  <c r="E72" i="3"/>
  <c r="AD71" i="3"/>
  <c r="W71" i="3"/>
  <c r="T71" i="3"/>
  <c r="Q71" i="3"/>
  <c r="O71" i="3"/>
  <c r="M71" i="3"/>
  <c r="K71" i="3"/>
  <c r="I71" i="3"/>
  <c r="G71" i="3"/>
  <c r="E71" i="3"/>
  <c r="AE70" i="3"/>
  <c r="AC70" i="3"/>
  <c r="W70" i="3"/>
  <c r="T70" i="3"/>
  <c r="Q70" i="3"/>
  <c r="O70" i="3"/>
  <c r="M70" i="3"/>
  <c r="K70" i="3"/>
  <c r="I70" i="3"/>
  <c r="G70" i="3"/>
  <c r="E70" i="3"/>
  <c r="AE69" i="3"/>
  <c r="AB69" i="3"/>
  <c r="W69" i="3"/>
  <c r="T69" i="3"/>
  <c r="Q69" i="3"/>
  <c r="O69" i="3"/>
  <c r="M69" i="3"/>
  <c r="K69" i="3"/>
  <c r="I69" i="3"/>
  <c r="G69" i="3"/>
  <c r="E69" i="3"/>
  <c r="AE68" i="3"/>
  <c r="AA68" i="3"/>
  <c r="W68" i="3"/>
  <c r="T68" i="3"/>
  <c r="Q68" i="3"/>
  <c r="O68" i="3"/>
  <c r="M68" i="3"/>
  <c r="K68" i="3"/>
  <c r="I68" i="3"/>
  <c r="G68" i="3"/>
  <c r="E68" i="3"/>
  <c r="AE67" i="3"/>
  <c r="Z67" i="3"/>
  <c r="W67" i="3"/>
  <c r="T67" i="3"/>
  <c r="Q67" i="3"/>
  <c r="O67" i="3"/>
  <c r="M67" i="3"/>
  <c r="K67" i="3"/>
  <c r="I67" i="3"/>
  <c r="G67" i="3"/>
  <c r="E67" i="3"/>
  <c r="AE66" i="3"/>
  <c r="Y66" i="3"/>
  <c r="W66" i="3"/>
  <c r="T66" i="3"/>
  <c r="Q66" i="3"/>
  <c r="O66" i="3"/>
  <c r="M66" i="3"/>
  <c r="K66" i="3"/>
  <c r="I66" i="3"/>
  <c r="G66" i="3"/>
  <c r="E66" i="3"/>
  <c r="AE65" i="3"/>
  <c r="AD65" i="3"/>
  <c r="AE64" i="3"/>
  <c r="AD64" i="3"/>
  <c r="V64" i="3"/>
  <c r="S64" i="3"/>
  <c r="P64" i="3"/>
  <c r="N64" i="3"/>
  <c r="L64" i="3"/>
  <c r="J64" i="3"/>
  <c r="H64" i="3"/>
  <c r="F64" i="3"/>
  <c r="D64" i="3"/>
  <c r="AE63" i="3"/>
  <c r="AD63" i="3"/>
  <c r="V63" i="3"/>
  <c r="S63" i="3"/>
  <c r="P63" i="3"/>
  <c r="N63" i="3"/>
  <c r="L63" i="3"/>
  <c r="J63" i="3"/>
  <c r="H63" i="3"/>
  <c r="F63" i="3"/>
  <c r="D63" i="3"/>
  <c r="AH62" i="3"/>
  <c r="AG62" i="3"/>
  <c r="AF62" i="3"/>
  <c r="AE62" i="3"/>
  <c r="AD62" i="3"/>
  <c r="AC62" i="3"/>
  <c r="AB62" i="3"/>
  <c r="AA62" i="3"/>
  <c r="Z62" i="3"/>
  <c r="Y62" i="3"/>
  <c r="W62" i="3"/>
  <c r="T62" i="3"/>
  <c r="Q62" i="3"/>
  <c r="O62" i="3"/>
  <c r="M62" i="3"/>
  <c r="K62" i="3"/>
  <c r="I62" i="3"/>
  <c r="G62" i="3"/>
  <c r="E62" i="3"/>
  <c r="AH61" i="3"/>
  <c r="AG61" i="3"/>
  <c r="AF61" i="3"/>
  <c r="AE61" i="3"/>
  <c r="AD61" i="3"/>
  <c r="AC61" i="3"/>
  <c r="AB61" i="3"/>
  <c r="AA61" i="3"/>
  <c r="Z61" i="3"/>
  <c r="Y61" i="3"/>
  <c r="W61" i="3"/>
  <c r="T61" i="3"/>
  <c r="Q61" i="3"/>
  <c r="O61" i="3"/>
  <c r="M61" i="3"/>
  <c r="K61" i="3"/>
  <c r="I61" i="3"/>
  <c r="G61" i="3"/>
  <c r="E61" i="3"/>
  <c r="AH60" i="3"/>
  <c r="AG60" i="3"/>
  <c r="AF60" i="3"/>
  <c r="AE60" i="3"/>
  <c r="AD60" i="3"/>
  <c r="AC60" i="3"/>
  <c r="AB60" i="3"/>
  <c r="AA60" i="3"/>
  <c r="Z60" i="3"/>
  <c r="Y60" i="3"/>
  <c r="W60" i="3"/>
  <c r="T60" i="3"/>
  <c r="Q60" i="3"/>
  <c r="O60" i="3"/>
  <c r="M60" i="3"/>
  <c r="K60" i="3"/>
  <c r="I60" i="3"/>
  <c r="G60" i="3"/>
  <c r="E60" i="3"/>
  <c r="AH59" i="3"/>
  <c r="AG59" i="3"/>
  <c r="AF59" i="3"/>
  <c r="AE59" i="3"/>
  <c r="AD59" i="3"/>
  <c r="AC59" i="3"/>
  <c r="AB59" i="3"/>
  <c r="AA59" i="3"/>
  <c r="Z59" i="3"/>
  <c r="Y59" i="3"/>
  <c r="W59" i="3"/>
  <c r="T59" i="3"/>
  <c r="Q59" i="3"/>
  <c r="O59" i="3"/>
  <c r="M59" i="3"/>
  <c r="K59" i="3"/>
  <c r="I59" i="3"/>
  <c r="G59" i="3"/>
  <c r="E59" i="3"/>
  <c r="AH58" i="3"/>
  <c r="AG58" i="3"/>
  <c r="AF58" i="3"/>
  <c r="AE58" i="3"/>
  <c r="AD58" i="3"/>
  <c r="AC58" i="3"/>
  <c r="AB58" i="3"/>
  <c r="AA58" i="3"/>
  <c r="Z58" i="3"/>
  <c r="Y58" i="3"/>
  <c r="W58" i="3"/>
  <c r="T58" i="3"/>
  <c r="Q58" i="3"/>
  <c r="O58" i="3"/>
  <c r="M58" i="3"/>
  <c r="K58" i="3"/>
  <c r="I58" i="3"/>
  <c r="G58" i="3"/>
  <c r="E58" i="3"/>
  <c r="AH57" i="3"/>
  <c r="AG57" i="3"/>
  <c r="AF57" i="3"/>
  <c r="AE57" i="3"/>
  <c r="AD57" i="3"/>
  <c r="AC57" i="3"/>
  <c r="AB57" i="3"/>
  <c r="AA57" i="3"/>
  <c r="Z57" i="3"/>
  <c r="Y57" i="3"/>
  <c r="W57" i="3"/>
  <c r="T57" i="3"/>
  <c r="Q57" i="3"/>
  <c r="O57" i="3"/>
  <c r="M57" i="3"/>
  <c r="K57" i="3"/>
  <c r="I57" i="3"/>
  <c r="G57" i="3"/>
  <c r="E57" i="3"/>
  <c r="AH56" i="3"/>
  <c r="AG56" i="3"/>
  <c r="AF56" i="3"/>
  <c r="AE56" i="3"/>
  <c r="AD56" i="3"/>
  <c r="AC56" i="3"/>
  <c r="AB56" i="3"/>
  <c r="AA56" i="3"/>
  <c r="Z56" i="3"/>
  <c r="Y56" i="3"/>
  <c r="W56" i="3"/>
  <c r="T56" i="3"/>
  <c r="Q56" i="3"/>
  <c r="O56" i="3"/>
  <c r="M56" i="3"/>
  <c r="K56" i="3"/>
  <c r="I56" i="3"/>
  <c r="G56" i="3"/>
  <c r="E56" i="3"/>
  <c r="AH55" i="3"/>
  <c r="AG55" i="3"/>
  <c r="AF55" i="3"/>
  <c r="AE55" i="3"/>
  <c r="AD55" i="3"/>
  <c r="AC55" i="3"/>
  <c r="AB55" i="3"/>
  <c r="AA55" i="3"/>
  <c r="Z55" i="3"/>
  <c r="Y55" i="3"/>
  <c r="W55" i="3"/>
  <c r="T55" i="3"/>
  <c r="Q55" i="3"/>
  <c r="O55" i="3"/>
  <c r="M55" i="3"/>
  <c r="K55" i="3"/>
  <c r="I55" i="3"/>
  <c r="G55" i="3"/>
  <c r="E55" i="3"/>
  <c r="AH54" i="3"/>
  <c r="AG54" i="3"/>
  <c r="AF54" i="3"/>
  <c r="AE54" i="3"/>
  <c r="AD54" i="3"/>
  <c r="AC54" i="3"/>
  <c r="AB54" i="3"/>
  <c r="AA54" i="3"/>
  <c r="Z54" i="3"/>
  <c r="Y54" i="3"/>
  <c r="W54" i="3"/>
  <c r="T54" i="3"/>
  <c r="Q54" i="3"/>
  <c r="O54" i="3"/>
  <c r="M54" i="3"/>
  <c r="K54" i="3"/>
  <c r="I54" i="3"/>
  <c r="G54" i="3"/>
  <c r="E54" i="3"/>
  <c r="AH53" i="3"/>
  <c r="AG53" i="3"/>
  <c r="AF53" i="3"/>
  <c r="AE53" i="3"/>
  <c r="AD53" i="3"/>
  <c r="AC53" i="3"/>
  <c r="AB53" i="3"/>
  <c r="AA53" i="3"/>
  <c r="Z53" i="3"/>
  <c r="Y53" i="3"/>
  <c r="W53" i="3"/>
  <c r="T53" i="3"/>
  <c r="Q53" i="3"/>
  <c r="O53" i="3"/>
  <c r="M53" i="3"/>
  <c r="K53" i="3"/>
  <c r="I53" i="3"/>
  <c r="G53" i="3"/>
  <c r="E53" i="3"/>
  <c r="AH52" i="3"/>
  <c r="AG52" i="3"/>
  <c r="AF52" i="3"/>
  <c r="AE52" i="3"/>
  <c r="AD52" i="3"/>
  <c r="AC52" i="3"/>
  <c r="AB52" i="3"/>
  <c r="AA52" i="3"/>
  <c r="Z52" i="3"/>
  <c r="Y52" i="3"/>
  <c r="W52" i="3"/>
  <c r="T52" i="3"/>
  <c r="Q52" i="3"/>
  <c r="O52" i="3"/>
  <c r="M52" i="3"/>
  <c r="K52" i="3"/>
  <c r="I52" i="3"/>
  <c r="G52" i="3"/>
  <c r="E52" i="3"/>
  <c r="AH51" i="3"/>
  <c r="AG51" i="3"/>
  <c r="AF51" i="3"/>
  <c r="AE51" i="3"/>
  <c r="AD51" i="3"/>
  <c r="AC51" i="3"/>
  <c r="AB51" i="3"/>
  <c r="AA51" i="3"/>
  <c r="Z51" i="3"/>
  <c r="Y51" i="3"/>
  <c r="W51" i="3"/>
  <c r="T51" i="3"/>
  <c r="Q51" i="3"/>
  <c r="O51" i="3"/>
  <c r="M51" i="3"/>
  <c r="K51" i="3"/>
  <c r="I51" i="3"/>
  <c r="G51" i="3"/>
  <c r="E51" i="3"/>
  <c r="AH50" i="3"/>
  <c r="AG50" i="3"/>
  <c r="AF50" i="3"/>
  <c r="AE50" i="3"/>
  <c r="AD50" i="3"/>
  <c r="AC50" i="3"/>
  <c r="AB50" i="3"/>
  <c r="AA50" i="3"/>
  <c r="Z50" i="3"/>
  <c r="Y50" i="3"/>
  <c r="W50" i="3"/>
  <c r="T50" i="3"/>
  <c r="Q50" i="3"/>
  <c r="O50" i="3"/>
  <c r="M50" i="3"/>
  <c r="K50" i="3"/>
  <c r="I50" i="3"/>
  <c r="G50" i="3"/>
  <c r="E50" i="3"/>
  <c r="AH49" i="3"/>
  <c r="AG49" i="3"/>
  <c r="AF49" i="3"/>
  <c r="AE49" i="3"/>
  <c r="AD49" i="3"/>
  <c r="AC49" i="3"/>
  <c r="AB49" i="3"/>
  <c r="AA49" i="3"/>
  <c r="Z49" i="3"/>
  <c r="Y49" i="3"/>
  <c r="W49" i="3"/>
  <c r="T49" i="3"/>
  <c r="Q49" i="3"/>
  <c r="O49" i="3"/>
  <c r="M49" i="3"/>
  <c r="K49" i="3"/>
  <c r="I49" i="3"/>
  <c r="G49" i="3"/>
  <c r="E49" i="3"/>
  <c r="AH48" i="3"/>
  <c r="AG48" i="3"/>
  <c r="AF48" i="3"/>
  <c r="AE48" i="3"/>
  <c r="AD48" i="3"/>
  <c r="AC48" i="3"/>
  <c r="AB48" i="3"/>
  <c r="AA48" i="3"/>
  <c r="Z48" i="3"/>
  <c r="Y48" i="3"/>
  <c r="W48" i="3"/>
  <c r="T48" i="3"/>
  <c r="Q48" i="3"/>
  <c r="O48" i="3"/>
  <c r="M48" i="3"/>
  <c r="K48" i="3"/>
  <c r="I48" i="3"/>
  <c r="G48" i="3"/>
  <c r="E48" i="3"/>
  <c r="AH47" i="3"/>
  <c r="AG47" i="3"/>
  <c r="AF47" i="3"/>
  <c r="AE47" i="3"/>
  <c r="AD47" i="3"/>
  <c r="AC47" i="3"/>
  <c r="AB47" i="3"/>
  <c r="AA47" i="3"/>
  <c r="Z47" i="3"/>
  <c r="Y47" i="3"/>
  <c r="W47" i="3"/>
  <c r="T47" i="3"/>
  <c r="Q47" i="3"/>
  <c r="O47" i="3"/>
  <c r="M47" i="3"/>
  <c r="K47" i="3"/>
  <c r="I47" i="3"/>
  <c r="G47" i="3"/>
  <c r="E47" i="3"/>
  <c r="AH46" i="3"/>
  <c r="AG46" i="3"/>
  <c r="AF46" i="3"/>
  <c r="AE46" i="3"/>
  <c r="AD46" i="3"/>
  <c r="AC46" i="3"/>
  <c r="AB46" i="3"/>
  <c r="AA46" i="3"/>
  <c r="Z46" i="3"/>
  <c r="Y46" i="3"/>
  <c r="W46" i="3"/>
  <c r="T46" i="3"/>
  <c r="Q46" i="3"/>
  <c r="O46" i="3"/>
  <c r="M46" i="3"/>
  <c r="K46" i="3"/>
  <c r="I46" i="3"/>
  <c r="G46" i="3"/>
  <c r="E46" i="3"/>
  <c r="AH45" i="3"/>
  <c r="AG45" i="3"/>
  <c r="AF45" i="3"/>
  <c r="AE45" i="3"/>
  <c r="AD45" i="3"/>
  <c r="AC45" i="3"/>
  <c r="AB45" i="3"/>
  <c r="AA45" i="3"/>
  <c r="Z45" i="3"/>
  <c r="Y45" i="3"/>
  <c r="W45" i="3"/>
  <c r="T45" i="3"/>
  <c r="Q45" i="3"/>
  <c r="O45" i="3"/>
  <c r="M45" i="3"/>
  <c r="K45" i="3"/>
  <c r="I45" i="3"/>
  <c r="G45" i="3"/>
  <c r="E45" i="3"/>
  <c r="AH44" i="3"/>
  <c r="AG44" i="3"/>
  <c r="AF44" i="3"/>
  <c r="AE44" i="3"/>
  <c r="AD44" i="3"/>
  <c r="AC44" i="3"/>
  <c r="AB44" i="3"/>
  <c r="AA44" i="3"/>
  <c r="Z44" i="3"/>
  <c r="Y44" i="3"/>
  <c r="W44" i="3"/>
  <c r="T44" i="3"/>
  <c r="Q44" i="3"/>
  <c r="O44" i="3"/>
  <c r="M44" i="3"/>
  <c r="K44" i="3"/>
  <c r="I44" i="3"/>
  <c r="G44" i="3"/>
  <c r="E44" i="3"/>
  <c r="AH43" i="3"/>
  <c r="AG43" i="3"/>
  <c r="AF43" i="3"/>
  <c r="AE43" i="3"/>
  <c r="AD43" i="3"/>
  <c r="AC43" i="3"/>
  <c r="AB43" i="3"/>
  <c r="AA43" i="3"/>
  <c r="Z43" i="3"/>
  <c r="Y43" i="3"/>
  <c r="W43" i="3"/>
  <c r="T43" i="3"/>
  <c r="Q43" i="3"/>
  <c r="O43" i="3"/>
  <c r="M43" i="3"/>
  <c r="K43" i="3"/>
  <c r="I43" i="3"/>
  <c r="G43" i="3"/>
  <c r="E43" i="3"/>
  <c r="AH42" i="3"/>
  <c r="AG42" i="3"/>
  <c r="AF42" i="3"/>
  <c r="AE42" i="3"/>
  <c r="AD42" i="3"/>
  <c r="AC42" i="3"/>
  <c r="AB42" i="3"/>
  <c r="AA42" i="3"/>
  <c r="Z42" i="3"/>
  <c r="Y42" i="3"/>
  <c r="W42" i="3"/>
  <c r="T42" i="3"/>
  <c r="Q42" i="3"/>
  <c r="O42" i="3"/>
  <c r="M42" i="3"/>
  <c r="K42" i="3"/>
  <c r="I42" i="3"/>
  <c r="G42" i="3"/>
  <c r="E42" i="3"/>
  <c r="AH41" i="3"/>
  <c r="AG41" i="3"/>
  <c r="AF41" i="3"/>
  <c r="AE41" i="3"/>
  <c r="AD41" i="3"/>
  <c r="AC41" i="3"/>
  <c r="AB41" i="3"/>
  <c r="AA41" i="3"/>
  <c r="Z41" i="3"/>
  <c r="Y41" i="3"/>
  <c r="W41" i="3"/>
  <c r="T41" i="3"/>
  <c r="Q41" i="3"/>
  <c r="O41" i="3"/>
  <c r="M41" i="3"/>
  <c r="K41" i="3"/>
  <c r="I41" i="3"/>
  <c r="G41" i="3"/>
  <c r="E41" i="3"/>
  <c r="AH40" i="3"/>
  <c r="AG40" i="3"/>
  <c r="AF40" i="3"/>
  <c r="AE40" i="3"/>
  <c r="AD40" i="3"/>
  <c r="AC40" i="3"/>
  <c r="AB40" i="3"/>
  <c r="AA40" i="3"/>
  <c r="Z40" i="3"/>
  <c r="Y40" i="3"/>
  <c r="W40" i="3"/>
  <c r="T40" i="3"/>
  <c r="Q40" i="3"/>
  <c r="O40" i="3"/>
  <c r="M40" i="3"/>
  <c r="K40" i="3"/>
  <c r="I40" i="3"/>
  <c r="G40" i="3"/>
  <c r="E40" i="3"/>
  <c r="AH39" i="3"/>
  <c r="AG39" i="3"/>
  <c r="AF39" i="3"/>
  <c r="AE39" i="3"/>
  <c r="AD39" i="3"/>
  <c r="AC39" i="3"/>
  <c r="AB39" i="3"/>
  <c r="AA39" i="3"/>
  <c r="Z39" i="3"/>
  <c r="Y39" i="3"/>
  <c r="W39" i="3"/>
  <c r="T39" i="3"/>
  <c r="Q39" i="3"/>
  <c r="O39" i="3"/>
  <c r="M39" i="3"/>
  <c r="K39" i="3"/>
  <c r="I39" i="3"/>
  <c r="G39" i="3"/>
  <c r="E39" i="3"/>
  <c r="AH38" i="3"/>
  <c r="AG38" i="3"/>
  <c r="AF38" i="3"/>
  <c r="AE38" i="3"/>
  <c r="AD38" i="3"/>
  <c r="AC38" i="3"/>
  <c r="AB38" i="3"/>
  <c r="AA38" i="3"/>
  <c r="Z38" i="3"/>
  <c r="Y38" i="3"/>
  <c r="W38" i="3"/>
  <c r="T38" i="3"/>
  <c r="Q38" i="3"/>
  <c r="O38" i="3"/>
  <c r="M38" i="3"/>
  <c r="K38" i="3"/>
  <c r="I38" i="3"/>
  <c r="G38" i="3"/>
  <c r="E38" i="3"/>
  <c r="AH37" i="3"/>
  <c r="AG37" i="3"/>
  <c r="AF37" i="3"/>
  <c r="AE37" i="3"/>
  <c r="AD37" i="3"/>
  <c r="AC37" i="3"/>
  <c r="AB37" i="3"/>
  <c r="AA37" i="3"/>
  <c r="Z37" i="3"/>
  <c r="Y37" i="3"/>
  <c r="W37" i="3"/>
  <c r="T37" i="3"/>
  <c r="Q37" i="3"/>
  <c r="O37" i="3"/>
  <c r="M37" i="3"/>
  <c r="K37" i="3"/>
  <c r="I37" i="3"/>
  <c r="G37" i="3"/>
  <c r="E37" i="3"/>
  <c r="AH36" i="3"/>
  <c r="AG36" i="3"/>
  <c r="AF36" i="3"/>
  <c r="AE36" i="3"/>
  <c r="AD36" i="3"/>
  <c r="AC36" i="3"/>
  <c r="AB36" i="3"/>
  <c r="AA36" i="3"/>
  <c r="Z36" i="3"/>
  <c r="Y36" i="3"/>
  <c r="W36" i="3"/>
  <c r="T36" i="3"/>
  <c r="Q36" i="3"/>
  <c r="O36" i="3"/>
  <c r="M36" i="3"/>
  <c r="K36" i="3"/>
  <c r="I36" i="3"/>
  <c r="G36" i="3"/>
  <c r="E36" i="3"/>
  <c r="AH35" i="3"/>
  <c r="AG35" i="3"/>
  <c r="AF35" i="3"/>
  <c r="AE35" i="3"/>
  <c r="AD35" i="3"/>
  <c r="AC35" i="3"/>
  <c r="AB35" i="3"/>
  <c r="AA35" i="3"/>
  <c r="Z35" i="3"/>
  <c r="Y35" i="3"/>
  <c r="W35" i="3"/>
  <c r="T35" i="3"/>
  <c r="Q35" i="3"/>
  <c r="O35" i="3"/>
  <c r="M35" i="3"/>
  <c r="K35" i="3"/>
  <c r="I35" i="3"/>
  <c r="G35" i="3"/>
  <c r="E35" i="3"/>
  <c r="AH34" i="3"/>
  <c r="AG34" i="3"/>
  <c r="AF34" i="3"/>
  <c r="AE34" i="3"/>
  <c r="AD34" i="3"/>
  <c r="AC34" i="3"/>
  <c r="AB34" i="3"/>
  <c r="AA34" i="3"/>
  <c r="Z34" i="3"/>
  <c r="Y34" i="3"/>
  <c r="W34" i="3"/>
  <c r="T34" i="3"/>
  <c r="Q34" i="3"/>
  <c r="O34" i="3"/>
  <c r="M34" i="3"/>
  <c r="K34" i="3"/>
  <c r="I34" i="3"/>
  <c r="G34" i="3"/>
  <c r="E34" i="3"/>
  <c r="AH33" i="3"/>
  <c r="AG33" i="3"/>
  <c r="AF33" i="3"/>
  <c r="AE33" i="3"/>
  <c r="AD33" i="3"/>
  <c r="AC33" i="3"/>
  <c r="AB33" i="3"/>
  <c r="AA33" i="3"/>
  <c r="Z33" i="3"/>
  <c r="Y33" i="3"/>
  <c r="W33" i="3"/>
  <c r="T33" i="3"/>
  <c r="Q33" i="3"/>
  <c r="O33" i="3"/>
  <c r="M33" i="3"/>
  <c r="K33" i="3"/>
  <c r="I33" i="3"/>
  <c r="G33" i="3"/>
  <c r="E33" i="3"/>
  <c r="AH32" i="3"/>
  <c r="AG32" i="3"/>
  <c r="AF32" i="3"/>
  <c r="AE32" i="3"/>
  <c r="AD32" i="3"/>
  <c r="AC32" i="3"/>
  <c r="AB32" i="3"/>
  <c r="AA32" i="3"/>
  <c r="Z32" i="3"/>
  <c r="Y32" i="3"/>
  <c r="W32" i="3"/>
  <c r="T32" i="3"/>
  <c r="Q32" i="3"/>
  <c r="O32" i="3"/>
  <c r="M32" i="3"/>
  <c r="K32" i="3"/>
  <c r="I32" i="3"/>
  <c r="G32" i="3"/>
  <c r="E32" i="3"/>
  <c r="AH31" i="3"/>
  <c r="AG31" i="3"/>
  <c r="AF31" i="3"/>
  <c r="AE31" i="3"/>
  <c r="AD31" i="3"/>
  <c r="AC31" i="3"/>
  <c r="AB31" i="3"/>
  <c r="AA31" i="3"/>
  <c r="Z31" i="3"/>
  <c r="Y31" i="3"/>
  <c r="W31" i="3"/>
  <c r="T31" i="3"/>
  <c r="Q31" i="3"/>
  <c r="O31" i="3"/>
  <c r="M31" i="3"/>
  <c r="K31" i="3"/>
  <c r="I31" i="3"/>
  <c r="G31" i="3"/>
  <c r="E31" i="3"/>
  <c r="AH30" i="3"/>
  <c r="AG30" i="3"/>
  <c r="AF30" i="3"/>
  <c r="AE30" i="3"/>
  <c r="AD30" i="3"/>
  <c r="AC30" i="3"/>
  <c r="AB30" i="3"/>
  <c r="AA30" i="3"/>
  <c r="Z30" i="3"/>
  <c r="Y30" i="3"/>
  <c r="W30" i="3"/>
  <c r="T30" i="3"/>
  <c r="Q30" i="3"/>
  <c r="O30" i="3"/>
  <c r="M30" i="3"/>
  <c r="K30" i="3"/>
  <c r="I30" i="3"/>
  <c r="G30" i="3"/>
  <c r="E30" i="3"/>
  <c r="AH29" i="3"/>
  <c r="AG29" i="3"/>
  <c r="AF29" i="3"/>
  <c r="AE29" i="3"/>
  <c r="AD29" i="3"/>
  <c r="AC29" i="3"/>
  <c r="AB29" i="3"/>
  <c r="AA29" i="3"/>
  <c r="Z29" i="3"/>
  <c r="Y29" i="3"/>
  <c r="W29" i="3"/>
  <c r="T29" i="3"/>
  <c r="Q29" i="3"/>
  <c r="O29" i="3"/>
  <c r="M29" i="3"/>
  <c r="K29" i="3"/>
  <c r="I29" i="3"/>
  <c r="G29" i="3"/>
  <c r="E29" i="3"/>
  <c r="AH28" i="3"/>
  <c r="AG28" i="3"/>
  <c r="AF28" i="3"/>
  <c r="AE28" i="3"/>
  <c r="AD28" i="3"/>
  <c r="AC28" i="3"/>
  <c r="AB28" i="3"/>
  <c r="AA28" i="3"/>
  <c r="Z28" i="3"/>
  <c r="Y28" i="3"/>
  <c r="W28" i="3"/>
  <c r="T28" i="3"/>
  <c r="Q28" i="3"/>
  <c r="O28" i="3"/>
  <c r="M28" i="3"/>
  <c r="K28" i="3"/>
  <c r="I28" i="3"/>
  <c r="G28" i="3"/>
  <c r="E28" i="3"/>
  <c r="AH27" i="3"/>
  <c r="AG27" i="3"/>
  <c r="AF27" i="3"/>
  <c r="AE27" i="3"/>
  <c r="AD27" i="3"/>
  <c r="AC27" i="3"/>
  <c r="AB27" i="3"/>
  <c r="AA27" i="3"/>
  <c r="Z27" i="3"/>
  <c r="Y27" i="3"/>
  <c r="W27" i="3"/>
  <c r="T27" i="3"/>
  <c r="Q27" i="3"/>
  <c r="O27" i="3"/>
  <c r="M27" i="3"/>
  <c r="K27" i="3"/>
  <c r="I27" i="3"/>
  <c r="G27" i="3"/>
  <c r="E27" i="3"/>
  <c r="AH26" i="3"/>
  <c r="AG26" i="3"/>
  <c r="AF26" i="3"/>
  <c r="AE26" i="3"/>
  <c r="AD26" i="3"/>
  <c r="AC26" i="3"/>
  <c r="AB26" i="3"/>
  <c r="AA26" i="3"/>
  <c r="Z26" i="3"/>
  <c r="Y26" i="3"/>
  <c r="W26" i="3"/>
  <c r="T26" i="3"/>
  <c r="Q26" i="3"/>
  <c r="O26" i="3"/>
  <c r="M26" i="3"/>
  <c r="K26" i="3"/>
  <c r="I26" i="3"/>
  <c r="G26" i="3"/>
  <c r="E26" i="3"/>
  <c r="AH25" i="3"/>
  <c r="AG25" i="3"/>
  <c r="AF25" i="3"/>
  <c r="AE25" i="3"/>
  <c r="AD25" i="3"/>
  <c r="AC25" i="3"/>
  <c r="AB25" i="3"/>
  <c r="AA25" i="3"/>
  <c r="Z25" i="3"/>
  <c r="Y25" i="3"/>
  <c r="W25" i="3"/>
  <c r="T25" i="3"/>
  <c r="Q25" i="3"/>
  <c r="O25" i="3"/>
  <c r="M25" i="3"/>
  <c r="K25" i="3"/>
  <c r="I25" i="3"/>
  <c r="G25" i="3"/>
  <c r="E25" i="3"/>
  <c r="AH24" i="3"/>
  <c r="AG24" i="3"/>
  <c r="AF24" i="3"/>
  <c r="AE24" i="3"/>
  <c r="AD24" i="3"/>
  <c r="AC24" i="3"/>
  <c r="AB24" i="3"/>
  <c r="AA24" i="3"/>
  <c r="Z24" i="3"/>
  <c r="Y24" i="3"/>
  <c r="W24" i="3"/>
  <c r="T24" i="3"/>
  <c r="Q24" i="3"/>
  <c r="O24" i="3"/>
  <c r="M24" i="3"/>
  <c r="K24" i="3"/>
  <c r="I24" i="3"/>
  <c r="G24" i="3"/>
  <c r="E24" i="3"/>
  <c r="AH23" i="3"/>
  <c r="AG23" i="3"/>
  <c r="AF23" i="3"/>
  <c r="AE23" i="3"/>
  <c r="AD23" i="3"/>
  <c r="AC23" i="3"/>
  <c r="AB23" i="3"/>
  <c r="AA23" i="3"/>
  <c r="Z23" i="3"/>
  <c r="Y23" i="3"/>
  <c r="W23" i="3"/>
  <c r="T23" i="3"/>
  <c r="Q23" i="3"/>
  <c r="O23" i="3"/>
  <c r="M23" i="3"/>
  <c r="K23" i="3"/>
  <c r="I23" i="3"/>
  <c r="G23" i="3"/>
  <c r="E23" i="3"/>
  <c r="AH22" i="3"/>
  <c r="AG22" i="3"/>
  <c r="AF22" i="3"/>
  <c r="AE22" i="3"/>
  <c r="AD22" i="3"/>
  <c r="AC22" i="3"/>
  <c r="AB22" i="3"/>
  <c r="AA22" i="3"/>
  <c r="Z22" i="3"/>
  <c r="Y22" i="3"/>
  <c r="W22" i="3"/>
  <c r="T22" i="3"/>
  <c r="Q22" i="3"/>
  <c r="O22" i="3"/>
  <c r="M22" i="3"/>
  <c r="K22" i="3"/>
  <c r="I22" i="3"/>
  <c r="G22" i="3"/>
  <c r="E22" i="3"/>
  <c r="AH21" i="3"/>
  <c r="AG21" i="3"/>
  <c r="AF21" i="3"/>
  <c r="AE21" i="3"/>
  <c r="AD21" i="3"/>
  <c r="AC21" i="3"/>
  <c r="AB21" i="3"/>
  <c r="AA21" i="3"/>
  <c r="Z21" i="3"/>
  <c r="Y21" i="3"/>
  <c r="W21" i="3"/>
  <c r="T21" i="3"/>
  <c r="Q21" i="3"/>
  <c r="O21" i="3"/>
  <c r="M21" i="3"/>
  <c r="K21" i="3"/>
  <c r="I21" i="3"/>
  <c r="G21" i="3"/>
  <c r="E21" i="3"/>
  <c r="AH20" i="3"/>
  <c r="AG20" i="3"/>
  <c r="AF20" i="3"/>
  <c r="AE20" i="3"/>
  <c r="AD20" i="3"/>
  <c r="AC20" i="3"/>
  <c r="AB20" i="3"/>
  <c r="AA20" i="3"/>
  <c r="Z20" i="3"/>
  <c r="Y20" i="3"/>
  <c r="W20" i="3"/>
  <c r="T20" i="3"/>
  <c r="Q20" i="3"/>
  <c r="O20" i="3"/>
  <c r="M20" i="3"/>
  <c r="K20" i="3"/>
  <c r="I20" i="3"/>
  <c r="G20" i="3"/>
  <c r="E20" i="3"/>
  <c r="AH19" i="3"/>
  <c r="AG19" i="3"/>
  <c r="AF19" i="3"/>
  <c r="AE19" i="3"/>
  <c r="AD19" i="3"/>
  <c r="AC19" i="3"/>
  <c r="AB19" i="3"/>
  <c r="AA19" i="3"/>
  <c r="Z19" i="3"/>
  <c r="Y19" i="3"/>
  <c r="W19" i="3"/>
  <c r="T19" i="3"/>
  <c r="Q19" i="3"/>
  <c r="O19" i="3"/>
  <c r="M19" i="3"/>
  <c r="K19" i="3"/>
  <c r="I19" i="3"/>
  <c r="G19" i="3"/>
  <c r="E19" i="3"/>
  <c r="AH18" i="3"/>
  <c r="AG18" i="3"/>
  <c r="AF18" i="3"/>
  <c r="AE18" i="3"/>
  <c r="AD18" i="3"/>
  <c r="AC18" i="3"/>
  <c r="AB18" i="3"/>
  <c r="AA18" i="3"/>
  <c r="Z18" i="3"/>
  <c r="Y18" i="3"/>
  <c r="W18" i="3"/>
  <c r="T18" i="3"/>
  <c r="Q18" i="3"/>
  <c r="O18" i="3"/>
  <c r="M18" i="3"/>
  <c r="K18" i="3"/>
  <c r="I18" i="3"/>
  <c r="G18" i="3"/>
  <c r="E18" i="3"/>
  <c r="AH17" i="3"/>
  <c r="AG17" i="3"/>
  <c r="AF17" i="3"/>
  <c r="AE17" i="3"/>
  <c r="AD17" i="3"/>
  <c r="AC17" i="3"/>
  <c r="AB17" i="3"/>
  <c r="AA17" i="3"/>
  <c r="Z17" i="3"/>
  <c r="Y17" i="3"/>
  <c r="W17" i="3"/>
  <c r="T17" i="3"/>
  <c r="Q17" i="3"/>
  <c r="O17" i="3"/>
  <c r="M17" i="3"/>
  <c r="K17" i="3"/>
  <c r="I17" i="3"/>
  <c r="G17" i="3"/>
  <c r="E17" i="3"/>
  <c r="AH16" i="3"/>
  <c r="AG16" i="3"/>
  <c r="AF16" i="3"/>
  <c r="AE16" i="3"/>
  <c r="AD16" i="3"/>
  <c r="AC16" i="3"/>
  <c r="AB16" i="3"/>
  <c r="AA16" i="3"/>
  <c r="Z16" i="3"/>
  <c r="Y16" i="3"/>
  <c r="W16" i="3"/>
  <c r="T16" i="3"/>
  <c r="Q16" i="3"/>
  <c r="O16" i="3"/>
  <c r="M16" i="3"/>
  <c r="K16" i="3"/>
  <c r="I16" i="3"/>
  <c r="G16" i="3"/>
  <c r="E16" i="3"/>
  <c r="AH15" i="3"/>
  <c r="AG15" i="3"/>
  <c r="AF15" i="3"/>
  <c r="AE15" i="3"/>
  <c r="AD15" i="3"/>
  <c r="AC15" i="3"/>
  <c r="AB15" i="3"/>
  <c r="AA15" i="3"/>
  <c r="Z15" i="3"/>
  <c r="Y15" i="3"/>
  <c r="W15" i="3"/>
  <c r="T15" i="3"/>
  <c r="Q15" i="3"/>
  <c r="O15" i="3"/>
  <c r="M15" i="3"/>
  <c r="K15" i="3"/>
  <c r="I15" i="3"/>
  <c r="G15" i="3"/>
  <c r="E15" i="3"/>
  <c r="AH14" i="3"/>
  <c r="AG14" i="3"/>
  <c r="AF14" i="3"/>
  <c r="AE14" i="3"/>
  <c r="AD14" i="3"/>
  <c r="AC14" i="3"/>
  <c r="AB14" i="3"/>
  <c r="AA14" i="3"/>
  <c r="Z14" i="3"/>
  <c r="Y14" i="3"/>
  <c r="W14" i="3"/>
  <c r="T14" i="3"/>
  <c r="Q14" i="3"/>
  <c r="O14" i="3"/>
  <c r="M14" i="3"/>
  <c r="K14" i="3"/>
  <c r="I14" i="3"/>
  <c r="G14" i="3"/>
  <c r="E14" i="3"/>
  <c r="AH13" i="3"/>
  <c r="AG13" i="3"/>
  <c r="AF13" i="3"/>
  <c r="AE13" i="3"/>
  <c r="AD13" i="3"/>
  <c r="AC13" i="3"/>
  <c r="AB13" i="3"/>
  <c r="AA13" i="3"/>
  <c r="Z13" i="3"/>
  <c r="Y13" i="3"/>
  <c r="W13" i="3"/>
  <c r="T13" i="3"/>
  <c r="Q13" i="3"/>
  <c r="O13" i="3"/>
  <c r="M13" i="3"/>
  <c r="K13" i="3"/>
  <c r="I13" i="3"/>
  <c r="G13" i="3"/>
  <c r="E13" i="3"/>
  <c r="AH12" i="3"/>
  <c r="AG12" i="3"/>
  <c r="AF12" i="3"/>
  <c r="AE12" i="3"/>
  <c r="AD12" i="3"/>
  <c r="AC12" i="3"/>
  <c r="AB12" i="3"/>
  <c r="AA12" i="3"/>
  <c r="Z12" i="3"/>
  <c r="Y12" i="3"/>
  <c r="W12" i="3"/>
  <c r="T12" i="3"/>
  <c r="Q12" i="3"/>
  <c r="O12" i="3"/>
  <c r="M12" i="3"/>
  <c r="K12" i="3"/>
  <c r="I12" i="3"/>
  <c r="G12" i="3"/>
  <c r="E12" i="3"/>
  <c r="AH11" i="3"/>
  <c r="AG11" i="3"/>
  <c r="AF11" i="3"/>
  <c r="AE11" i="3"/>
  <c r="AD11" i="3"/>
  <c r="AC11" i="3"/>
  <c r="AB11" i="3"/>
  <c r="AA11" i="3"/>
  <c r="Z11" i="3"/>
  <c r="Y11" i="3"/>
  <c r="W11" i="3"/>
  <c r="T11" i="3"/>
  <c r="Q11" i="3"/>
  <c r="O11" i="3"/>
  <c r="M11" i="3"/>
  <c r="K11" i="3"/>
  <c r="I11" i="3"/>
  <c r="G11" i="3"/>
  <c r="E11" i="3"/>
  <c r="AH10" i="3"/>
  <c r="AG10" i="3"/>
  <c r="AF10" i="3"/>
  <c r="AE10" i="3"/>
  <c r="AD10" i="3"/>
  <c r="AC10" i="3"/>
  <c r="AB10" i="3"/>
  <c r="AA10" i="3"/>
  <c r="Z10" i="3"/>
  <c r="Y10" i="3"/>
  <c r="W10" i="3"/>
  <c r="T10" i="3"/>
  <c r="Q10" i="3"/>
  <c r="O10" i="3"/>
  <c r="M10" i="3"/>
  <c r="K10" i="3"/>
  <c r="I10" i="3"/>
  <c r="G10" i="3"/>
  <c r="E10" i="3"/>
  <c r="AH9" i="3"/>
  <c r="AG9" i="3"/>
  <c r="AF9" i="3"/>
  <c r="AE9" i="3"/>
  <c r="AD9" i="3"/>
  <c r="AC9" i="3"/>
  <c r="AB9" i="3"/>
  <c r="AA9" i="3"/>
  <c r="Z9" i="3"/>
  <c r="Y9" i="3"/>
  <c r="W9" i="3"/>
  <c r="T9" i="3"/>
  <c r="Q9" i="3"/>
  <c r="O9" i="3"/>
  <c r="M9" i="3"/>
  <c r="K9" i="3"/>
  <c r="I9" i="3"/>
  <c r="G9" i="3"/>
  <c r="E9" i="3"/>
  <c r="AH8" i="3"/>
  <c r="AG8" i="3"/>
  <c r="AF8" i="3"/>
  <c r="AE8" i="3"/>
  <c r="AD8" i="3"/>
  <c r="AC8" i="3"/>
  <c r="AB8" i="3"/>
  <c r="AA8" i="3"/>
  <c r="Z8" i="3"/>
  <c r="Y8" i="3"/>
  <c r="W8" i="3"/>
  <c r="T8" i="3"/>
  <c r="Q8" i="3"/>
  <c r="O8" i="3"/>
  <c r="M8" i="3"/>
  <c r="K8" i="3"/>
  <c r="I8" i="3"/>
  <c r="G8" i="3"/>
  <c r="E8" i="3"/>
  <c r="V77" i="4"/>
  <c r="S77" i="4"/>
  <c r="P77" i="4"/>
  <c r="N77" i="4"/>
  <c r="L77" i="4"/>
  <c r="J77" i="4"/>
  <c r="H77" i="4"/>
  <c r="F77" i="4"/>
  <c r="D77" i="4"/>
  <c r="V76" i="4"/>
  <c r="S76" i="4"/>
  <c r="P76" i="4"/>
  <c r="N76" i="4"/>
  <c r="L76" i="4"/>
  <c r="J76" i="4"/>
  <c r="H76" i="4"/>
  <c r="F76" i="4"/>
  <c r="D76" i="4"/>
  <c r="V75" i="4"/>
  <c r="S75" i="4"/>
  <c r="P75" i="4"/>
  <c r="N75" i="4"/>
  <c r="L75" i="4"/>
  <c r="J75" i="4"/>
  <c r="H75" i="4"/>
  <c r="F75" i="4"/>
  <c r="D75" i="4"/>
  <c r="V74" i="4"/>
  <c r="S74" i="4"/>
  <c r="P74" i="4"/>
  <c r="N74" i="4"/>
  <c r="L74" i="4"/>
  <c r="J74" i="4"/>
  <c r="H74" i="4"/>
  <c r="F74" i="4"/>
  <c r="D74" i="4"/>
  <c r="W72" i="4"/>
  <c r="T72" i="4"/>
  <c r="Q72" i="4"/>
  <c r="O72" i="4"/>
  <c r="M72" i="4"/>
  <c r="K72" i="4"/>
  <c r="I72" i="4"/>
  <c r="G72" i="4"/>
  <c r="E72" i="4"/>
  <c r="AD71" i="4"/>
  <c r="W71" i="4"/>
  <c r="T71" i="4"/>
  <c r="Q71" i="4"/>
  <c r="O71" i="4"/>
  <c r="M71" i="4"/>
  <c r="K71" i="4"/>
  <c r="I71" i="4"/>
  <c r="G71" i="4"/>
  <c r="E71" i="4"/>
  <c r="AE70" i="4"/>
  <c r="AC70" i="4"/>
  <c r="W70" i="4"/>
  <c r="T70" i="4"/>
  <c r="Q70" i="4"/>
  <c r="O70" i="4"/>
  <c r="M70" i="4"/>
  <c r="K70" i="4"/>
  <c r="I70" i="4"/>
  <c r="G70" i="4"/>
  <c r="E70" i="4"/>
  <c r="AE69" i="4"/>
  <c r="AB69" i="4"/>
  <c r="W69" i="4"/>
  <c r="T69" i="4"/>
  <c r="Q69" i="4"/>
  <c r="O69" i="4"/>
  <c r="M69" i="4"/>
  <c r="K69" i="4"/>
  <c r="I69" i="4"/>
  <c r="G69" i="4"/>
  <c r="E69" i="4"/>
  <c r="AE68" i="4"/>
  <c r="AA68" i="4"/>
  <c r="W68" i="4"/>
  <c r="T68" i="4"/>
  <c r="Q68" i="4"/>
  <c r="O68" i="4"/>
  <c r="M68" i="4"/>
  <c r="K68" i="4"/>
  <c r="I68" i="4"/>
  <c r="G68" i="4"/>
  <c r="E68" i="4"/>
  <c r="AE67" i="4"/>
  <c r="Z67" i="4"/>
  <c r="W67" i="4"/>
  <c r="T67" i="4"/>
  <c r="Q67" i="4"/>
  <c r="O67" i="4"/>
  <c r="M67" i="4"/>
  <c r="K67" i="4"/>
  <c r="I67" i="4"/>
  <c r="G67" i="4"/>
  <c r="E67" i="4"/>
  <c r="AE66" i="4"/>
  <c r="Y66" i="4"/>
  <c r="W66" i="4"/>
  <c r="T66" i="4"/>
  <c r="Q66" i="4"/>
  <c r="O66" i="4"/>
  <c r="M66" i="4"/>
  <c r="K66" i="4"/>
  <c r="I66" i="4"/>
  <c r="G66" i="4"/>
  <c r="E66" i="4"/>
  <c r="AE65" i="4"/>
  <c r="AD65" i="4"/>
  <c r="AE64" i="4"/>
  <c r="AD64" i="4"/>
  <c r="V64" i="4"/>
  <c r="S64" i="4"/>
  <c r="P64" i="4"/>
  <c r="N64" i="4"/>
  <c r="L64" i="4"/>
  <c r="J64" i="4"/>
  <c r="H64" i="4"/>
  <c r="F64" i="4"/>
  <c r="D64" i="4"/>
  <c r="AE63" i="4"/>
  <c r="AD63" i="4"/>
  <c r="V63" i="4"/>
  <c r="S63" i="4"/>
  <c r="P63" i="4"/>
  <c r="N63" i="4"/>
  <c r="L63" i="4"/>
  <c r="J63" i="4"/>
  <c r="H63" i="4"/>
  <c r="F63" i="4"/>
  <c r="D63" i="4"/>
  <c r="AH62" i="4"/>
  <c r="AG62" i="4"/>
  <c r="AF62" i="4"/>
  <c r="AE62" i="4"/>
  <c r="AD62" i="4"/>
  <c r="AC62" i="4"/>
  <c r="AB62" i="4"/>
  <c r="AA62" i="4"/>
  <c r="Z62" i="4"/>
  <c r="Y62" i="4"/>
  <c r="W62" i="4"/>
  <c r="T62" i="4"/>
  <c r="Q62" i="4"/>
  <c r="O62" i="4"/>
  <c r="M62" i="4"/>
  <c r="K62" i="4"/>
  <c r="I62" i="4"/>
  <c r="G62" i="4"/>
  <c r="E62" i="4"/>
  <c r="AH61" i="4"/>
  <c r="AG61" i="4"/>
  <c r="AF61" i="4"/>
  <c r="AE61" i="4"/>
  <c r="AD61" i="4"/>
  <c r="AC61" i="4"/>
  <c r="AB61" i="4"/>
  <c r="AA61" i="4"/>
  <c r="Z61" i="4"/>
  <c r="Y61" i="4"/>
  <c r="W61" i="4"/>
  <c r="T61" i="4"/>
  <c r="Q61" i="4"/>
  <c r="O61" i="4"/>
  <c r="M61" i="4"/>
  <c r="K61" i="4"/>
  <c r="I61" i="4"/>
  <c r="G61" i="4"/>
  <c r="E61" i="4"/>
  <c r="AH60" i="4"/>
  <c r="AG60" i="4"/>
  <c r="AF60" i="4"/>
  <c r="AE60" i="4"/>
  <c r="AD60" i="4"/>
  <c r="AC60" i="4"/>
  <c r="AB60" i="4"/>
  <c r="AA60" i="4"/>
  <c r="Z60" i="4"/>
  <c r="Y60" i="4"/>
  <c r="W60" i="4"/>
  <c r="T60" i="4"/>
  <c r="Q60" i="4"/>
  <c r="O60" i="4"/>
  <c r="M60" i="4"/>
  <c r="K60" i="4"/>
  <c r="I60" i="4"/>
  <c r="G60" i="4"/>
  <c r="E60" i="4"/>
  <c r="AH59" i="4"/>
  <c r="AG59" i="4"/>
  <c r="AF59" i="4"/>
  <c r="AE59" i="4"/>
  <c r="AD59" i="4"/>
  <c r="AC59" i="4"/>
  <c r="AB59" i="4"/>
  <c r="AA59" i="4"/>
  <c r="Z59" i="4"/>
  <c r="Y59" i="4"/>
  <c r="W59" i="4"/>
  <c r="T59" i="4"/>
  <c r="Q59" i="4"/>
  <c r="O59" i="4"/>
  <c r="M59" i="4"/>
  <c r="K59" i="4"/>
  <c r="I59" i="4"/>
  <c r="G59" i="4"/>
  <c r="E59" i="4"/>
  <c r="AH58" i="4"/>
  <c r="AG58" i="4"/>
  <c r="AF58" i="4"/>
  <c r="AE58" i="4"/>
  <c r="AD58" i="4"/>
  <c r="AC58" i="4"/>
  <c r="AB58" i="4"/>
  <c r="AA58" i="4"/>
  <c r="Z58" i="4"/>
  <c r="Y58" i="4"/>
  <c r="W58" i="4"/>
  <c r="T58" i="4"/>
  <c r="Q58" i="4"/>
  <c r="O58" i="4"/>
  <c r="M58" i="4"/>
  <c r="K58" i="4"/>
  <c r="I58" i="4"/>
  <c r="G58" i="4"/>
  <c r="E58" i="4"/>
  <c r="AH57" i="4"/>
  <c r="AG57" i="4"/>
  <c r="AF57" i="4"/>
  <c r="AE57" i="4"/>
  <c r="AD57" i="4"/>
  <c r="AC57" i="4"/>
  <c r="AB57" i="4"/>
  <c r="AA57" i="4"/>
  <c r="Z57" i="4"/>
  <c r="Y57" i="4"/>
  <c r="W57" i="4"/>
  <c r="T57" i="4"/>
  <c r="Q57" i="4"/>
  <c r="O57" i="4"/>
  <c r="M57" i="4"/>
  <c r="K57" i="4"/>
  <c r="I57" i="4"/>
  <c r="G57" i="4"/>
  <c r="E57" i="4"/>
  <c r="AH56" i="4"/>
  <c r="AG56" i="4"/>
  <c r="AF56" i="4"/>
  <c r="AE56" i="4"/>
  <c r="AD56" i="4"/>
  <c r="AC56" i="4"/>
  <c r="AB56" i="4"/>
  <c r="AA56" i="4"/>
  <c r="Z56" i="4"/>
  <c r="Y56" i="4"/>
  <c r="W56" i="4"/>
  <c r="T56" i="4"/>
  <c r="Q56" i="4"/>
  <c r="O56" i="4"/>
  <c r="M56" i="4"/>
  <c r="K56" i="4"/>
  <c r="I56" i="4"/>
  <c r="G56" i="4"/>
  <c r="E56" i="4"/>
  <c r="AH55" i="4"/>
  <c r="AG55" i="4"/>
  <c r="AF55" i="4"/>
  <c r="AE55" i="4"/>
  <c r="AD55" i="4"/>
  <c r="AC55" i="4"/>
  <c r="AB55" i="4"/>
  <c r="AA55" i="4"/>
  <c r="Z55" i="4"/>
  <c r="Y55" i="4"/>
  <c r="W55" i="4"/>
  <c r="T55" i="4"/>
  <c r="Q55" i="4"/>
  <c r="O55" i="4"/>
  <c r="M55" i="4"/>
  <c r="K55" i="4"/>
  <c r="I55" i="4"/>
  <c r="G55" i="4"/>
  <c r="E55" i="4"/>
  <c r="AH54" i="4"/>
  <c r="AG54" i="4"/>
  <c r="AF54" i="4"/>
  <c r="AE54" i="4"/>
  <c r="AD54" i="4"/>
  <c r="AC54" i="4"/>
  <c r="AB54" i="4"/>
  <c r="AA54" i="4"/>
  <c r="Z54" i="4"/>
  <c r="Y54" i="4"/>
  <c r="W54" i="4"/>
  <c r="T54" i="4"/>
  <c r="Q54" i="4"/>
  <c r="O54" i="4"/>
  <c r="M54" i="4"/>
  <c r="K54" i="4"/>
  <c r="I54" i="4"/>
  <c r="G54" i="4"/>
  <c r="E54" i="4"/>
  <c r="AH53" i="4"/>
  <c r="AG53" i="4"/>
  <c r="AF53" i="4"/>
  <c r="AE53" i="4"/>
  <c r="AD53" i="4"/>
  <c r="AC53" i="4"/>
  <c r="AB53" i="4"/>
  <c r="AA53" i="4"/>
  <c r="Z53" i="4"/>
  <c r="Y53" i="4"/>
  <c r="W53" i="4"/>
  <c r="T53" i="4"/>
  <c r="Q53" i="4"/>
  <c r="O53" i="4"/>
  <c r="M53" i="4"/>
  <c r="K53" i="4"/>
  <c r="I53" i="4"/>
  <c r="G53" i="4"/>
  <c r="E53" i="4"/>
  <c r="AH52" i="4"/>
  <c r="AG52" i="4"/>
  <c r="AF52" i="4"/>
  <c r="AE52" i="4"/>
  <c r="AD52" i="4"/>
  <c r="AC52" i="4"/>
  <c r="AB52" i="4"/>
  <c r="AA52" i="4"/>
  <c r="Z52" i="4"/>
  <c r="Y52" i="4"/>
  <c r="W52" i="4"/>
  <c r="T52" i="4"/>
  <c r="Q52" i="4"/>
  <c r="O52" i="4"/>
  <c r="M52" i="4"/>
  <c r="K52" i="4"/>
  <c r="I52" i="4"/>
  <c r="G52" i="4"/>
  <c r="E52" i="4"/>
  <c r="AH51" i="4"/>
  <c r="AG51" i="4"/>
  <c r="AF51" i="4"/>
  <c r="AE51" i="4"/>
  <c r="AD51" i="4"/>
  <c r="AC51" i="4"/>
  <c r="AB51" i="4"/>
  <c r="AA51" i="4"/>
  <c r="Z51" i="4"/>
  <c r="Y51" i="4"/>
  <c r="W51" i="4"/>
  <c r="T51" i="4"/>
  <c r="Q51" i="4"/>
  <c r="O51" i="4"/>
  <c r="M51" i="4"/>
  <c r="K51" i="4"/>
  <c r="I51" i="4"/>
  <c r="G51" i="4"/>
  <c r="E51" i="4"/>
  <c r="AH50" i="4"/>
  <c r="AG50" i="4"/>
  <c r="AF50" i="4"/>
  <c r="AE50" i="4"/>
  <c r="AD50" i="4"/>
  <c r="AC50" i="4"/>
  <c r="AB50" i="4"/>
  <c r="AA50" i="4"/>
  <c r="Z50" i="4"/>
  <c r="Y50" i="4"/>
  <c r="W50" i="4"/>
  <c r="T50" i="4"/>
  <c r="Q50" i="4"/>
  <c r="O50" i="4"/>
  <c r="M50" i="4"/>
  <c r="K50" i="4"/>
  <c r="I50" i="4"/>
  <c r="G50" i="4"/>
  <c r="E50" i="4"/>
  <c r="AH49" i="4"/>
  <c r="AG49" i="4"/>
  <c r="AF49" i="4"/>
  <c r="AE49" i="4"/>
  <c r="AD49" i="4"/>
  <c r="AC49" i="4"/>
  <c r="AB49" i="4"/>
  <c r="AA49" i="4"/>
  <c r="Z49" i="4"/>
  <c r="Y49" i="4"/>
  <c r="W49" i="4"/>
  <c r="T49" i="4"/>
  <c r="Q49" i="4"/>
  <c r="O49" i="4"/>
  <c r="M49" i="4"/>
  <c r="K49" i="4"/>
  <c r="I49" i="4"/>
  <c r="G49" i="4"/>
  <c r="E49" i="4"/>
  <c r="AH48" i="4"/>
  <c r="AG48" i="4"/>
  <c r="AF48" i="4"/>
  <c r="AE48" i="4"/>
  <c r="AD48" i="4"/>
  <c r="AC48" i="4"/>
  <c r="AB48" i="4"/>
  <c r="AA48" i="4"/>
  <c r="Z48" i="4"/>
  <c r="Y48" i="4"/>
  <c r="W48" i="4"/>
  <c r="T48" i="4"/>
  <c r="Q48" i="4"/>
  <c r="O48" i="4"/>
  <c r="M48" i="4"/>
  <c r="K48" i="4"/>
  <c r="I48" i="4"/>
  <c r="G48" i="4"/>
  <c r="E48" i="4"/>
  <c r="AH47" i="4"/>
  <c r="AG47" i="4"/>
  <c r="AF47" i="4"/>
  <c r="AE47" i="4"/>
  <c r="AD47" i="4"/>
  <c r="AC47" i="4"/>
  <c r="AB47" i="4"/>
  <c r="AA47" i="4"/>
  <c r="Z47" i="4"/>
  <c r="Y47" i="4"/>
  <c r="W47" i="4"/>
  <c r="T47" i="4"/>
  <c r="Q47" i="4"/>
  <c r="O47" i="4"/>
  <c r="M47" i="4"/>
  <c r="K47" i="4"/>
  <c r="I47" i="4"/>
  <c r="G47" i="4"/>
  <c r="E47" i="4"/>
  <c r="AH46" i="4"/>
  <c r="AG46" i="4"/>
  <c r="AF46" i="4"/>
  <c r="AE46" i="4"/>
  <c r="AD46" i="4"/>
  <c r="AC46" i="4"/>
  <c r="AB46" i="4"/>
  <c r="AA46" i="4"/>
  <c r="Z46" i="4"/>
  <c r="Y46" i="4"/>
  <c r="W46" i="4"/>
  <c r="T46" i="4"/>
  <c r="Q46" i="4"/>
  <c r="O46" i="4"/>
  <c r="M46" i="4"/>
  <c r="K46" i="4"/>
  <c r="I46" i="4"/>
  <c r="G46" i="4"/>
  <c r="E46" i="4"/>
  <c r="AH45" i="4"/>
  <c r="AG45" i="4"/>
  <c r="AF45" i="4"/>
  <c r="AE45" i="4"/>
  <c r="AD45" i="4"/>
  <c r="AC45" i="4"/>
  <c r="AB45" i="4"/>
  <c r="AA45" i="4"/>
  <c r="Z45" i="4"/>
  <c r="Y45" i="4"/>
  <c r="W45" i="4"/>
  <c r="T45" i="4"/>
  <c r="Q45" i="4"/>
  <c r="O45" i="4"/>
  <c r="M45" i="4"/>
  <c r="K45" i="4"/>
  <c r="I45" i="4"/>
  <c r="G45" i="4"/>
  <c r="E45" i="4"/>
  <c r="AH44" i="4"/>
  <c r="AG44" i="4"/>
  <c r="AF44" i="4"/>
  <c r="AE44" i="4"/>
  <c r="AD44" i="4"/>
  <c r="AC44" i="4"/>
  <c r="AB44" i="4"/>
  <c r="AA44" i="4"/>
  <c r="Z44" i="4"/>
  <c r="Y44" i="4"/>
  <c r="W44" i="4"/>
  <c r="T44" i="4"/>
  <c r="Q44" i="4"/>
  <c r="O44" i="4"/>
  <c r="M44" i="4"/>
  <c r="K44" i="4"/>
  <c r="I44" i="4"/>
  <c r="G44" i="4"/>
  <c r="E44" i="4"/>
  <c r="AH43" i="4"/>
  <c r="AG43" i="4"/>
  <c r="AF43" i="4"/>
  <c r="AE43" i="4"/>
  <c r="AD43" i="4"/>
  <c r="AC43" i="4"/>
  <c r="AB43" i="4"/>
  <c r="AA43" i="4"/>
  <c r="Z43" i="4"/>
  <c r="Y43" i="4"/>
  <c r="W43" i="4"/>
  <c r="T43" i="4"/>
  <c r="Q43" i="4"/>
  <c r="O43" i="4"/>
  <c r="M43" i="4"/>
  <c r="K43" i="4"/>
  <c r="I43" i="4"/>
  <c r="G43" i="4"/>
  <c r="E43" i="4"/>
  <c r="AH42" i="4"/>
  <c r="AG42" i="4"/>
  <c r="AF42" i="4"/>
  <c r="AE42" i="4"/>
  <c r="AD42" i="4"/>
  <c r="AC42" i="4"/>
  <c r="AB42" i="4"/>
  <c r="AA42" i="4"/>
  <c r="Z42" i="4"/>
  <c r="Y42" i="4"/>
  <c r="W42" i="4"/>
  <c r="T42" i="4"/>
  <c r="Q42" i="4"/>
  <c r="O42" i="4"/>
  <c r="M42" i="4"/>
  <c r="K42" i="4"/>
  <c r="I42" i="4"/>
  <c r="G42" i="4"/>
  <c r="E42" i="4"/>
  <c r="AH41" i="4"/>
  <c r="AG41" i="4"/>
  <c r="AF41" i="4"/>
  <c r="AE41" i="4"/>
  <c r="AD41" i="4"/>
  <c r="AC41" i="4"/>
  <c r="AB41" i="4"/>
  <c r="AA41" i="4"/>
  <c r="Z41" i="4"/>
  <c r="Y41" i="4"/>
  <c r="W41" i="4"/>
  <c r="T41" i="4"/>
  <c r="Q41" i="4"/>
  <c r="O41" i="4"/>
  <c r="M41" i="4"/>
  <c r="K41" i="4"/>
  <c r="I41" i="4"/>
  <c r="G41" i="4"/>
  <c r="E41" i="4"/>
  <c r="AH40" i="4"/>
  <c r="AG40" i="4"/>
  <c r="AF40" i="4"/>
  <c r="AE40" i="4"/>
  <c r="AD40" i="4"/>
  <c r="AC40" i="4"/>
  <c r="AB40" i="4"/>
  <c r="AA40" i="4"/>
  <c r="Z40" i="4"/>
  <c r="Y40" i="4"/>
  <c r="W40" i="4"/>
  <c r="T40" i="4"/>
  <c r="Q40" i="4"/>
  <c r="O40" i="4"/>
  <c r="M40" i="4"/>
  <c r="K40" i="4"/>
  <c r="I40" i="4"/>
  <c r="G40" i="4"/>
  <c r="E40" i="4"/>
  <c r="AH39" i="4"/>
  <c r="AG39" i="4"/>
  <c r="AF39" i="4"/>
  <c r="AE39" i="4"/>
  <c r="AD39" i="4"/>
  <c r="AC39" i="4"/>
  <c r="AB39" i="4"/>
  <c r="AA39" i="4"/>
  <c r="Z39" i="4"/>
  <c r="Y39" i="4"/>
  <c r="W39" i="4"/>
  <c r="T39" i="4"/>
  <c r="Q39" i="4"/>
  <c r="O39" i="4"/>
  <c r="M39" i="4"/>
  <c r="K39" i="4"/>
  <c r="I39" i="4"/>
  <c r="G39" i="4"/>
  <c r="E39" i="4"/>
  <c r="AH38" i="4"/>
  <c r="AG38" i="4"/>
  <c r="AF38" i="4"/>
  <c r="AE38" i="4"/>
  <c r="AD38" i="4"/>
  <c r="AC38" i="4"/>
  <c r="AB38" i="4"/>
  <c r="AA38" i="4"/>
  <c r="Z38" i="4"/>
  <c r="Y38" i="4"/>
  <c r="W38" i="4"/>
  <c r="T38" i="4"/>
  <c r="Q38" i="4"/>
  <c r="O38" i="4"/>
  <c r="M38" i="4"/>
  <c r="K38" i="4"/>
  <c r="I38" i="4"/>
  <c r="G38" i="4"/>
  <c r="E38" i="4"/>
  <c r="AH37" i="4"/>
  <c r="AG37" i="4"/>
  <c r="AF37" i="4"/>
  <c r="AE37" i="4"/>
  <c r="AD37" i="4"/>
  <c r="AC37" i="4"/>
  <c r="AB37" i="4"/>
  <c r="AA37" i="4"/>
  <c r="Z37" i="4"/>
  <c r="Y37" i="4"/>
  <c r="W37" i="4"/>
  <c r="T37" i="4"/>
  <c r="Q37" i="4"/>
  <c r="O37" i="4"/>
  <c r="M37" i="4"/>
  <c r="K37" i="4"/>
  <c r="I37" i="4"/>
  <c r="G37" i="4"/>
  <c r="E37" i="4"/>
  <c r="AH36" i="4"/>
  <c r="AG36" i="4"/>
  <c r="AF36" i="4"/>
  <c r="AE36" i="4"/>
  <c r="AD36" i="4"/>
  <c r="AC36" i="4"/>
  <c r="AB36" i="4"/>
  <c r="AA36" i="4"/>
  <c r="Z36" i="4"/>
  <c r="Y36" i="4"/>
  <c r="W36" i="4"/>
  <c r="T36" i="4"/>
  <c r="Q36" i="4"/>
  <c r="O36" i="4"/>
  <c r="M36" i="4"/>
  <c r="K36" i="4"/>
  <c r="I36" i="4"/>
  <c r="G36" i="4"/>
  <c r="E36" i="4"/>
  <c r="AH35" i="4"/>
  <c r="AG35" i="4"/>
  <c r="AF35" i="4"/>
  <c r="AE35" i="4"/>
  <c r="AD35" i="4"/>
  <c r="AC35" i="4"/>
  <c r="AB35" i="4"/>
  <c r="AA35" i="4"/>
  <c r="Z35" i="4"/>
  <c r="Y35" i="4"/>
  <c r="W35" i="4"/>
  <c r="T35" i="4"/>
  <c r="Q35" i="4"/>
  <c r="O35" i="4"/>
  <c r="M35" i="4"/>
  <c r="K35" i="4"/>
  <c r="I35" i="4"/>
  <c r="G35" i="4"/>
  <c r="E35" i="4"/>
  <c r="AH34" i="4"/>
  <c r="AG34" i="4"/>
  <c r="AF34" i="4"/>
  <c r="AE34" i="4"/>
  <c r="AD34" i="4"/>
  <c r="AC34" i="4"/>
  <c r="AB34" i="4"/>
  <c r="AA34" i="4"/>
  <c r="Z34" i="4"/>
  <c r="Y34" i="4"/>
  <c r="W34" i="4"/>
  <c r="T34" i="4"/>
  <c r="Q34" i="4"/>
  <c r="O34" i="4"/>
  <c r="M34" i="4"/>
  <c r="K34" i="4"/>
  <c r="I34" i="4"/>
  <c r="G34" i="4"/>
  <c r="E34" i="4"/>
  <c r="AH33" i="4"/>
  <c r="AG33" i="4"/>
  <c r="AF33" i="4"/>
  <c r="AE33" i="4"/>
  <c r="AD33" i="4"/>
  <c r="AC33" i="4"/>
  <c r="AB33" i="4"/>
  <c r="AA33" i="4"/>
  <c r="Z33" i="4"/>
  <c r="Y33" i="4"/>
  <c r="W33" i="4"/>
  <c r="T33" i="4"/>
  <c r="Q33" i="4"/>
  <c r="O33" i="4"/>
  <c r="M33" i="4"/>
  <c r="K33" i="4"/>
  <c r="I33" i="4"/>
  <c r="G33" i="4"/>
  <c r="E33" i="4"/>
  <c r="AH32" i="4"/>
  <c r="AG32" i="4"/>
  <c r="AF32" i="4"/>
  <c r="AE32" i="4"/>
  <c r="AD32" i="4"/>
  <c r="AC32" i="4"/>
  <c r="AB32" i="4"/>
  <c r="AA32" i="4"/>
  <c r="Z32" i="4"/>
  <c r="Y32" i="4"/>
  <c r="W32" i="4"/>
  <c r="T32" i="4"/>
  <c r="Q32" i="4"/>
  <c r="O32" i="4"/>
  <c r="M32" i="4"/>
  <c r="K32" i="4"/>
  <c r="I32" i="4"/>
  <c r="G32" i="4"/>
  <c r="E32" i="4"/>
  <c r="AH31" i="4"/>
  <c r="AG31" i="4"/>
  <c r="AF31" i="4"/>
  <c r="AE31" i="4"/>
  <c r="AD31" i="4"/>
  <c r="AC31" i="4"/>
  <c r="AB31" i="4"/>
  <c r="AA31" i="4"/>
  <c r="Z31" i="4"/>
  <c r="Y31" i="4"/>
  <c r="W31" i="4"/>
  <c r="T31" i="4"/>
  <c r="Q31" i="4"/>
  <c r="O31" i="4"/>
  <c r="M31" i="4"/>
  <c r="K31" i="4"/>
  <c r="I31" i="4"/>
  <c r="G31" i="4"/>
  <c r="E31" i="4"/>
  <c r="AH30" i="4"/>
  <c r="AG30" i="4"/>
  <c r="AF30" i="4"/>
  <c r="AE30" i="4"/>
  <c r="AD30" i="4"/>
  <c r="AC30" i="4"/>
  <c r="AB30" i="4"/>
  <c r="AA30" i="4"/>
  <c r="Z30" i="4"/>
  <c r="Y30" i="4"/>
  <c r="W30" i="4"/>
  <c r="T30" i="4"/>
  <c r="Q30" i="4"/>
  <c r="O30" i="4"/>
  <c r="M30" i="4"/>
  <c r="K30" i="4"/>
  <c r="I30" i="4"/>
  <c r="G30" i="4"/>
  <c r="E30" i="4"/>
  <c r="AH29" i="4"/>
  <c r="AG29" i="4"/>
  <c r="AF29" i="4"/>
  <c r="AE29" i="4"/>
  <c r="AD29" i="4"/>
  <c r="AC29" i="4"/>
  <c r="AB29" i="4"/>
  <c r="AA29" i="4"/>
  <c r="Z29" i="4"/>
  <c r="Y29" i="4"/>
  <c r="W29" i="4"/>
  <c r="T29" i="4"/>
  <c r="Q29" i="4"/>
  <c r="O29" i="4"/>
  <c r="M29" i="4"/>
  <c r="K29" i="4"/>
  <c r="I29" i="4"/>
  <c r="G29" i="4"/>
  <c r="E29" i="4"/>
  <c r="AH28" i="4"/>
  <c r="AG28" i="4"/>
  <c r="AF28" i="4"/>
  <c r="AE28" i="4"/>
  <c r="AD28" i="4"/>
  <c r="AC28" i="4"/>
  <c r="AB28" i="4"/>
  <c r="AA28" i="4"/>
  <c r="Z28" i="4"/>
  <c r="Y28" i="4"/>
  <c r="W28" i="4"/>
  <c r="T28" i="4"/>
  <c r="Q28" i="4"/>
  <c r="O28" i="4"/>
  <c r="M28" i="4"/>
  <c r="K28" i="4"/>
  <c r="I28" i="4"/>
  <c r="G28" i="4"/>
  <c r="E28" i="4"/>
  <c r="AH27" i="4"/>
  <c r="AG27" i="4"/>
  <c r="AF27" i="4"/>
  <c r="AE27" i="4"/>
  <c r="AD27" i="4"/>
  <c r="AC27" i="4"/>
  <c r="AB27" i="4"/>
  <c r="AA27" i="4"/>
  <c r="Z27" i="4"/>
  <c r="Y27" i="4"/>
  <c r="W27" i="4"/>
  <c r="T27" i="4"/>
  <c r="Q27" i="4"/>
  <c r="O27" i="4"/>
  <c r="M27" i="4"/>
  <c r="K27" i="4"/>
  <c r="I27" i="4"/>
  <c r="G27" i="4"/>
  <c r="E27" i="4"/>
  <c r="AH26" i="4"/>
  <c r="AG26" i="4"/>
  <c r="AF26" i="4"/>
  <c r="AE26" i="4"/>
  <c r="AD26" i="4"/>
  <c r="AC26" i="4"/>
  <c r="AB26" i="4"/>
  <c r="AA26" i="4"/>
  <c r="Z26" i="4"/>
  <c r="Y26" i="4"/>
  <c r="W26" i="4"/>
  <c r="T26" i="4"/>
  <c r="Q26" i="4"/>
  <c r="O26" i="4"/>
  <c r="M26" i="4"/>
  <c r="K26" i="4"/>
  <c r="I26" i="4"/>
  <c r="G26" i="4"/>
  <c r="E26" i="4"/>
  <c r="AH25" i="4"/>
  <c r="AG25" i="4"/>
  <c r="AF25" i="4"/>
  <c r="AE25" i="4"/>
  <c r="AD25" i="4"/>
  <c r="AC25" i="4"/>
  <c r="AB25" i="4"/>
  <c r="AA25" i="4"/>
  <c r="Z25" i="4"/>
  <c r="Y25" i="4"/>
  <c r="W25" i="4"/>
  <c r="T25" i="4"/>
  <c r="Q25" i="4"/>
  <c r="O25" i="4"/>
  <c r="M25" i="4"/>
  <c r="K25" i="4"/>
  <c r="I25" i="4"/>
  <c r="G25" i="4"/>
  <c r="E25" i="4"/>
  <c r="AH24" i="4"/>
  <c r="AG24" i="4"/>
  <c r="AF24" i="4"/>
  <c r="AE24" i="4"/>
  <c r="AD24" i="4"/>
  <c r="AC24" i="4"/>
  <c r="AB24" i="4"/>
  <c r="AA24" i="4"/>
  <c r="Z24" i="4"/>
  <c r="Y24" i="4"/>
  <c r="W24" i="4"/>
  <c r="T24" i="4"/>
  <c r="Q24" i="4"/>
  <c r="O24" i="4"/>
  <c r="M24" i="4"/>
  <c r="K24" i="4"/>
  <c r="I24" i="4"/>
  <c r="G24" i="4"/>
  <c r="E24" i="4"/>
  <c r="AH23" i="4"/>
  <c r="AG23" i="4"/>
  <c r="AF23" i="4"/>
  <c r="AE23" i="4"/>
  <c r="AD23" i="4"/>
  <c r="AC23" i="4"/>
  <c r="AB23" i="4"/>
  <c r="AA23" i="4"/>
  <c r="Z23" i="4"/>
  <c r="Y23" i="4"/>
  <c r="W23" i="4"/>
  <c r="T23" i="4"/>
  <c r="Q23" i="4"/>
  <c r="O23" i="4"/>
  <c r="M23" i="4"/>
  <c r="K23" i="4"/>
  <c r="I23" i="4"/>
  <c r="G23" i="4"/>
  <c r="E23" i="4"/>
  <c r="AH22" i="4"/>
  <c r="AG22" i="4"/>
  <c r="AF22" i="4"/>
  <c r="AE22" i="4"/>
  <c r="AD22" i="4"/>
  <c r="AC22" i="4"/>
  <c r="AB22" i="4"/>
  <c r="AA22" i="4"/>
  <c r="Z22" i="4"/>
  <c r="Y22" i="4"/>
  <c r="W22" i="4"/>
  <c r="T22" i="4"/>
  <c r="Q22" i="4"/>
  <c r="O22" i="4"/>
  <c r="M22" i="4"/>
  <c r="K22" i="4"/>
  <c r="I22" i="4"/>
  <c r="G22" i="4"/>
  <c r="E22" i="4"/>
  <c r="AH21" i="4"/>
  <c r="AG21" i="4"/>
  <c r="AF21" i="4"/>
  <c r="AE21" i="4"/>
  <c r="AD21" i="4"/>
  <c r="AC21" i="4"/>
  <c r="AB21" i="4"/>
  <c r="AA21" i="4"/>
  <c r="Z21" i="4"/>
  <c r="Y21" i="4"/>
  <c r="W21" i="4"/>
  <c r="T21" i="4"/>
  <c r="Q21" i="4"/>
  <c r="O21" i="4"/>
  <c r="M21" i="4"/>
  <c r="K21" i="4"/>
  <c r="I21" i="4"/>
  <c r="G21" i="4"/>
  <c r="E21" i="4"/>
  <c r="AH20" i="4"/>
  <c r="AG20" i="4"/>
  <c r="AF20" i="4"/>
  <c r="AE20" i="4"/>
  <c r="AD20" i="4"/>
  <c r="AC20" i="4"/>
  <c r="AB20" i="4"/>
  <c r="AA20" i="4"/>
  <c r="Z20" i="4"/>
  <c r="Y20" i="4"/>
  <c r="W20" i="4"/>
  <c r="T20" i="4"/>
  <c r="Q20" i="4"/>
  <c r="O20" i="4"/>
  <c r="M20" i="4"/>
  <c r="K20" i="4"/>
  <c r="I20" i="4"/>
  <c r="G20" i="4"/>
  <c r="E20" i="4"/>
  <c r="AH19" i="4"/>
  <c r="AG19" i="4"/>
  <c r="AF19" i="4"/>
  <c r="AE19" i="4"/>
  <c r="AD19" i="4"/>
  <c r="AC19" i="4"/>
  <c r="AB19" i="4"/>
  <c r="AA19" i="4"/>
  <c r="Z19" i="4"/>
  <c r="Y19" i="4"/>
  <c r="W19" i="4"/>
  <c r="T19" i="4"/>
  <c r="Q19" i="4"/>
  <c r="O19" i="4"/>
  <c r="M19" i="4"/>
  <c r="K19" i="4"/>
  <c r="I19" i="4"/>
  <c r="G19" i="4"/>
  <c r="E19" i="4"/>
  <c r="AH18" i="4"/>
  <c r="AG18" i="4"/>
  <c r="AF18" i="4"/>
  <c r="AE18" i="4"/>
  <c r="AD18" i="4"/>
  <c r="AC18" i="4"/>
  <c r="AB18" i="4"/>
  <c r="AA18" i="4"/>
  <c r="Z18" i="4"/>
  <c r="Y18" i="4"/>
  <c r="W18" i="4"/>
  <c r="T18" i="4"/>
  <c r="Q18" i="4"/>
  <c r="O18" i="4"/>
  <c r="M18" i="4"/>
  <c r="K18" i="4"/>
  <c r="I18" i="4"/>
  <c r="G18" i="4"/>
  <c r="E18" i="4"/>
  <c r="AH17" i="4"/>
  <c r="AG17" i="4"/>
  <c r="AF17" i="4"/>
  <c r="AE17" i="4"/>
  <c r="AD17" i="4"/>
  <c r="AC17" i="4"/>
  <c r="AB17" i="4"/>
  <c r="AA17" i="4"/>
  <c r="Z17" i="4"/>
  <c r="Y17" i="4"/>
  <c r="W17" i="4"/>
  <c r="T17" i="4"/>
  <c r="Q17" i="4"/>
  <c r="O17" i="4"/>
  <c r="M17" i="4"/>
  <c r="K17" i="4"/>
  <c r="I17" i="4"/>
  <c r="G17" i="4"/>
  <c r="E17" i="4"/>
  <c r="AH16" i="4"/>
  <c r="AG16" i="4"/>
  <c r="AF16" i="4"/>
  <c r="AE16" i="4"/>
  <c r="AD16" i="4"/>
  <c r="AC16" i="4"/>
  <c r="AB16" i="4"/>
  <c r="AA16" i="4"/>
  <c r="Z16" i="4"/>
  <c r="Y16" i="4"/>
  <c r="W16" i="4"/>
  <c r="T16" i="4"/>
  <c r="Q16" i="4"/>
  <c r="O16" i="4"/>
  <c r="M16" i="4"/>
  <c r="K16" i="4"/>
  <c r="I16" i="4"/>
  <c r="G16" i="4"/>
  <c r="E16" i="4"/>
  <c r="AH15" i="4"/>
  <c r="AG15" i="4"/>
  <c r="AF15" i="4"/>
  <c r="AE15" i="4"/>
  <c r="AD15" i="4"/>
  <c r="AC15" i="4"/>
  <c r="AB15" i="4"/>
  <c r="AA15" i="4"/>
  <c r="Z15" i="4"/>
  <c r="Y15" i="4"/>
  <c r="W15" i="4"/>
  <c r="T15" i="4"/>
  <c r="Q15" i="4"/>
  <c r="O15" i="4"/>
  <c r="M15" i="4"/>
  <c r="K15" i="4"/>
  <c r="I15" i="4"/>
  <c r="G15" i="4"/>
  <c r="E15" i="4"/>
  <c r="AH14" i="4"/>
  <c r="AG14" i="4"/>
  <c r="AF14" i="4"/>
  <c r="AE14" i="4"/>
  <c r="AD14" i="4"/>
  <c r="AC14" i="4"/>
  <c r="AB14" i="4"/>
  <c r="AA14" i="4"/>
  <c r="Z14" i="4"/>
  <c r="Y14" i="4"/>
  <c r="W14" i="4"/>
  <c r="T14" i="4"/>
  <c r="Q14" i="4"/>
  <c r="O14" i="4"/>
  <c r="M14" i="4"/>
  <c r="K14" i="4"/>
  <c r="I14" i="4"/>
  <c r="G14" i="4"/>
  <c r="E14" i="4"/>
  <c r="AH13" i="4"/>
  <c r="AG13" i="4"/>
  <c r="AF13" i="4"/>
  <c r="AE13" i="4"/>
  <c r="AD13" i="4"/>
  <c r="AC13" i="4"/>
  <c r="AB13" i="4"/>
  <c r="AA13" i="4"/>
  <c r="Z13" i="4"/>
  <c r="Y13" i="4"/>
  <c r="W13" i="4"/>
  <c r="T13" i="4"/>
  <c r="Q13" i="4"/>
  <c r="O13" i="4"/>
  <c r="M13" i="4"/>
  <c r="K13" i="4"/>
  <c r="I13" i="4"/>
  <c r="G13" i="4"/>
  <c r="E13" i="4"/>
  <c r="AH12" i="4"/>
  <c r="AG12" i="4"/>
  <c r="AF12" i="4"/>
  <c r="AE12" i="4"/>
  <c r="AD12" i="4"/>
  <c r="AC12" i="4"/>
  <c r="AB12" i="4"/>
  <c r="AA12" i="4"/>
  <c r="Z12" i="4"/>
  <c r="Y12" i="4"/>
  <c r="W12" i="4"/>
  <c r="T12" i="4"/>
  <c r="Q12" i="4"/>
  <c r="O12" i="4"/>
  <c r="M12" i="4"/>
  <c r="K12" i="4"/>
  <c r="I12" i="4"/>
  <c r="G12" i="4"/>
  <c r="E12" i="4"/>
  <c r="AH11" i="4"/>
  <c r="AG11" i="4"/>
  <c r="AF11" i="4"/>
  <c r="AE11" i="4"/>
  <c r="AD11" i="4"/>
  <c r="AC11" i="4"/>
  <c r="AB11" i="4"/>
  <c r="AA11" i="4"/>
  <c r="Z11" i="4"/>
  <c r="Y11" i="4"/>
  <c r="W11" i="4"/>
  <c r="T11" i="4"/>
  <c r="Q11" i="4"/>
  <c r="O11" i="4"/>
  <c r="M11" i="4"/>
  <c r="K11" i="4"/>
  <c r="I11" i="4"/>
  <c r="G11" i="4"/>
  <c r="E11" i="4"/>
  <c r="AH10" i="4"/>
  <c r="AG10" i="4"/>
  <c r="AF10" i="4"/>
  <c r="AE10" i="4"/>
  <c r="AD10" i="4"/>
  <c r="AC10" i="4"/>
  <c r="AB10" i="4"/>
  <c r="AA10" i="4"/>
  <c r="Z10" i="4"/>
  <c r="Y10" i="4"/>
  <c r="W10" i="4"/>
  <c r="T10" i="4"/>
  <c r="Q10" i="4"/>
  <c r="O10" i="4"/>
  <c r="M10" i="4"/>
  <c r="K10" i="4"/>
  <c r="I10" i="4"/>
  <c r="G10" i="4"/>
  <c r="E10" i="4"/>
  <c r="AH9" i="4"/>
  <c r="AG9" i="4"/>
  <c r="AF9" i="4"/>
  <c r="AE9" i="4"/>
  <c r="AD9" i="4"/>
  <c r="AC9" i="4"/>
  <c r="AB9" i="4"/>
  <c r="AA9" i="4"/>
  <c r="Z9" i="4"/>
  <c r="Y9" i="4"/>
  <c r="W9" i="4"/>
  <c r="T9" i="4"/>
  <c r="Q9" i="4"/>
  <c r="O9" i="4"/>
  <c r="M9" i="4"/>
  <c r="K9" i="4"/>
  <c r="I9" i="4"/>
  <c r="G9" i="4"/>
  <c r="E9" i="4"/>
  <c r="AH8" i="4"/>
  <c r="AG8" i="4"/>
  <c r="AF8" i="4"/>
  <c r="AE8" i="4"/>
  <c r="AD8" i="4"/>
  <c r="AC8" i="4"/>
  <c r="AB8" i="4"/>
  <c r="AA8" i="4"/>
  <c r="Z8" i="4"/>
  <c r="Y8" i="4"/>
  <c r="W8" i="4"/>
  <c r="T8" i="4"/>
  <c r="Q8" i="4"/>
  <c r="O8" i="4"/>
  <c r="M8" i="4"/>
  <c r="K8" i="4"/>
  <c r="I8" i="4"/>
  <c r="G8" i="4"/>
  <c r="E8" i="4"/>
  <c r="V77" i="5"/>
  <c r="S77" i="5"/>
  <c r="P77" i="5"/>
  <c r="N77" i="5"/>
  <c r="L77" i="5"/>
  <c r="J77" i="5"/>
  <c r="H77" i="5"/>
  <c r="F77" i="5"/>
  <c r="D77" i="5"/>
  <c r="V76" i="5"/>
  <c r="S76" i="5"/>
  <c r="P76" i="5"/>
  <c r="N76" i="5"/>
  <c r="L76" i="5"/>
  <c r="J76" i="5"/>
  <c r="H76" i="5"/>
  <c r="F76" i="5"/>
  <c r="D76" i="5"/>
  <c r="V75" i="5"/>
  <c r="S75" i="5"/>
  <c r="P75" i="5"/>
  <c r="N75" i="5"/>
  <c r="L75" i="5"/>
  <c r="J75" i="5"/>
  <c r="H75" i="5"/>
  <c r="F75" i="5"/>
  <c r="D75" i="5"/>
  <c r="V74" i="5"/>
  <c r="S74" i="5"/>
  <c r="P74" i="5"/>
  <c r="N74" i="5"/>
  <c r="L74" i="5"/>
  <c r="J74" i="5"/>
  <c r="H74" i="5"/>
  <c r="F74" i="5"/>
  <c r="D74" i="5"/>
  <c r="W72" i="5"/>
  <c r="T72" i="5"/>
  <c r="Q72" i="5"/>
  <c r="O72" i="5"/>
  <c r="M72" i="5"/>
  <c r="K72" i="5"/>
  <c r="I72" i="5"/>
  <c r="G72" i="5"/>
  <c r="E72" i="5"/>
  <c r="AD71" i="5"/>
  <c r="W71" i="5"/>
  <c r="T71" i="5"/>
  <c r="Q71" i="5"/>
  <c r="O71" i="5"/>
  <c r="M71" i="5"/>
  <c r="K71" i="5"/>
  <c r="I71" i="5"/>
  <c r="G71" i="5"/>
  <c r="E71" i="5"/>
  <c r="AE70" i="5"/>
  <c r="AC70" i="5"/>
  <c r="W70" i="5"/>
  <c r="T70" i="5"/>
  <c r="Q70" i="5"/>
  <c r="O70" i="5"/>
  <c r="M70" i="5"/>
  <c r="K70" i="5"/>
  <c r="I70" i="5"/>
  <c r="G70" i="5"/>
  <c r="E70" i="5"/>
  <c r="AE69" i="5"/>
  <c r="AB69" i="5"/>
  <c r="W69" i="5"/>
  <c r="T69" i="5"/>
  <c r="Q69" i="5"/>
  <c r="O69" i="5"/>
  <c r="M69" i="5"/>
  <c r="K69" i="5"/>
  <c r="I69" i="5"/>
  <c r="G69" i="5"/>
  <c r="E69" i="5"/>
  <c r="AE68" i="5"/>
  <c r="AA68" i="5"/>
  <c r="W68" i="5"/>
  <c r="T68" i="5"/>
  <c r="Q68" i="5"/>
  <c r="O68" i="5"/>
  <c r="M68" i="5"/>
  <c r="K68" i="5"/>
  <c r="I68" i="5"/>
  <c r="G68" i="5"/>
  <c r="E68" i="5"/>
  <c r="AE67" i="5"/>
  <c r="Z67" i="5"/>
  <c r="W67" i="5"/>
  <c r="T67" i="5"/>
  <c r="Q67" i="5"/>
  <c r="O67" i="5"/>
  <c r="M67" i="5"/>
  <c r="K67" i="5"/>
  <c r="I67" i="5"/>
  <c r="G67" i="5"/>
  <c r="E67" i="5"/>
  <c r="AE66" i="5"/>
  <c r="Y66" i="5"/>
  <c r="W66" i="5"/>
  <c r="T66" i="5"/>
  <c r="Q66" i="5"/>
  <c r="O66" i="5"/>
  <c r="M66" i="5"/>
  <c r="K66" i="5"/>
  <c r="I66" i="5"/>
  <c r="G66" i="5"/>
  <c r="E66" i="5"/>
  <c r="AE65" i="5"/>
  <c r="AD65" i="5"/>
  <c r="AE64" i="5"/>
  <c r="AD64" i="5"/>
  <c r="V64" i="5"/>
  <c r="S64" i="5"/>
  <c r="P64" i="5"/>
  <c r="N64" i="5"/>
  <c r="L64" i="5"/>
  <c r="J64" i="5"/>
  <c r="H64" i="5"/>
  <c r="F64" i="5"/>
  <c r="D64" i="5"/>
  <c r="AE63" i="5"/>
  <c r="AD63" i="5"/>
  <c r="V63" i="5"/>
  <c r="S63" i="5"/>
  <c r="P63" i="5"/>
  <c r="N63" i="5"/>
  <c r="L63" i="5"/>
  <c r="J63" i="5"/>
  <c r="H63" i="5"/>
  <c r="F63" i="5"/>
  <c r="D63" i="5"/>
  <c r="AH62" i="5"/>
  <c r="AG62" i="5"/>
  <c r="AF62" i="5"/>
  <c r="AE62" i="5"/>
  <c r="AD62" i="5"/>
  <c r="AC62" i="5"/>
  <c r="AB62" i="5"/>
  <c r="AA62" i="5"/>
  <c r="Z62" i="5"/>
  <c r="Y62" i="5"/>
  <c r="W62" i="5"/>
  <c r="T62" i="5"/>
  <c r="Q62" i="5"/>
  <c r="O62" i="5"/>
  <c r="M62" i="5"/>
  <c r="K62" i="5"/>
  <c r="I62" i="5"/>
  <c r="G62" i="5"/>
  <c r="E62" i="5"/>
  <c r="AH61" i="5"/>
  <c r="AG61" i="5"/>
  <c r="AF61" i="5"/>
  <c r="AE61" i="5"/>
  <c r="AD61" i="5"/>
  <c r="AC61" i="5"/>
  <c r="AB61" i="5"/>
  <c r="AA61" i="5"/>
  <c r="Z61" i="5"/>
  <c r="Y61" i="5"/>
  <c r="W61" i="5"/>
  <c r="T61" i="5"/>
  <c r="Q61" i="5"/>
  <c r="O61" i="5"/>
  <c r="M61" i="5"/>
  <c r="K61" i="5"/>
  <c r="I61" i="5"/>
  <c r="G61" i="5"/>
  <c r="E61" i="5"/>
  <c r="AH60" i="5"/>
  <c r="AG60" i="5"/>
  <c r="AF60" i="5"/>
  <c r="AE60" i="5"/>
  <c r="AD60" i="5"/>
  <c r="AC60" i="5"/>
  <c r="AB60" i="5"/>
  <c r="AA60" i="5"/>
  <c r="Z60" i="5"/>
  <c r="Y60" i="5"/>
  <c r="W60" i="5"/>
  <c r="T60" i="5"/>
  <c r="Q60" i="5"/>
  <c r="O60" i="5"/>
  <c r="M60" i="5"/>
  <c r="K60" i="5"/>
  <c r="I60" i="5"/>
  <c r="G60" i="5"/>
  <c r="E60" i="5"/>
  <c r="AH59" i="5"/>
  <c r="AG59" i="5"/>
  <c r="AF59" i="5"/>
  <c r="AE59" i="5"/>
  <c r="AD59" i="5"/>
  <c r="AC59" i="5"/>
  <c r="AB59" i="5"/>
  <c r="AA59" i="5"/>
  <c r="Z59" i="5"/>
  <c r="Y59" i="5"/>
  <c r="W59" i="5"/>
  <c r="T59" i="5"/>
  <c r="Q59" i="5"/>
  <c r="O59" i="5"/>
  <c r="M59" i="5"/>
  <c r="K59" i="5"/>
  <c r="I59" i="5"/>
  <c r="G59" i="5"/>
  <c r="E59" i="5"/>
  <c r="AH58" i="5"/>
  <c r="AG58" i="5"/>
  <c r="AF58" i="5"/>
  <c r="AE58" i="5"/>
  <c r="AD58" i="5"/>
  <c r="AC58" i="5"/>
  <c r="AB58" i="5"/>
  <c r="AA58" i="5"/>
  <c r="Z58" i="5"/>
  <c r="Y58" i="5"/>
  <c r="W58" i="5"/>
  <c r="T58" i="5"/>
  <c r="Q58" i="5"/>
  <c r="O58" i="5"/>
  <c r="M58" i="5"/>
  <c r="K58" i="5"/>
  <c r="I58" i="5"/>
  <c r="G58" i="5"/>
  <c r="E58" i="5"/>
  <c r="AH57" i="5"/>
  <c r="AG57" i="5"/>
  <c r="AF57" i="5"/>
  <c r="AE57" i="5"/>
  <c r="AD57" i="5"/>
  <c r="AC57" i="5"/>
  <c r="AB57" i="5"/>
  <c r="AA57" i="5"/>
  <c r="Z57" i="5"/>
  <c r="Y57" i="5"/>
  <c r="W57" i="5"/>
  <c r="T57" i="5"/>
  <c r="Q57" i="5"/>
  <c r="O57" i="5"/>
  <c r="M57" i="5"/>
  <c r="K57" i="5"/>
  <c r="I57" i="5"/>
  <c r="G57" i="5"/>
  <c r="E57" i="5"/>
  <c r="AH56" i="5"/>
  <c r="AG56" i="5"/>
  <c r="AF56" i="5"/>
  <c r="AE56" i="5"/>
  <c r="AD56" i="5"/>
  <c r="AC56" i="5"/>
  <c r="AB56" i="5"/>
  <c r="AA56" i="5"/>
  <c r="Z56" i="5"/>
  <c r="Y56" i="5"/>
  <c r="W56" i="5"/>
  <c r="T56" i="5"/>
  <c r="Q56" i="5"/>
  <c r="O56" i="5"/>
  <c r="M56" i="5"/>
  <c r="K56" i="5"/>
  <c r="I56" i="5"/>
  <c r="G56" i="5"/>
  <c r="E56" i="5"/>
  <c r="AH55" i="5"/>
  <c r="AG55" i="5"/>
  <c r="AF55" i="5"/>
  <c r="AE55" i="5"/>
  <c r="AD55" i="5"/>
  <c r="AC55" i="5"/>
  <c r="AB55" i="5"/>
  <c r="AA55" i="5"/>
  <c r="Z55" i="5"/>
  <c r="Y55" i="5"/>
  <c r="W55" i="5"/>
  <c r="T55" i="5"/>
  <c r="Q55" i="5"/>
  <c r="O55" i="5"/>
  <c r="M55" i="5"/>
  <c r="K55" i="5"/>
  <c r="I55" i="5"/>
  <c r="G55" i="5"/>
  <c r="E55" i="5"/>
  <c r="AH54" i="5"/>
  <c r="AG54" i="5"/>
  <c r="AF54" i="5"/>
  <c r="AE54" i="5"/>
  <c r="AD54" i="5"/>
  <c r="AC54" i="5"/>
  <c r="AB54" i="5"/>
  <c r="AA54" i="5"/>
  <c r="Z54" i="5"/>
  <c r="Y54" i="5"/>
  <c r="W54" i="5"/>
  <c r="T54" i="5"/>
  <c r="Q54" i="5"/>
  <c r="O54" i="5"/>
  <c r="M54" i="5"/>
  <c r="K54" i="5"/>
  <c r="I54" i="5"/>
  <c r="G54" i="5"/>
  <c r="E54" i="5"/>
  <c r="AH53" i="5"/>
  <c r="AG53" i="5"/>
  <c r="AF53" i="5"/>
  <c r="AE53" i="5"/>
  <c r="AD53" i="5"/>
  <c r="AC53" i="5"/>
  <c r="AB53" i="5"/>
  <c r="AA53" i="5"/>
  <c r="Z53" i="5"/>
  <c r="Y53" i="5"/>
  <c r="W53" i="5"/>
  <c r="T53" i="5"/>
  <c r="Q53" i="5"/>
  <c r="O53" i="5"/>
  <c r="M53" i="5"/>
  <c r="K53" i="5"/>
  <c r="I53" i="5"/>
  <c r="G53" i="5"/>
  <c r="E53" i="5"/>
  <c r="AH52" i="5"/>
  <c r="AG52" i="5"/>
  <c r="AF52" i="5"/>
  <c r="AE52" i="5"/>
  <c r="AD52" i="5"/>
  <c r="AC52" i="5"/>
  <c r="AB52" i="5"/>
  <c r="AA52" i="5"/>
  <c r="Z52" i="5"/>
  <c r="Y52" i="5"/>
  <c r="W52" i="5"/>
  <c r="T52" i="5"/>
  <c r="Q52" i="5"/>
  <c r="O52" i="5"/>
  <c r="M52" i="5"/>
  <c r="K52" i="5"/>
  <c r="I52" i="5"/>
  <c r="G52" i="5"/>
  <c r="E52" i="5"/>
  <c r="AH51" i="5"/>
  <c r="AG51" i="5"/>
  <c r="AF51" i="5"/>
  <c r="AE51" i="5"/>
  <c r="AD51" i="5"/>
  <c r="AC51" i="5"/>
  <c r="AB51" i="5"/>
  <c r="AA51" i="5"/>
  <c r="Z51" i="5"/>
  <c r="Y51" i="5"/>
  <c r="W51" i="5"/>
  <c r="T51" i="5"/>
  <c r="Q51" i="5"/>
  <c r="O51" i="5"/>
  <c r="M51" i="5"/>
  <c r="K51" i="5"/>
  <c r="I51" i="5"/>
  <c r="G51" i="5"/>
  <c r="E51" i="5"/>
  <c r="AH50" i="5"/>
  <c r="AG50" i="5"/>
  <c r="AF50" i="5"/>
  <c r="AE50" i="5"/>
  <c r="AD50" i="5"/>
  <c r="AC50" i="5"/>
  <c r="AB50" i="5"/>
  <c r="AA50" i="5"/>
  <c r="Z50" i="5"/>
  <c r="Y50" i="5"/>
  <c r="W50" i="5"/>
  <c r="T50" i="5"/>
  <c r="Q50" i="5"/>
  <c r="O50" i="5"/>
  <c r="M50" i="5"/>
  <c r="K50" i="5"/>
  <c r="I50" i="5"/>
  <c r="G50" i="5"/>
  <c r="E50" i="5"/>
  <c r="AH49" i="5"/>
  <c r="AG49" i="5"/>
  <c r="AF49" i="5"/>
  <c r="AE49" i="5"/>
  <c r="AD49" i="5"/>
  <c r="AC49" i="5"/>
  <c r="AB49" i="5"/>
  <c r="AA49" i="5"/>
  <c r="Z49" i="5"/>
  <c r="Y49" i="5"/>
  <c r="W49" i="5"/>
  <c r="T49" i="5"/>
  <c r="Q49" i="5"/>
  <c r="O49" i="5"/>
  <c r="M49" i="5"/>
  <c r="K49" i="5"/>
  <c r="I49" i="5"/>
  <c r="G49" i="5"/>
  <c r="E49" i="5"/>
  <c r="AH48" i="5"/>
  <c r="AG48" i="5"/>
  <c r="AF48" i="5"/>
  <c r="AE48" i="5"/>
  <c r="AD48" i="5"/>
  <c r="AC48" i="5"/>
  <c r="AB48" i="5"/>
  <c r="AA48" i="5"/>
  <c r="Z48" i="5"/>
  <c r="Y48" i="5"/>
  <c r="W48" i="5"/>
  <c r="T48" i="5"/>
  <c r="Q48" i="5"/>
  <c r="O48" i="5"/>
  <c r="M48" i="5"/>
  <c r="K48" i="5"/>
  <c r="I48" i="5"/>
  <c r="G48" i="5"/>
  <c r="E48" i="5"/>
  <c r="AH47" i="5"/>
  <c r="AG47" i="5"/>
  <c r="AF47" i="5"/>
  <c r="AE47" i="5"/>
  <c r="AD47" i="5"/>
  <c r="AC47" i="5"/>
  <c r="AB47" i="5"/>
  <c r="AA47" i="5"/>
  <c r="Z47" i="5"/>
  <c r="Y47" i="5"/>
  <c r="W47" i="5"/>
  <c r="T47" i="5"/>
  <c r="Q47" i="5"/>
  <c r="O47" i="5"/>
  <c r="M47" i="5"/>
  <c r="K47" i="5"/>
  <c r="I47" i="5"/>
  <c r="G47" i="5"/>
  <c r="E47" i="5"/>
  <c r="AH46" i="5"/>
  <c r="AG46" i="5"/>
  <c r="AF46" i="5"/>
  <c r="AE46" i="5"/>
  <c r="AD46" i="5"/>
  <c r="AC46" i="5"/>
  <c r="AB46" i="5"/>
  <c r="AA46" i="5"/>
  <c r="Z46" i="5"/>
  <c r="Y46" i="5"/>
  <c r="W46" i="5"/>
  <c r="T46" i="5"/>
  <c r="Q46" i="5"/>
  <c r="O46" i="5"/>
  <c r="M46" i="5"/>
  <c r="K46" i="5"/>
  <c r="I46" i="5"/>
  <c r="G46" i="5"/>
  <c r="E46" i="5"/>
  <c r="AH45" i="5"/>
  <c r="AG45" i="5"/>
  <c r="AF45" i="5"/>
  <c r="AE45" i="5"/>
  <c r="AD45" i="5"/>
  <c r="AC45" i="5"/>
  <c r="AB45" i="5"/>
  <c r="AA45" i="5"/>
  <c r="Z45" i="5"/>
  <c r="Y45" i="5"/>
  <c r="W45" i="5"/>
  <c r="T45" i="5"/>
  <c r="Q45" i="5"/>
  <c r="O45" i="5"/>
  <c r="M45" i="5"/>
  <c r="K45" i="5"/>
  <c r="I45" i="5"/>
  <c r="G45" i="5"/>
  <c r="E45" i="5"/>
  <c r="AH44" i="5"/>
  <c r="AG44" i="5"/>
  <c r="AF44" i="5"/>
  <c r="AE44" i="5"/>
  <c r="AD44" i="5"/>
  <c r="AC44" i="5"/>
  <c r="AB44" i="5"/>
  <c r="AA44" i="5"/>
  <c r="Z44" i="5"/>
  <c r="Y44" i="5"/>
  <c r="W44" i="5"/>
  <c r="T44" i="5"/>
  <c r="Q44" i="5"/>
  <c r="O44" i="5"/>
  <c r="M44" i="5"/>
  <c r="K44" i="5"/>
  <c r="I44" i="5"/>
  <c r="G44" i="5"/>
  <c r="E44" i="5"/>
  <c r="AH43" i="5"/>
  <c r="AG43" i="5"/>
  <c r="AF43" i="5"/>
  <c r="AE43" i="5"/>
  <c r="AD43" i="5"/>
  <c r="AC43" i="5"/>
  <c r="AB43" i="5"/>
  <c r="AA43" i="5"/>
  <c r="Z43" i="5"/>
  <c r="Y43" i="5"/>
  <c r="W43" i="5"/>
  <c r="T43" i="5"/>
  <c r="Q43" i="5"/>
  <c r="O43" i="5"/>
  <c r="M43" i="5"/>
  <c r="K43" i="5"/>
  <c r="I43" i="5"/>
  <c r="G43" i="5"/>
  <c r="E43" i="5"/>
  <c r="AH42" i="5"/>
  <c r="AG42" i="5"/>
  <c r="AF42" i="5"/>
  <c r="AE42" i="5"/>
  <c r="AD42" i="5"/>
  <c r="AC42" i="5"/>
  <c r="AB42" i="5"/>
  <c r="AA42" i="5"/>
  <c r="Z42" i="5"/>
  <c r="Y42" i="5"/>
  <c r="W42" i="5"/>
  <c r="T42" i="5"/>
  <c r="Q42" i="5"/>
  <c r="O42" i="5"/>
  <c r="M42" i="5"/>
  <c r="K42" i="5"/>
  <c r="I42" i="5"/>
  <c r="G42" i="5"/>
  <c r="E42" i="5"/>
  <c r="AH41" i="5"/>
  <c r="AG41" i="5"/>
  <c r="AF41" i="5"/>
  <c r="AE41" i="5"/>
  <c r="AD41" i="5"/>
  <c r="AC41" i="5"/>
  <c r="AB41" i="5"/>
  <c r="AA41" i="5"/>
  <c r="Z41" i="5"/>
  <c r="Y41" i="5"/>
  <c r="W41" i="5"/>
  <c r="T41" i="5"/>
  <c r="Q41" i="5"/>
  <c r="O41" i="5"/>
  <c r="M41" i="5"/>
  <c r="K41" i="5"/>
  <c r="I41" i="5"/>
  <c r="G41" i="5"/>
  <c r="E41" i="5"/>
  <c r="AH40" i="5"/>
  <c r="AG40" i="5"/>
  <c r="AF40" i="5"/>
  <c r="AE40" i="5"/>
  <c r="AD40" i="5"/>
  <c r="AC40" i="5"/>
  <c r="AB40" i="5"/>
  <c r="AA40" i="5"/>
  <c r="Z40" i="5"/>
  <c r="Y40" i="5"/>
  <c r="W40" i="5"/>
  <c r="T40" i="5"/>
  <c r="Q40" i="5"/>
  <c r="O40" i="5"/>
  <c r="M40" i="5"/>
  <c r="K40" i="5"/>
  <c r="I40" i="5"/>
  <c r="G40" i="5"/>
  <c r="E40" i="5"/>
  <c r="AH39" i="5"/>
  <c r="AG39" i="5"/>
  <c r="AF39" i="5"/>
  <c r="AE39" i="5"/>
  <c r="AD39" i="5"/>
  <c r="AC39" i="5"/>
  <c r="AB39" i="5"/>
  <c r="AA39" i="5"/>
  <c r="Z39" i="5"/>
  <c r="Y39" i="5"/>
  <c r="W39" i="5"/>
  <c r="T39" i="5"/>
  <c r="Q39" i="5"/>
  <c r="O39" i="5"/>
  <c r="M39" i="5"/>
  <c r="K39" i="5"/>
  <c r="I39" i="5"/>
  <c r="G39" i="5"/>
  <c r="E39" i="5"/>
  <c r="AH38" i="5"/>
  <c r="AG38" i="5"/>
  <c r="AF38" i="5"/>
  <c r="AE38" i="5"/>
  <c r="AD38" i="5"/>
  <c r="AC38" i="5"/>
  <c r="AB38" i="5"/>
  <c r="AA38" i="5"/>
  <c r="Z38" i="5"/>
  <c r="Y38" i="5"/>
  <c r="W38" i="5"/>
  <c r="T38" i="5"/>
  <c r="Q38" i="5"/>
  <c r="O38" i="5"/>
  <c r="M38" i="5"/>
  <c r="K38" i="5"/>
  <c r="I38" i="5"/>
  <c r="G38" i="5"/>
  <c r="E38" i="5"/>
  <c r="AH37" i="5"/>
  <c r="AG37" i="5"/>
  <c r="AF37" i="5"/>
  <c r="AE37" i="5"/>
  <c r="AD37" i="5"/>
  <c r="AC37" i="5"/>
  <c r="AB37" i="5"/>
  <c r="AA37" i="5"/>
  <c r="Z37" i="5"/>
  <c r="Y37" i="5"/>
  <c r="W37" i="5"/>
  <c r="T37" i="5"/>
  <c r="Q37" i="5"/>
  <c r="O37" i="5"/>
  <c r="M37" i="5"/>
  <c r="K37" i="5"/>
  <c r="I37" i="5"/>
  <c r="G37" i="5"/>
  <c r="E37" i="5"/>
  <c r="AH36" i="5"/>
  <c r="AG36" i="5"/>
  <c r="AF36" i="5"/>
  <c r="AE36" i="5"/>
  <c r="AD36" i="5"/>
  <c r="AC36" i="5"/>
  <c r="AB36" i="5"/>
  <c r="AA36" i="5"/>
  <c r="Z36" i="5"/>
  <c r="Y36" i="5"/>
  <c r="W36" i="5"/>
  <c r="T36" i="5"/>
  <c r="Q36" i="5"/>
  <c r="O36" i="5"/>
  <c r="M36" i="5"/>
  <c r="K36" i="5"/>
  <c r="I36" i="5"/>
  <c r="G36" i="5"/>
  <c r="E36" i="5"/>
  <c r="AH35" i="5"/>
  <c r="AG35" i="5"/>
  <c r="AF35" i="5"/>
  <c r="AE35" i="5"/>
  <c r="AD35" i="5"/>
  <c r="AC35" i="5"/>
  <c r="AB35" i="5"/>
  <c r="AA35" i="5"/>
  <c r="Z35" i="5"/>
  <c r="Y35" i="5"/>
  <c r="W35" i="5"/>
  <c r="T35" i="5"/>
  <c r="Q35" i="5"/>
  <c r="O35" i="5"/>
  <c r="M35" i="5"/>
  <c r="K35" i="5"/>
  <c r="I35" i="5"/>
  <c r="G35" i="5"/>
  <c r="E35" i="5"/>
  <c r="AH34" i="5"/>
  <c r="AG34" i="5"/>
  <c r="AF34" i="5"/>
  <c r="AE34" i="5"/>
  <c r="AD34" i="5"/>
  <c r="AC34" i="5"/>
  <c r="AB34" i="5"/>
  <c r="AA34" i="5"/>
  <c r="Z34" i="5"/>
  <c r="Y34" i="5"/>
  <c r="W34" i="5"/>
  <c r="T34" i="5"/>
  <c r="Q34" i="5"/>
  <c r="O34" i="5"/>
  <c r="M34" i="5"/>
  <c r="K34" i="5"/>
  <c r="I34" i="5"/>
  <c r="G34" i="5"/>
  <c r="E34" i="5"/>
  <c r="AH33" i="5"/>
  <c r="AG33" i="5"/>
  <c r="AF33" i="5"/>
  <c r="AE33" i="5"/>
  <c r="AD33" i="5"/>
  <c r="AC33" i="5"/>
  <c r="AB33" i="5"/>
  <c r="AA33" i="5"/>
  <c r="Z33" i="5"/>
  <c r="Y33" i="5"/>
  <c r="W33" i="5"/>
  <c r="T33" i="5"/>
  <c r="Q33" i="5"/>
  <c r="O33" i="5"/>
  <c r="M33" i="5"/>
  <c r="K33" i="5"/>
  <c r="I33" i="5"/>
  <c r="G33" i="5"/>
  <c r="E33" i="5"/>
  <c r="AH32" i="5"/>
  <c r="AG32" i="5"/>
  <c r="AF32" i="5"/>
  <c r="AE32" i="5"/>
  <c r="AD32" i="5"/>
  <c r="AC32" i="5"/>
  <c r="AB32" i="5"/>
  <c r="AA32" i="5"/>
  <c r="Z32" i="5"/>
  <c r="Y32" i="5"/>
  <c r="W32" i="5"/>
  <c r="T32" i="5"/>
  <c r="Q32" i="5"/>
  <c r="O32" i="5"/>
  <c r="M32" i="5"/>
  <c r="K32" i="5"/>
  <c r="I32" i="5"/>
  <c r="G32" i="5"/>
  <c r="E32" i="5"/>
  <c r="AH31" i="5"/>
  <c r="AG31" i="5"/>
  <c r="AF31" i="5"/>
  <c r="AE31" i="5"/>
  <c r="AD31" i="5"/>
  <c r="AC31" i="5"/>
  <c r="AB31" i="5"/>
  <c r="AA31" i="5"/>
  <c r="Z31" i="5"/>
  <c r="Y31" i="5"/>
  <c r="W31" i="5"/>
  <c r="T31" i="5"/>
  <c r="Q31" i="5"/>
  <c r="O31" i="5"/>
  <c r="M31" i="5"/>
  <c r="K31" i="5"/>
  <c r="I31" i="5"/>
  <c r="G31" i="5"/>
  <c r="E31" i="5"/>
  <c r="AH30" i="5"/>
  <c r="AG30" i="5"/>
  <c r="AF30" i="5"/>
  <c r="AE30" i="5"/>
  <c r="AD30" i="5"/>
  <c r="AC30" i="5"/>
  <c r="AB30" i="5"/>
  <c r="AA30" i="5"/>
  <c r="Z30" i="5"/>
  <c r="Y30" i="5"/>
  <c r="W30" i="5"/>
  <c r="T30" i="5"/>
  <c r="Q30" i="5"/>
  <c r="O30" i="5"/>
  <c r="M30" i="5"/>
  <c r="K30" i="5"/>
  <c r="I30" i="5"/>
  <c r="G30" i="5"/>
  <c r="E30" i="5"/>
  <c r="AH29" i="5"/>
  <c r="AG29" i="5"/>
  <c r="AF29" i="5"/>
  <c r="AE29" i="5"/>
  <c r="AD29" i="5"/>
  <c r="AC29" i="5"/>
  <c r="AB29" i="5"/>
  <c r="AA29" i="5"/>
  <c r="Z29" i="5"/>
  <c r="Y29" i="5"/>
  <c r="W29" i="5"/>
  <c r="T29" i="5"/>
  <c r="Q29" i="5"/>
  <c r="O29" i="5"/>
  <c r="M29" i="5"/>
  <c r="K29" i="5"/>
  <c r="I29" i="5"/>
  <c r="G29" i="5"/>
  <c r="E29" i="5"/>
  <c r="AH28" i="5"/>
  <c r="AG28" i="5"/>
  <c r="AF28" i="5"/>
  <c r="AE28" i="5"/>
  <c r="AD28" i="5"/>
  <c r="AC28" i="5"/>
  <c r="AB28" i="5"/>
  <c r="AA28" i="5"/>
  <c r="Z28" i="5"/>
  <c r="Y28" i="5"/>
  <c r="W28" i="5"/>
  <c r="T28" i="5"/>
  <c r="Q28" i="5"/>
  <c r="O28" i="5"/>
  <c r="M28" i="5"/>
  <c r="K28" i="5"/>
  <c r="I28" i="5"/>
  <c r="G28" i="5"/>
  <c r="E28" i="5"/>
  <c r="AH27" i="5"/>
  <c r="AG27" i="5"/>
  <c r="AF27" i="5"/>
  <c r="AE27" i="5"/>
  <c r="AD27" i="5"/>
  <c r="AC27" i="5"/>
  <c r="AB27" i="5"/>
  <c r="AA27" i="5"/>
  <c r="Z27" i="5"/>
  <c r="Y27" i="5"/>
  <c r="W27" i="5"/>
  <c r="T27" i="5"/>
  <c r="Q27" i="5"/>
  <c r="O27" i="5"/>
  <c r="M27" i="5"/>
  <c r="K27" i="5"/>
  <c r="I27" i="5"/>
  <c r="G27" i="5"/>
  <c r="E27" i="5"/>
  <c r="AH26" i="5"/>
  <c r="AG26" i="5"/>
  <c r="AF26" i="5"/>
  <c r="AE26" i="5"/>
  <c r="AD26" i="5"/>
  <c r="AC26" i="5"/>
  <c r="AB26" i="5"/>
  <c r="AA26" i="5"/>
  <c r="Z26" i="5"/>
  <c r="Y26" i="5"/>
  <c r="W26" i="5"/>
  <c r="T26" i="5"/>
  <c r="Q26" i="5"/>
  <c r="O26" i="5"/>
  <c r="M26" i="5"/>
  <c r="K26" i="5"/>
  <c r="I26" i="5"/>
  <c r="G26" i="5"/>
  <c r="E26" i="5"/>
  <c r="AH25" i="5"/>
  <c r="AG25" i="5"/>
  <c r="AF25" i="5"/>
  <c r="AE25" i="5"/>
  <c r="AD25" i="5"/>
  <c r="AC25" i="5"/>
  <c r="AB25" i="5"/>
  <c r="AA25" i="5"/>
  <c r="Z25" i="5"/>
  <c r="Y25" i="5"/>
  <c r="W25" i="5"/>
  <c r="T25" i="5"/>
  <c r="Q25" i="5"/>
  <c r="O25" i="5"/>
  <c r="M25" i="5"/>
  <c r="K25" i="5"/>
  <c r="I25" i="5"/>
  <c r="G25" i="5"/>
  <c r="E25" i="5"/>
  <c r="AH24" i="5"/>
  <c r="AG24" i="5"/>
  <c r="AF24" i="5"/>
  <c r="AE24" i="5"/>
  <c r="AD24" i="5"/>
  <c r="AC24" i="5"/>
  <c r="AB24" i="5"/>
  <c r="AA24" i="5"/>
  <c r="Z24" i="5"/>
  <c r="Y24" i="5"/>
  <c r="W24" i="5"/>
  <c r="T24" i="5"/>
  <c r="Q24" i="5"/>
  <c r="O24" i="5"/>
  <c r="M24" i="5"/>
  <c r="K24" i="5"/>
  <c r="I24" i="5"/>
  <c r="G24" i="5"/>
  <c r="E24" i="5"/>
  <c r="AH23" i="5"/>
  <c r="AG23" i="5"/>
  <c r="AF23" i="5"/>
  <c r="AE23" i="5"/>
  <c r="AD23" i="5"/>
  <c r="AC23" i="5"/>
  <c r="AB23" i="5"/>
  <c r="AA23" i="5"/>
  <c r="Z23" i="5"/>
  <c r="Y23" i="5"/>
  <c r="W23" i="5"/>
  <c r="T23" i="5"/>
  <c r="Q23" i="5"/>
  <c r="O23" i="5"/>
  <c r="M23" i="5"/>
  <c r="K23" i="5"/>
  <c r="I23" i="5"/>
  <c r="G23" i="5"/>
  <c r="E23" i="5"/>
  <c r="AH22" i="5"/>
  <c r="AG22" i="5"/>
  <c r="AF22" i="5"/>
  <c r="AE22" i="5"/>
  <c r="AD22" i="5"/>
  <c r="AC22" i="5"/>
  <c r="AB22" i="5"/>
  <c r="AA22" i="5"/>
  <c r="Z22" i="5"/>
  <c r="Y22" i="5"/>
  <c r="W22" i="5"/>
  <c r="T22" i="5"/>
  <c r="Q22" i="5"/>
  <c r="O22" i="5"/>
  <c r="M22" i="5"/>
  <c r="K22" i="5"/>
  <c r="I22" i="5"/>
  <c r="G22" i="5"/>
  <c r="E22" i="5"/>
  <c r="AH21" i="5"/>
  <c r="AG21" i="5"/>
  <c r="AF21" i="5"/>
  <c r="AE21" i="5"/>
  <c r="AD21" i="5"/>
  <c r="AC21" i="5"/>
  <c r="AB21" i="5"/>
  <c r="AA21" i="5"/>
  <c r="Z21" i="5"/>
  <c r="Y21" i="5"/>
  <c r="W21" i="5"/>
  <c r="T21" i="5"/>
  <c r="Q21" i="5"/>
  <c r="O21" i="5"/>
  <c r="M21" i="5"/>
  <c r="K21" i="5"/>
  <c r="I21" i="5"/>
  <c r="G21" i="5"/>
  <c r="E21" i="5"/>
  <c r="AH20" i="5"/>
  <c r="AG20" i="5"/>
  <c r="AF20" i="5"/>
  <c r="AE20" i="5"/>
  <c r="AD20" i="5"/>
  <c r="AC20" i="5"/>
  <c r="AB20" i="5"/>
  <c r="AA20" i="5"/>
  <c r="Z20" i="5"/>
  <c r="Y20" i="5"/>
  <c r="W20" i="5"/>
  <c r="T20" i="5"/>
  <c r="Q20" i="5"/>
  <c r="O20" i="5"/>
  <c r="M20" i="5"/>
  <c r="K20" i="5"/>
  <c r="I20" i="5"/>
  <c r="G20" i="5"/>
  <c r="E20" i="5"/>
  <c r="AH19" i="5"/>
  <c r="AG19" i="5"/>
  <c r="AF19" i="5"/>
  <c r="AE19" i="5"/>
  <c r="AD19" i="5"/>
  <c r="AC19" i="5"/>
  <c r="AB19" i="5"/>
  <c r="AA19" i="5"/>
  <c r="Z19" i="5"/>
  <c r="Y19" i="5"/>
  <c r="W19" i="5"/>
  <c r="T19" i="5"/>
  <c r="Q19" i="5"/>
  <c r="O19" i="5"/>
  <c r="M19" i="5"/>
  <c r="K19" i="5"/>
  <c r="I19" i="5"/>
  <c r="G19" i="5"/>
  <c r="E19" i="5"/>
  <c r="AH18" i="5"/>
  <c r="AG18" i="5"/>
  <c r="AF18" i="5"/>
  <c r="AE18" i="5"/>
  <c r="AD18" i="5"/>
  <c r="AC18" i="5"/>
  <c r="AB18" i="5"/>
  <c r="AA18" i="5"/>
  <c r="Z18" i="5"/>
  <c r="Y18" i="5"/>
  <c r="W18" i="5"/>
  <c r="T18" i="5"/>
  <c r="Q18" i="5"/>
  <c r="O18" i="5"/>
  <c r="M18" i="5"/>
  <c r="K18" i="5"/>
  <c r="I18" i="5"/>
  <c r="G18" i="5"/>
  <c r="E18" i="5"/>
  <c r="AH17" i="5"/>
  <c r="AG17" i="5"/>
  <c r="AF17" i="5"/>
  <c r="AE17" i="5"/>
  <c r="AD17" i="5"/>
  <c r="AC17" i="5"/>
  <c r="AB17" i="5"/>
  <c r="AA17" i="5"/>
  <c r="Z17" i="5"/>
  <c r="Y17" i="5"/>
  <c r="W17" i="5"/>
  <c r="T17" i="5"/>
  <c r="Q17" i="5"/>
  <c r="O17" i="5"/>
  <c r="M17" i="5"/>
  <c r="K17" i="5"/>
  <c r="I17" i="5"/>
  <c r="G17" i="5"/>
  <c r="E17" i="5"/>
  <c r="AH16" i="5"/>
  <c r="AG16" i="5"/>
  <c r="AF16" i="5"/>
  <c r="AE16" i="5"/>
  <c r="AD16" i="5"/>
  <c r="AC16" i="5"/>
  <c r="AB16" i="5"/>
  <c r="AA16" i="5"/>
  <c r="Z16" i="5"/>
  <c r="Y16" i="5"/>
  <c r="W16" i="5"/>
  <c r="T16" i="5"/>
  <c r="Q16" i="5"/>
  <c r="O16" i="5"/>
  <c r="M16" i="5"/>
  <c r="K16" i="5"/>
  <c r="I16" i="5"/>
  <c r="G16" i="5"/>
  <c r="E16" i="5"/>
  <c r="AH15" i="5"/>
  <c r="AG15" i="5"/>
  <c r="AF15" i="5"/>
  <c r="AE15" i="5"/>
  <c r="AD15" i="5"/>
  <c r="AC15" i="5"/>
  <c r="AB15" i="5"/>
  <c r="AA15" i="5"/>
  <c r="Z15" i="5"/>
  <c r="Y15" i="5"/>
  <c r="W15" i="5"/>
  <c r="T15" i="5"/>
  <c r="Q15" i="5"/>
  <c r="O15" i="5"/>
  <c r="M15" i="5"/>
  <c r="K15" i="5"/>
  <c r="I15" i="5"/>
  <c r="G15" i="5"/>
  <c r="E15" i="5"/>
  <c r="AH14" i="5"/>
  <c r="AG14" i="5"/>
  <c r="AF14" i="5"/>
  <c r="AE14" i="5"/>
  <c r="AD14" i="5"/>
  <c r="AC14" i="5"/>
  <c r="AB14" i="5"/>
  <c r="AA14" i="5"/>
  <c r="Z14" i="5"/>
  <c r="Y14" i="5"/>
  <c r="W14" i="5"/>
  <c r="T14" i="5"/>
  <c r="Q14" i="5"/>
  <c r="O14" i="5"/>
  <c r="M14" i="5"/>
  <c r="K14" i="5"/>
  <c r="I14" i="5"/>
  <c r="G14" i="5"/>
  <c r="E14" i="5"/>
  <c r="AH13" i="5"/>
  <c r="AG13" i="5"/>
  <c r="AF13" i="5"/>
  <c r="AE13" i="5"/>
  <c r="AD13" i="5"/>
  <c r="AC13" i="5"/>
  <c r="AB13" i="5"/>
  <c r="AA13" i="5"/>
  <c r="Z13" i="5"/>
  <c r="Y13" i="5"/>
  <c r="W13" i="5"/>
  <c r="T13" i="5"/>
  <c r="Q13" i="5"/>
  <c r="O13" i="5"/>
  <c r="M13" i="5"/>
  <c r="K13" i="5"/>
  <c r="I13" i="5"/>
  <c r="G13" i="5"/>
  <c r="E13" i="5"/>
  <c r="AH12" i="5"/>
  <c r="AG12" i="5"/>
  <c r="AF12" i="5"/>
  <c r="AE12" i="5"/>
  <c r="AD12" i="5"/>
  <c r="AC12" i="5"/>
  <c r="AB12" i="5"/>
  <c r="AA12" i="5"/>
  <c r="Z12" i="5"/>
  <c r="Y12" i="5"/>
  <c r="W12" i="5"/>
  <c r="T12" i="5"/>
  <c r="Q12" i="5"/>
  <c r="O12" i="5"/>
  <c r="M12" i="5"/>
  <c r="K12" i="5"/>
  <c r="I12" i="5"/>
  <c r="G12" i="5"/>
  <c r="E12" i="5"/>
  <c r="AH11" i="5"/>
  <c r="AG11" i="5"/>
  <c r="AF11" i="5"/>
  <c r="AE11" i="5"/>
  <c r="AD11" i="5"/>
  <c r="AC11" i="5"/>
  <c r="AB11" i="5"/>
  <c r="AA11" i="5"/>
  <c r="Z11" i="5"/>
  <c r="Y11" i="5"/>
  <c r="W11" i="5"/>
  <c r="T11" i="5"/>
  <c r="Q11" i="5"/>
  <c r="O11" i="5"/>
  <c r="M11" i="5"/>
  <c r="K11" i="5"/>
  <c r="I11" i="5"/>
  <c r="G11" i="5"/>
  <c r="E11" i="5"/>
  <c r="AH10" i="5"/>
  <c r="AG10" i="5"/>
  <c r="AF10" i="5"/>
  <c r="AE10" i="5"/>
  <c r="AD10" i="5"/>
  <c r="AC10" i="5"/>
  <c r="AB10" i="5"/>
  <c r="AA10" i="5"/>
  <c r="Z10" i="5"/>
  <c r="Y10" i="5"/>
  <c r="W10" i="5"/>
  <c r="T10" i="5"/>
  <c r="Q10" i="5"/>
  <c r="O10" i="5"/>
  <c r="M10" i="5"/>
  <c r="K10" i="5"/>
  <c r="I10" i="5"/>
  <c r="G10" i="5"/>
  <c r="E10" i="5"/>
  <c r="AH9" i="5"/>
  <c r="AG9" i="5"/>
  <c r="AF9" i="5"/>
  <c r="AE9" i="5"/>
  <c r="AD9" i="5"/>
  <c r="AC9" i="5"/>
  <c r="AB9" i="5"/>
  <c r="AA9" i="5"/>
  <c r="Z9" i="5"/>
  <c r="Y9" i="5"/>
  <c r="W9" i="5"/>
  <c r="T9" i="5"/>
  <c r="Q9" i="5"/>
  <c r="O9" i="5"/>
  <c r="M9" i="5"/>
  <c r="K9" i="5"/>
  <c r="I9" i="5"/>
  <c r="G9" i="5"/>
  <c r="E9" i="5"/>
  <c r="AH8" i="5"/>
  <c r="AG8" i="5"/>
  <c r="AF8" i="5"/>
  <c r="AE8" i="5"/>
  <c r="AD8" i="5"/>
  <c r="AC8" i="5"/>
  <c r="AB8" i="5"/>
  <c r="AA8" i="5"/>
  <c r="Z8" i="5"/>
  <c r="Y8" i="5"/>
  <c r="W8" i="5"/>
  <c r="T8" i="5"/>
  <c r="Q8" i="5"/>
  <c r="O8" i="5"/>
  <c r="M8" i="5"/>
  <c r="K8" i="5"/>
  <c r="I8" i="5"/>
  <c r="G8" i="5"/>
  <c r="E8" i="5"/>
  <c r="V77" i="6"/>
  <c r="S77" i="6"/>
  <c r="P77" i="6"/>
  <c r="N77" i="6"/>
  <c r="L77" i="6"/>
  <c r="J77" i="6"/>
  <c r="H77" i="6"/>
  <c r="F77" i="6"/>
  <c r="D77" i="6"/>
  <c r="V76" i="6"/>
  <c r="S76" i="6"/>
  <c r="P76" i="6"/>
  <c r="N76" i="6"/>
  <c r="L76" i="6"/>
  <c r="J76" i="6"/>
  <c r="H76" i="6"/>
  <c r="F76" i="6"/>
  <c r="D76" i="6"/>
  <c r="V75" i="6"/>
  <c r="S75" i="6"/>
  <c r="P75" i="6"/>
  <c r="N75" i="6"/>
  <c r="L75" i="6"/>
  <c r="J75" i="6"/>
  <c r="H75" i="6"/>
  <c r="F75" i="6"/>
  <c r="D75" i="6"/>
  <c r="V74" i="6"/>
  <c r="S74" i="6"/>
  <c r="P74" i="6"/>
  <c r="N74" i="6"/>
  <c r="L74" i="6"/>
  <c r="J74" i="6"/>
  <c r="H74" i="6"/>
  <c r="F74" i="6"/>
  <c r="D74" i="6"/>
  <c r="W72" i="6"/>
  <c r="T72" i="6"/>
  <c r="Q72" i="6"/>
  <c r="O72" i="6"/>
  <c r="M72" i="6"/>
  <c r="K72" i="6"/>
  <c r="I72" i="6"/>
  <c r="G72" i="6"/>
  <c r="E72" i="6"/>
  <c r="AD71" i="6"/>
  <c r="W71" i="6"/>
  <c r="T71" i="6"/>
  <c r="Q71" i="6"/>
  <c r="O71" i="6"/>
  <c r="M71" i="6"/>
  <c r="K71" i="6"/>
  <c r="I71" i="6"/>
  <c r="G71" i="6"/>
  <c r="E71" i="6"/>
  <c r="AE70" i="6"/>
  <c r="AC70" i="6"/>
  <c r="W70" i="6"/>
  <c r="T70" i="6"/>
  <c r="Q70" i="6"/>
  <c r="O70" i="6"/>
  <c r="M70" i="6"/>
  <c r="K70" i="6"/>
  <c r="I70" i="6"/>
  <c r="G70" i="6"/>
  <c r="E70" i="6"/>
  <c r="AE69" i="6"/>
  <c r="AB69" i="6"/>
  <c r="W69" i="6"/>
  <c r="T69" i="6"/>
  <c r="Q69" i="6"/>
  <c r="O69" i="6"/>
  <c r="M69" i="6"/>
  <c r="K69" i="6"/>
  <c r="I69" i="6"/>
  <c r="G69" i="6"/>
  <c r="E69" i="6"/>
  <c r="AE68" i="6"/>
  <c r="AA68" i="6"/>
  <c r="W68" i="6"/>
  <c r="T68" i="6"/>
  <c r="Q68" i="6"/>
  <c r="O68" i="6"/>
  <c r="M68" i="6"/>
  <c r="K68" i="6"/>
  <c r="I68" i="6"/>
  <c r="G68" i="6"/>
  <c r="E68" i="6"/>
  <c r="AE67" i="6"/>
  <c r="Z67" i="6"/>
  <c r="W67" i="6"/>
  <c r="T67" i="6"/>
  <c r="Q67" i="6"/>
  <c r="O67" i="6"/>
  <c r="M67" i="6"/>
  <c r="K67" i="6"/>
  <c r="I67" i="6"/>
  <c r="G67" i="6"/>
  <c r="E67" i="6"/>
  <c r="AE66" i="6"/>
  <c r="Y66" i="6"/>
  <c r="W66" i="6"/>
  <c r="T66" i="6"/>
  <c r="Q66" i="6"/>
  <c r="O66" i="6"/>
  <c r="M66" i="6"/>
  <c r="K66" i="6"/>
  <c r="I66" i="6"/>
  <c r="G66" i="6"/>
  <c r="E66" i="6"/>
  <c r="AE65" i="6"/>
  <c r="AD65" i="6"/>
  <c r="AE64" i="6"/>
  <c r="AD64" i="6"/>
  <c r="V64" i="6"/>
  <c r="S64" i="6"/>
  <c r="P64" i="6"/>
  <c r="N64" i="6"/>
  <c r="L64" i="6"/>
  <c r="J64" i="6"/>
  <c r="H64" i="6"/>
  <c r="F64" i="6"/>
  <c r="D64" i="6"/>
  <c r="AE63" i="6"/>
  <c r="AD63" i="6"/>
  <c r="V63" i="6"/>
  <c r="S63" i="6"/>
  <c r="P63" i="6"/>
  <c r="N63" i="6"/>
  <c r="L63" i="6"/>
  <c r="J63" i="6"/>
  <c r="H63" i="6"/>
  <c r="F63" i="6"/>
  <c r="D63" i="6"/>
  <c r="AH62" i="6"/>
  <c r="AG62" i="6"/>
  <c r="AF62" i="6"/>
  <c r="AE62" i="6"/>
  <c r="AD62" i="6"/>
  <c r="AC62" i="6"/>
  <c r="AB62" i="6"/>
  <c r="AA62" i="6"/>
  <c r="Z62" i="6"/>
  <c r="Y62" i="6"/>
  <c r="W62" i="6"/>
  <c r="T62" i="6"/>
  <c r="Q62" i="6"/>
  <c r="O62" i="6"/>
  <c r="M62" i="6"/>
  <c r="K62" i="6"/>
  <c r="I62" i="6"/>
  <c r="G62" i="6"/>
  <c r="E62" i="6"/>
  <c r="AH61" i="6"/>
  <c r="AG61" i="6"/>
  <c r="AF61" i="6"/>
  <c r="AE61" i="6"/>
  <c r="AD61" i="6"/>
  <c r="AC61" i="6"/>
  <c r="AB61" i="6"/>
  <c r="AA61" i="6"/>
  <c r="Z61" i="6"/>
  <c r="Y61" i="6"/>
  <c r="W61" i="6"/>
  <c r="T61" i="6"/>
  <c r="Q61" i="6"/>
  <c r="O61" i="6"/>
  <c r="M61" i="6"/>
  <c r="K61" i="6"/>
  <c r="I61" i="6"/>
  <c r="G61" i="6"/>
  <c r="E61" i="6"/>
  <c r="AH60" i="6"/>
  <c r="AG60" i="6"/>
  <c r="AF60" i="6"/>
  <c r="AE60" i="6"/>
  <c r="AD60" i="6"/>
  <c r="AC60" i="6"/>
  <c r="AB60" i="6"/>
  <c r="AA60" i="6"/>
  <c r="Z60" i="6"/>
  <c r="Y60" i="6"/>
  <c r="W60" i="6"/>
  <c r="T60" i="6"/>
  <c r="Q60" i="6"/>
  <c r="O60" i="6"/>
  <c r="M60" i="6"/>
  <c r="K60" i="6"/>
  <c r="I60" i="6"/>
  <c r="G60" i="6"/>
  <c r="E60" i="6"/>
  <c r="AH59" i="6"/>
  <c r="AG59" i="6"/>
  <c r="AF59" i="6"/>
  <c r="AE59" i="6"/>
  <c r="AD59" i="6"/>
  <c r="AC59" i="6"/>
  <c r="AB59" i="6"/>
  <c r="AA59" i="6"/>
  <c r="Z59" i="6"/>
  <c r="Y59" i="6"/>
  <c r="W59" i="6"/>
  <c r="T59" i="6"/>
  <c r="Q59" i="6"/>
  <c r="O59" i="6"/>
  <c r="M59" i="6"/>
  <c r="K59" i="6"/>
  <c r="I59" i="6"/>
  <c r="G59" i="6"/>
  <c r="E59" i="6"/>
  <c r="AH58" i="6"/>
  <c r="AG58" i="6"/>
  <c r="AF58" i="6"/>
  <c r="AE58" i="6"/>
  <c r="AD58" i="6"/>
  <c r="AC58" i="6"/>
  <c r="AB58" i="6"/>
  <c r="AA58" i="6"/>
  <c r="Z58" i="6"/>
  <c r="Y58" i="6"/>
  <c r="W58" i="6"/>
  <c r="T58" i="6"/>
  <c r="Q58" i="6"/>
  <c r="O58" i="6"/>
  <c r="M58" i="6"/>
  <c r="K58" i="6"/>
  <c r="I58" i="6"/>
  <c r="G58" i="6"/>
  <c r="E58" i="6"/>
  <c r="AH57" i="6"/>
  <c r="AG57" i="6"/>
  <c r="AF57" i="6"/>
  <c r="AE57" i="6"/>
  <c r="AD57" i="6"/>
  <c r="AC57" i="6"/>
  <c r="AB57" i="6"/>
  <c r="AA57" i="6"/>
  <c r="Z57" i="6"/>
  <c r="Y57" i="6"/>
  <c r="W57" i="6"/>
  <c r="T57" i="6"/>
  <c r="Q57" i="6"/>
  <c r="O57" i="6"/>
  <c r="M57" i="6"/>
  <c r="K57" i="6"/>
  <c r="I57" i="6"/>
  <c r="G57" i="6"/>
  <c r="E57" i="6"/>
  <c r="AH56" i="6"/>
  <c r="AG56" i="6"/>
  <c r="AF56" i="6"/>
  <c r="AE56" i="6"/>
  <c r="AD56" i="6"/>
  <c r="AC56" i="6"/>
  <c r="AB56" i="6"/>
  <c r="AA56" i="6"/>
  <c r="Z56" i="6"/>
  <c r="Y56" i="6"/>
  <c r="W56" i="6"/>
  <c r="T56" i="6"/>
  <c r="Q56" i="6"/>
  <c r="O56" i="6"/>
  <c r="M56" i="6"/>
  <c r="K56" i="6"/>
  <c r="I56" i="6"/>
  <c r="G56" i="6"/>
  <c r="E56" i="6"/>
  <c r="AH55" i="6"/>
  <c r="AG55" i="6"/>
  <c r="AF55" i="6"/>
  <c r="AE55" i="6"/>
  <c r="AD55" i="6"/>
  <c r="AC55" i="6"/>
  <c r="AB55" i="6"/>
  <c r="AA55" i="6"/>
  <c r="Z55" i="6"/>
  <c r="Y55" i="6"/>
  <c r="W55" i="6"/>
  <c r="T55" i="6"/>
  <c r="Q55" i="6"/>
  <c r="O55" i="6"/>
  <c r="M55" i="6"/>
  <c r="K55" i="6"/>
  <c r="I55" i="6"/>
  <c r="G55" i="6"/>
  <c r="E55" i="6"/>
  <c r="AH54" i="6"/>
  <c r="AG54" i="6"/>
  <c r="AF54" i="6"/>
  <c r="AE54" i="6"/>
  <c r="AD54" i="6"/>
  <c r="AC54" i="6"/>
  <c r="AB54" i="6"/>
  <c r="AA54" i="6"/>
  <c r="Z54" i="6"/>
  <c r="Y54" i="6"/>
  <c r="W54" i="6"/>
  <c r="T54" i="6"/>
  <c r="Q54" i="6"/>
  <c r="O54" i="6"/>
  <c r="M54" i="6"/>
  <c r="K54" i="6"/>
  <c r="I54" i="6"/>
  <c r="G54" i="6"/>
  <c r="E54" i="6"/>
  <c r="AH53" i="6"/>
  <c r="AG53" i="6"/>
  <c r="AF53" i="6"/>
  <c r="AE53" i="6"/>
  <c r="AD53" i="6"/>
  <c r="AC53" i="6"/>
  <c r="AB53" i="6"/>
  <c r="AA53" i="6"/>
  <c r="Z53" i="6"/>
  <c r="Y53" i="6"/>
  <c r="W53" i="6"/>
  <c r="T53" i="6"/>
  <c r="Q53" i="6"/>
  <c r="O53" i="6"/>
  <c r="M53" i="6"/>
  <c r="K53" i="6"/>
  <c r="I53" i="6"/>
  <c r="G53" i="6"/>
  <c r="E53" i="6"/>
  <c r="AH52" i="6"/>
  <c r="AG52" i="6"/>
  <c r="AF52" i="6"/>
  <c r="AE52" i="6"/>
  <c r="AD52" i="6"/>
  <c r="AC52" i="6"/>
  <c r="AB52" i="6"/>
  <c r="AA52" i="6"/>
  <c r="Z52" i="6"/>
  <c r="Y52" i="6"/>
  <c r="W52" i="6"/>
  <c r="T52" i="6"/>
  <c r="Q52" i="6"/>
  <c r="O52" i="6"/>
  <c r="M52" i="6"/>
  <c r="K52" i="6"/>
  <c r="I52" i="6"/>
  <c r="G52" i="6"/>
  <c r="E52" i="6"/>
  <c r="AH51" i="6"/>
  <c r="AG51" i="6"/>
  <c r="AF51" i="6"/>
  <c r="AE51" i="6"/>
  <c r="AD51" i="6"/>
  <c r="AC51" i="6"/>
  <c r="AB51" i="6"/>
  <c r="AA51" i="6"/>
  <c r="Z51" i="6"/>
  <c r="Y51" i="6"/>
  <c r="W51" i="6"/>
  <c r="T51" i="6"/>
  <c r="Q51" i="6"/>
  <c r="O51" i="6"/>
  <c r="M51" i="6"/>
  <c r="K51" i="6"/>
  <c r="I51" i="6"/>
  <c r="G51" i="6"/>
  <c r="E51" i="6"/>
  <c r="AH50" i="6"/>
  <c r="AG50" i="6"/>
  <c r="AF50" i="6"/>
  <c r="AE50" i="6"/>
  <c r="AD50" i="6"/>
  <c r="AC50" i="6"/>
  <c r="AB50" i="6"/>
  <c r="AA50" i="6"/>
  <c r="Z50" i="6"/>
  <c r="Y50" i="6"/>
  <c r="W50" i="6"/>
  <c r="T50" i="6"/>
  <c r="Q50" i="6"/>
  <c r="O50" i="6"/>
  <c r="M50" i="6"/>
  <c r="K50" i="6"/>
  <c r="I50" i="6"/>
  <c r="G50" i="6"/>
  <c r="E50" i="6"/>
  <c r="AH49" i="6"/>
  <c r="AG49" i="6"/>
  <c r="AF49" i="6"/>
  <c r="AE49" i="6"/>
  <c r="AD49" i="6"/>
  <c r="AC49" i="6"/>
  <c r="AB49" i="6"/>
  <c r="AA49" i="6"/>
  <c r="Z49" i="6"/>
  <c r="Y49" i="6"/>
  <c r="W49" i="6"/>
  <c r="T49" i="6"/>
  <c r="Q49" i="6"/>
  <c r="O49" i="6"/>
  <c r="M49" i="6"/>
  <c r="K49" i="6"/>
  <c r="I49" i="6"/>
  <c r="G49" i="6"/>
  <c r="E49" i="6"/>
  <c r="AH48" i="6"/>
  <c r="AG48" i="6"/>
  <c r="AF48" i="6"/>
  <c r="AE48" i="6"/>
  <c r="AD48" i="6"/>
  <c r="AC48" i="6"/>
  <c r="AB48" i="6"/>
  <c r="AA48" i="6"/>
  <c r="Z48" i="6"/>
  <c r="Y48" i="6"/>
  <c r="W48" i="6"/>
  <c r="T48" i="6"/>
  <c r="Q48" i="6"/>
  <c r="O48" i="6"/>
  <c r="M48" i="6"/>
  <c r="K48" i="6"/>
  <c r="I48" i="6"/>
  <c r="G48" i="6"/>
  <c r="E48" i="6"/>
  <c r="AH47" i="6"/>
  <c r="AG47" i="6"/>
  <c r="AF47" i="6"/>
  <c r="AE47" i="6"/>
  <c r="AD47" i="6"/>
  <c r="AC47" i="6"/>
  <c r="AB47" i="6"/>
  <c r="AA47" i="6"/>
  <c r="Z47" i="6"/>
  <c r="Y47" i="6"/>
  <c r="W47" i="6"/>
  <c r="T47" i="6"/>
  <c r="Q47" i="6"/>
  <c r="O47" i="6"/>
  <c r="M47" i="6"/>
  <c r="K47" i="6"/>
  <c r="I47" i="6"/>
  <c r="G47" i="6"/>
  <c r="E47" i="6"/>
  <c r="AH46" i="6"/>
  <c r="AG46" i="6"/>
  <c r="AF46" i="6"/>
  <c r="AE46" i="6"/>
  <c r="AD46" i="6"/>
  <c r="AC46" i="6"/>
  <c r="AB46" i="6"/>
  <c r="AA46" i="6"/>
  <c r="Z46" i="6"/>
  <c r="Y46" i="6"/>
  <c r="W46" i="6"/>
  <c r="T46" i="6"/>
  <c r="Q46" i="6"/>
  <c r="O46" i="6"/>
  <c r="M46" i="6"/>
  <c r="K46" i="6"/>
  <c r="I46" i="6"/>
  <c r="G46" i="6"/>
  <c r="E46" i="6"/>
  <c r="AH45" i="6"/>
  <c r="AG45" i="6"/>
  <c r="AF45" i="6"/>
  <c r="AE45" i="6"/>
  <c r="AD45" i="6"/>
  <c r="AC45" i="6"/>
  <c r="AB45" i="6"/>
  <c r="AA45" i="6"/>
  <c r="Z45" i="6"/>
  <c r="Y45" i="6"/>
  <c r="W45" i="6"/>
  <c r="T45" i="6"/>
  <c r="Q45" i="6"/>
  <c r="O45" i="6"/>
  <c r="M45" i="6"/>
  <c r="K45" i="6"/>
  <c r="I45" i="6"/>
  <c r="G45" i="6"/>
  <c r="E45" i="6"/>
  <c r="AH44" i="6"/>
  <c r="AG44" i="6"/>
  <c r="AF44" i="6"/>
  <c r="AE44" i="6"/>
  <c r="AD44" i="6"/>
  <c r="AC44" i="6"/>
  <c r="AB44" i="6"/>
  <c r="AA44" i="6"/>
  <c r="Z44" i="6"/>
  <c r="Y44" i="6"/>
  <c r="W44" i="6"/>
  <c r="T44" i="6"/>
  <c r="Q44" i="6"/>
  <c r="O44" i="6"/>
  <c r="M44" i="6"/>
  <c r="K44" i="6"/>
  <c r="I44" i="6"/>
  <c r="G44" i="6"/>
  <c r="E44" i="6"/>
  <c r="AH43" i="6"/>
  <c r="AG43" i="6"/>
  <c r="AF43" i="6"/>
  <c r="AE43" i="6"/>
  <c r="AD43" i="6"/>
  <c r="AC43" i="6"/>
  <c r="AB43" i="6"/>
  <c r="AA43" i="6"/>
  <c r="Z43" i="6"/>
  <c r="Y43" i="6"/>
  <c r="W43" i="6"/>
  <c r="T43" i="6"/>
  <c r="Q43" i="6"/>
  <c r="O43" i="6"/>
  <c r="M43" i="6"/>
  <c r="K43" i="6"/>
  <c r="I43" i="6"/>
  <c r="G43" i="6"/>
  <c r="E43" i="6"/>
  <c r="AH42" i="6"/>
  <c r="AG42" i="6"/>
  <c r="AF42" i="6"/>
  <c r="AE42" i="6"/>
  <c r="AD42" i="6"/>
  <c r="AC42" i="6"/>
  <c r="AB42" i="6"/>
  <c r="AA42" i="6"/>
  <c r="Z42" i="6"/>
  <c r="Y42" i="6"/>
  <c r="W42" i="6"/>
  <c r="T42" i="6"/>
  <c r="Q42" i="6"/>
  <c r="O42" i="6"/>
  <c r="M42" i="6"/>
  <c r="K42" i="6"/>
  <c r="I42" i="6"/>
  <c r="G42" i="6"/>
  <c r="E42" i="6"/>
  <c r="AH41" i="6"/>
  <c r="AG41" i="6"/>
  <c r="AF41" i="6"/>
  <c r="AE41" i="6"/>
  <c r="AD41" i="6"/>
  <c r="AC41" i="6"/>
  <c r="AB41" i="6"/>
  <c r="AA41" i="6"/>
  <c r="Z41" i="6"/>
  <c r="Y41" i="6"/>
  <c r="W41" i="6"/>
  <c r="T41" i="6"/>
  <c r="Q41" i="6"/>
  <c r="O41" i="6"/>
  <c r="M41" i="6"/>
  <c r="K41" i="6"/>
  <c r="I41" i="6"/>
  <c r="G41" i="6"/>
  <c r="E41" i="6"/>
  <c r="AH40" i="6"/>
  <c r="AG40" i="6"/>
  <c r="AF40" i="6"/>
  <c r="AE40" i="6"/>
  <c r="AD40" i="6"/>
  <c r="AC40" i="6"/>
  <c r="AB40" i="6"/>
  <c r="AA40" i="6"/>
  <c r="Z40" i="6"/>
  <c r="Y40" i="6"/>
  <c r="W40" i="6"/>
  <c r="T40" i="6"/>
  <c r="Q40" i="6"/>
  <c r="O40" i="6"/>
  <c r="M40" i="6"/>
  <c r="K40" i="6"/>
  <c r="I40" i="6"/>
  <c r="G40" i="6"/>
  <c r="E40" i="6"/>
  <c r="AH39" i="6"/>
  <c r="AG39" i="6"/>
  <c r="AF39" i="6"/>
  <c r="AE39" i="6"/>
  <c r="AD39" i="6"/>
  <c r="AC39" i="6"/>
  <c r="AB39" i="6"/>
  <c r="AA39" i="6"/>
  <c r="Z39" i="6"/>
  <c r="Y39" i="6"/>
  <c r="W39" i="6"/>
  <c r="T39" i="6"/>
  <c r="Q39" i="6"/>
  <c r="O39" i="6"/>
  <c r="M39" i="6"/>
  <c r="K39" i="6"/>
  <c r="I39" i="6"/>
  <c r="G39" i="6"/>
  <c r="E39" i="6"/>
  <c r="AH38" i="6"/>
  <c r="AG38" i="6"/>
  <c r="AF38" i="6"/>
  <c r="AE38" i="6"/>
  <c r="AD38" i="6"/>
  <c r="AC38" i="6"/>
  <c r="AB38" i="6"/>
  <c r="AA38" i="6"/>
  <c r="Z38" i="6"/>
  <c r="Y38" i="6"/>
  <c r="W38" i="6"/>
  <c r="T38" i="6"/>
  <c r="Q38" i="6"/>
  <c r="O38" i="6"/>
  <c r="M38" i="6"/>
  <c r="K38" i="6"/>
  <c r="I38" i="6"/>
  <c r="G38" i="6"/>
  <c r="E38" i="6"/>
  <c r="AH37" i="6"/>
  <c r="AG37" i="6"/>
  <c r="AF37" i="6"/>
  <c r="AE37" i="6"/>
  <c r="AD37" i="6"/>
  <c r="AC37" i="6"/>
  <c r="AB37" i="6"/>
  <c r="AA37" i="6"/>
  <c r="Z37" i="6"/>
  <c r="Y37" i="6"/>
  <c r="W37" i="6"/>
  <c r="T37" i="6"/>
  <c r="Q37" i="6"/>
  <c r="O37" i="6"/>
  <c r="M37" i="6"/>
  <c r="K37" i="6"/>
  <c r="I37" i="6"/>
  <c r="G37" i="6"/>
  <c r="E37" i="6"/>
  <c r="AH36" i="6"/>
  <c r="AG36" i="6"/>
  <c r="AF36" i="6"/>
  <c r="AE36" i="6"/>
  <c r="AD36" i="6"/>
  <c r="AC36" i="6"/>
  <c r="AB36" i="6"/>
  <c r="AA36" i="6"/>
  <c r="Z36" i="6"/>
  <c r="Y36" i="6"/>
  <c r="W36" i="6"/>
  <c r="T36" i="6"/>
  <c r="Q36" i="6"/>
  <c r="O36" i="6"/>
  <c r="M36" i="6"/>
  <c r="K36" i="6"/>
  <c r="I36" i="6"/>
  <c r="G36" i="6"/>
  <c r="E36" i="6"/>
  <c r="AH35" i="6"/>
  <c r="AG35" i="6"/>
  <c r="AF35" i="6"/>
  <c r="AE35" i="6"/>
  <c r="AD35" i="6"/>
  <c r="AC35" i="6"/>
  <c r="AB35" i="6"/>
  <c r="AA35" i="6"/>
  <c r="Z35" i="6"/>
  <c r="Y35" i="6"/>
  <c r="W35" i="6"/>
  <c r="T35" i="6"/>
  <c r="Q35" i="6"/>
  <c r="O35" i="6"/>
  <c r="M35" i="6"/>
  <c r="K35" i="6"/>
  <c r="I35" i="6"/>
  <c r="G35" i="6"/>
  <c r="E35" i="6"/>
  <c r="AH34" i="6"/>
  <c r="AG34" i="6"/>
  <c r="AF34" i="6"/>
  <c r="AE34" i="6"/>
  <c r="AD34" i="6"/>
  <c r="AC34" i="6"/>
  <c r="AB34" i="6"/>
  <c r="AA34" i="6"/>
  <c r="Z34" i="6"/>
  <c r="Y34" i="6"/>
  <c r="W34" i="6"/>
  <c r="T34" i="6"/>
  <c r="Q34" i="6"/>
  <c r="O34" i="6"/>
  <c r="M34" i="6"/>
  <c r="K34" i="6"/>
  <c r="I34" i="6"/>
  <c r="G34" i="6"/>
  <c r="E34" i="6"/>
  <c r="AH33" i="6"/>
  <c r="AG33" i="6"/>
  <c r="AF33" i="6"/>
  <c r="AE33" i="6"/>
  <c r="AD33" i="6"/>
  <c r="AC33" i="6"/>
  <c r="AB33" i="6"/>
  <c r="AA33" i="6"/>
  <c r="Z33" i="6"/>
  <c r="Y33" i="6"/>
  <c r="W33" i="6"/>
  <c r="T33" i="6"/>
  <c r="Q33" i="6"/>
  <c r="O33" i="6"/>
  <c r="M33" i="6"/>
  <c r="K33" i="6"/>
  <c r="I33" i="6"/>
  <c r="G33" i="6"/>
  <c r="E33" i="6"/>
  <c r="AH32" i="6"/>
  <c r="AG32" i="6"/>
  <c r="AF32" i="6"/>
  <c r="AE32" i="6"/>
  <c r="AD32" i="6"/>
  <c r="AC32" i="6"/>
  <c r="AB32" i="6"/>
  <c r="AA32" i="6"/>
  <c r="Z32" i="6"/>
  <c r="Y32" i="6"/>
  <c r="W32" i="6"/>
  <c r="T32" i="6"/>
  <c r="Q32" i="6"/>
  <c r="O32" i="6"/>
  <c r="M32" i="6"/>
  <c r="K32" i="6"/>
  <c r="I32" i="6"/>
  <c r="G32" i="6"/>
  <c r="E32" i="6"/>
  <c r="AH31" i="6"/>
  <c r="AG31" i="6"/>
  <c r="AF31" i="6"/>
  <c r="AE31" i="6"/>
  <c r="AD31" i="6"/>
  <c r="AC31" i="6"/>
  <c r="AB31" i="6"/>
  <c r="AA31" i="6"/>
  <c r="Z31" i="6"/>
  <c r="Y31" i="6"/>
  <c r="W31" i="6"/>
  <c r="T31" i="6"/>
  <c r="Q31" i="6"/>
  <c r="O31" i="6"/>
  <c r="M31" i="6"/>
  <c r="K31" i="6"/>
  <c r="I31" i="6"/>
  <c r="G31" i="6"/>
  <c r="E31" i="6"/>
  <c r="AH30" i="6"/>
  <c r="AG30" i="6"/>
  <c r="AF30" i="6"/>
  <c r="AE30" i="6"/>
  <c r="AD30" i="6"/>
  <c r="AC30" i="6"/>
  <c r="AB30" i="6"/>
  <c r="AA30" i="6"/>
  <c r="Z30" i="6"/>
  <c r="Y30" i="6"/>
  <c r="W30" i="6"/>
  <c r="T30" i="6"/>
  <c r="Q30" i="6"/>
  <c r="O30" i="6"/>
  <c r="M30" i="6"/>
  <c r="K30" i="6"/>
  <c r="I30" i="6"/>
  <c r="G30" i="6"/>
  <c r="E30" i="6"/>
  <c r="AH29" i="6"/>
  <c r="AG29" i="6"/>
  <c r="AF29" i="6"/>
  <c r="AE29" i="6"/>
  <c r="AD29" i="6"/>
  <c r="AC29" i="6"/>
  <c r="AB29" i="6"/>
  <c r="AA29" i="6"/>
  <c r="Z29" i="6"/>
  <c r="Y29" i="6"/>
  <c r="W29" i="6"/>
  <c r="T29" i="6"/>
  <c r="Q29" i="6"/>
  <c r="O29" i="6"/>
  <c r="M29" i="6"/>
  <c r="K29" i="6"/>
  <c r="I29" i="6"/>
  <c r="G29" i="6"/>
  <c r="E29" i="6"/>
  <c r="AH28" i="6"/>
  <c r="AG28" i="6"/>
  <c r="AF28" i="6"/>
  <c r="AE28" i="6"/>
  <c r="AD28" i="6"/>
  <c r="AC28" i="6"/>
  <c r="AB28" i="6"/>
  <c r="AA28" i="6"/>
  <c r="Z28" i="6"/>
  <c r="Y28" i="6"/>
  <c r="W28" i="6"/>
  <c r="T28" i="6"/>
  <c r="Q28" i="6"/>
  <c r="O28" i="6"/>
  <c r="M28" i="6"/>
  <c r="K28" i="6"/>
  <c r="I28" i="6"/>
  <c r="G28" i="6"/>
  <c r="E28" i="6"/>
  <c r="AH27" i="6"/>
  <c r="AG27" i="6"/>
  <c r="AF27" i="6"/>
  <c r="AE27" i="6"/>
  <c r="AD27" i="6"/>
  <c r="AC27" i="6"/>
  <c r="AB27" i="6"/>
  <c r="AA27" i="6"/>
  <c r="Z27" i="6"/>
  <c r="Y27" i="6"/>
  <c r="W27" i="6"/>
  <c r="T27" i="6"/>
  <c r="Q27" i="6"/>
  <c r="O27" i="6"/>
  <c r="M27" i="6"/>
  <c r="K27" i="6"/>
  <c r="I27" i="6"/>
  <c r="G27" i="6"/>
  <c r="E27" i="6"/>
  <c r="AH26" i="6"/>
  <c r="AG26" i="6"/>
  <c r="AF26" i="6"/>
  <c r="AE26" i="6"/>
  <c r="AD26" i="6"/>
  <c r="AC26" i="6"/>
  <c r="AB26" i="6"/>
  <c r="AA26" i="6"/>
  <c r="Z26" i="6"/>
  <c r="Y26" i="6"/>
  <c r="W26" i="6"/>
  <c r="T26" i="6"/>
  <c r="Q26" i="6"/>
  <c r="O26" i="6"/>
  <c r="M26" i="6"/>
  <c r="K26" i="6"/>
  <c r="I26" i="6"/>
  <c r="G26" i="6"/>
  <c r="E26" i="6"/>
  <c r="AH25" i="6"/>
  <c r="AG25" i="6"/>
  <c r="AF25" i="6"/>
  <c r="AE25" i="6"/>
  <c r="AD25" i="6"/>
  <c r="AC25" i="6"/>
  <c r="AB25" i="6"/>
  <c r="AA25" i="6"/>
  <c r="Z25" i="6"/>
  <c r="Y25" i="6"/>
  <c r="W25" i="6"/>
  <c r="T25" i="6"/>
  <c r="Q25" i="6"/>
  <c r="O25" i="6"/>
  <c r="M25" i="6"/>
  <c r="K25" i="6"/>
  <c r="I25" i="6"/>
  <c r="G25" i="6"/>
  <c r="E25" i="6"/>
  <c r="AH24" i="6"/>
  <c r="AG24" i="6"/>
  <c r="AF24" i="6"/>
  <c r="AE24" i="6"/>
  <c r="AD24" i="6"/>
  <c r="AC24" i="6"/>
  <c r="AB24" i="6"/>
  <c r="AA24" i="6"/>
  <c r="Z24" i="6"/>
  <c r="Y24" i="6"/>
  <c r="W24" i="6"/>
  <c r="T24" i="6"/>
  <c r="Q24" i="6"/>
  <c r="O24" i="6"/>
  <c r="M24" i="6"/>
  <c r="K24" i="6"/>
  <c r="I24" i="6"/>
  <c r="G24" i="6"/>
  <c r="E24" i="6"/>
  <c r="AH23" i="6"/>
  <c r="AG23" i="6"/>
  <c r="AF23" i="6"/>
  <c r="AE23" i="6"/>
  <c r="AD23" i="6"/>
  <c r="AC23" i="6"/>
  <c r="AB23" i="6"/>
  <c r="AA23" i="6"/>
  <c r="Z23" i="6"/>
  <c r="Y23" i="6"/>
  <c r="W23" i="6"/>
  <c r="T23" i="6"/>
  <c r="Q23" i="6"/>
  <c r="O23" i="6"/>
  <c r="M23" i="6"/>
  <c r="K23" i="6"/>
  <c r="I23" i="6"/>
  <c r="G23" i="6"/>
  <c r="E23" i="6"/>
  <c r="AH22" i="6"/>
  <c r="AG22" i="6"/>
  <c r="AF22" i="6"/>
  <c r="AE22" i="6"/>
  <c r="AD22" i="6"/>
  <c r="AC22" i="6"/>
  <c r="AB22" i="6"/>
  <c r="AA22" i="6"/>
  <c r="Z22" i="6"/>
  <c r="Y22" i="6"/>
  <c r="W22" i="6"/>
  <c r="T22" i="6"/>
  <c r="Q22" i="6"/>
  <c r="O22" i="6"/>
  <c r="M22" i="6"/>
  <c r="K22" i="6"/>
  <c r="I22" i="6"/>
  <c r="G22" i="6"/>
  <c r="E22" i="6"/>
  <c r="AH21" i="6"/>
  <c r="AG21" i="6"/>
  <c r="AF21" i="6"/>
  <c r="AE21" i="6"/>
  <c r="AD21" i="6"/>
  <c r="AC21" i="6"/>
  <c r="AB21" i="6"/>
  <c r="AA21" i="6"/>
  <c r="Z21" i="6"/>
  <c r="Y21" i="6"/>
  <c r="W21" i="6"/>
  <c r="T21" i="6"/>
  <c r="Q21" i="6"/>
  <c r="O21" i="6"/>
  <c r="M21" i="6"/>
  <c r="K21" i="6"/>
  <c r="I21" i="6"/>
  <c r="G21" i="6"/>
  <c r="E21" i="6"/>
  <c r="AH20" i="6"/>
  <c r="AG20" i="6"/>
  <c r="AF20" i="6"/>
  <c r="AE20" i="6"/>
  <c r="AD20" i="6"/>
  <c r="AC20" i="6"/>
  <c r="AB20" i="6"/>
  <c r="AA20" i="6"/>
  <c r="Z20" i="6"/>
  <c r="Y20" i="6"/>
  <c r="W20" i="6"/>
  <c r="T20" i="6"/>
  <c r="Q20" i="6"/>
  <c r="O20" i="6"/>
  <c r="M20" i="6"/>
  <c r="K20" i="6"/>
  <c r="I20" i="6"/>
  <c r="G20" i="6"/>
  <c r="E20" i="6"/>
  <c r="AH19" i="6"/>
  <c r="AG19" i="6"/>
  <c r="AF19" i="6"/>
  <c r="AE19" i="6"/>
  <c r="AD19" i="6"/>
  <c r="AC19" i="6"/>
  <c r="AB19" i="6"/>
  <c r="AA19" i="6"/>
  <c r="Z19" i="6"/>
  <c r="Y19" i="6"/>
  <c r="W19" i="6"/>
  <c r="T19" i="6"/>
  <c r="Q19" i="6"/>
  <c r="O19" i="6"/>
  <c r="M19" i="6"/>
  <c r="K19" i="6"/>
  <c r="I19" i="6"/>
  <c r="G19" i="6"/>
  <c r="E19" i="6"/>
  <c r="AH18" i="6"/>
  <c r="AG18" i="6"/>
  <c r="AF18" i="6"/>
  <c r="AE18" i="6"/>
  <c r="AD18" i="6"/>
  <c r="AC18" i="6"/>
  <c r="AB18" i="6"/>
  <c r="AA18" i="6"/>
  <c r="Z18" i="6"/>
  <c r="Y18" i="6"/>
  <c r="W18" i="6"/>
  <c r="T18" i="6"/>
  <c r="Q18" i="6"/>
  <c r="O18" i="6"/>
  <c r="M18" i="6"/>
  <c r="K18" i="6"/>
  <c r="I18" i="6"/>
  <c r="G18" i="6"/>
  <c r="E18" i="6"/>
  <c r="AH17" i="6"/>
  <c r="AG17" i="6"/>
  <c r="AF17" i="6"/>
  <c r="AE17" i="6"/>
  <c r="AD17" i="6"/>
  <c r="AC17" i="6"/>
  <c r="AB17" i="6"/>
  <c r="AA17" i="6"/>
  <c r="Z17" i="6"/>
  <c r="Y17" i="6"/>
  <c r="W17" i="6"/>
  <c r="T17" i="6"/>
  <c r="Q17" i="6"/>
  <c r="O17" i="6"/>
  <c r="M17" i="6"/>
  <c r="K17" i="6"/>
  <c r="I17" i="6"/>
  <c r="G17" i="6"/>
  <c r="E17" i="6"/>
  <c r="AH16" i="6"/>
  <c r="AG16" i="6"/>
  <c r="AF16" i="6"/>
  <c r="AE16" i="6"/>
  <c r="AD16" i="6"/>
  <c r="AC16" i="6"/>
  <c r="AB16" i="6"/>
  <c r="AA16" i="6"/>
  <c r="Z16" i="6"/>
  <c r="Y16" i="6"/>
  <c r="W16" i="6"/>
  <c r="T16" i="6"/>
  <c r="Q16" i="6"/>
  <c r="O16" i="6"/>
  <c r="M16" i="6"/>
  <c r="K16" i="6"/>
  <c r="I16" i="6"/>
  <c r="G16" i="6"/>
  <c r="E16" i="6"/>
  <c r="AH15" i="6"/>
  <c r="AG15" i="6"/>
  <c r="AF15" i="6"/>
  <c r="AE15" i="6"/>
  <c r="AD15" i="6"/>
  <c r="AC15" i="6"/>
  <c r="AB15" i="6"/>
  <c r="AA15" i="6"/>
  <c r="Z15" i="6"/>
  <c r="Y15" i="6"/>
  <c r="W15" i="6"/>
  <c r="T15" i="6"/>
  <c r="Q15" i="6"/>
  <c r="O15" i="6"/>
  <c r="M15" i="6"/>
  <c r="K15" i="6"/>
  <c r="I15" i="6"/>
  <c r="G15" i="6"/>
  <c r="E15" i="6"/>
  <c r="AH14" i="6"/>
  <c r="AG14" i="6"/>
  <c r="AF14" i="6"/>
  <c r="AE14" i="6"/>
  <c r="AD14" i="6"/>
  <c r="AC14" i="6"/>
  <c r="AB14" i="6"/>
  <c r="AA14" i="6"/>
  <c r="Z14" i="6"/>
  <c r="Y14" i="6"/>
  <c r="W14" i="6"/>
  <c r="T14" i="6"/>
  <c r="Q14" i="6"/>
  <c r="O14" i="6"/>
  <c r="M14" i="6"/>
  <c r="K14" i="6"/>
  <c r="I14" i="6"/>
  <c r="G14" i="6"/>
  <c r="E14" i="6"/>
  <c r="AH13" i="6"/>
  <c r="AG13" i="6"/>
  <c r="AF13" i="6"/>
  <c r="AE13" i="6"/>
  <c r="AD13" i="6"/>
  <c r="AC13" i="6"/>
  <c r="AB13" i="6"/>
  <c r="AA13" i="6"/>
  <c r="Z13" i="6"/>
  <c r="Y13" i="6"/>
  <c r="W13" i="6"/>
  <c r="T13" i="6"/>
  <c r="Q13" i="6"/>
  <c r="O13" i="6"/>
  <c r="M13" i="6"/>
  <c r="K13" i="6"/>
  <c r="I13" i="6"/>
  <c r="G13" i="6"/>
  <c r="E13" i="6"/>
  <c r="AH12" i="6"/>
  <c r="AG12" i="6"/>
  <c r="AF12" i="6"/>
  <c r="AE12" i="6"/>
  <c r="AD12" i="6"/>
  <c r="AC12" i="6"/>
  <c r="AB12" i="6"/>
  <c r="AA12" i="6"/>
  <c r="Z12" i="6"/>
  <c r="Y12" i="6"/>
  <c r="W12" i="6"/>
  <c r="T12" i="6"/>
  <c r="Q12" i="6"/>
  <c r="O12" i="6"/>
  <c r="M12" i="6"/>
  <c r="K12" i="6"/>
  <c r="I12" i="6"/>
  <c r="G12" i="6"/>
  <c r="E12" i="6"/>
  <c r="AH11" i="6"/>
  <c r="AG11" i="6"/>
  <c r="AF11" i="6"/>
  <c r="AE11" i="6"/>
  <c r="AD11" i="6"/>
  <c r="AC11" i="6"/>
  <c r="AB11" i="6"/>
  <c r="AA11" i="6"/>
  <c r="Z11" i="6"/>
  <c r="Y11" i="6"/>
  <c r="W11" i="6"/>
  <c r="T11" i="6"/>
  <c r="Q11" i="6"/>
  <c r="O11" i="6"/>
  <c r="M11" i="6"/>
  <c r="K11" i="6"/>
  <c r="I11" i="6"/>
  <c r="G11" i="6"/>
  <c r="E11" i="6"/>
  <c r="AH10" i="6"/>
  <c r="AG10" i="6"/>
  <c r="AF10" i="6"/>
  <c r="AE10" i="6"/>
  <c r="AD10" i="6"/>
  <c r="AC10" i="6"/>
  <c r="AB10" i="6"/>
  <c r="AA10" i="6"/>
  <c r="Z10" i="6"/>
  <c r="Y10" i="6"/>
  <c r="W10" i="6"/>
  <c r="T10" i="6"/>
  <c r="Q10" i="6"/>
  <c r="O10" i="6"/>
  <c r="M10" i="6"/>
  <c r="K10" i="6"/>
  <c r="I10" i="6"/>
  <c r="G10" i="6"/>
  <c r="E10" i="6"/>
  <c r="AH9" i="6"/>
  <c r="AG9" i="6"/>
  <c r="AF9" i="6"/>
  <c r="AE9" i="6"/>
  <c r="AD9" i="6"/>
  <c r="AC9" i="6"/>
  <c r="AB9" i="6"/>
  <c r="AA9" i="6"/>
  <c r="Z9" i="6"/>
  <c r="Y9" i="6"/>
  <c r="W9" i="6"/>
  <c r="T9" i="6"/>
  <c r="Q9" i="6"/>
  <c r="O9" i="6"/>
  <c r="M9" i="6"/>
  <c r="K9" i="6"/>
  <c r="I9" i="6"/>
  <c r="G9" i="6"/>
  <c r="E9" i="6"/>
  <c r="AH8" i="6"/>
  <c r="AG8" i="6"/>
  <c r="AF8" i="6"/>
  <c r="AE8" i="6"/>
  <c r="AD8" i="6"/>
  <c r="AC8" i="6"/>
  <c r="AB8" i="6"/>
  <c r="AA8" i="6"/>
  <c r="Z8" i="6"/>
  <c r="Y8" i="6"/>
  <c r="W8" i="6"/>
  <c r="T8" i="6"/>
  <c r="Q8" i="6"/>
  <c r="O8" i="6"/>
  <c r="M8" i="6"/>
  <c r="K8" i="6"/>
  <c r="I8" i="6"/>
  <c r="G8" i="6"/>
  <c r="E8" i="6"/>
  <c r="V77" i="7"/>
  <c r="S77" i="7"/>
  <c r="P77" i="7"/>
  <c r="N77" i="7"/>
  <c r="L77" i="7"/>
  <c r="J77" i="7"/>
  <c r="H77" i="7"/>
  <c r="F77" i="7"/>
  <c r="D77" i="7"/>
  <c r="V76" i="7"/>
  <c r="S76" i="7"/>
  <c r="P76" i="7"/>
  <c r="N76" i="7"/>
  <c r="L76" i="7"/>
  <c r="J76" i="7"/>
  <c r="H76" i="7"/>
  <c r="F76" i="7"/>
  <c r="D76" i="7"/>
  <c r="V75" i="7"/>
  <c r="S75" i="7"/>
  <c r="P75" i="7"/>
  <c r="N75" i="7"/>
  <c r="L75" i="7"/>
  <c r="J75" i="7"/>
  <c r="H75" i="7"/>
  <c r="F75" i="7"/>
  <c r="D75" i="7"/>
  <c r="V74" i="7"/>
  <c r="S74" i="7"/>
  <c r="P74" i="7"/>
  <c r="N74" i="7"/>
  <c r="L74" i="7"/>
  <c r="J74" i="7"/>
  <c r="H74" i="7"/>
  <c r="F74" i="7"/>
  <c r="D74" i="7"/>
  <c r="W72" i="7"/>
  <c r="T72" i="7"/>
  <c r="Q72" i="7"/>
  <c r="O72" i="7"/>
  <c r="M72" i="7"/>
  <c r="K72" i="7"/>
  <c r="I72" i="7"/>
  <c r="G72" i="7"/>
  <c r="E72" i="7"/>
  <c r="AD71" i="7"/>
  <c r="W71" i="7"/>
  <c r="T71" i="7"/>
  <c r="Q71" i="7"/>
  <c r="O71" i="7"/>
  <c r="M71" i="7"/>
  <c r="K71" i="7"/>
  <c r="I71" i="7"/>
  <c r="G71" i="7"/>
  <c r="E71" i="7"/>
  <c r="AE70" i="7"/>
  <c r="AC70" i="7"/>
  <c r="W70" i="7"/>
  <c r="T70" i="7"/>
  <c r="Q70" i="7"/>
  <c r="O70" i="7"/>
  <c r="M70" i="7"/>
  <c r="K70" i="7"/>
  <c r="I70" i="7"/>
  <c r="G70" i="7"/>
  <c r="E70" i="7"/>
  <c r="AE69" i="7"/>
  <c r="AB69" i="7"/>
  <c r="W69" i="7"/>
  <c r="T69" i="7"/>
  <c r="Q69" i="7"/>
  <c r="O69" i="7"/>
  <c r="M69" i="7"/>
  <c r="K69" i="7"/>
  <c r="I69" i="7"/>
  <c r="G69" i="7"/>
  <c r="E69" i="7"/>
  <c r="AE68" i="7"/>
  <c r="AA68" i="7"/>
  <c r="W68" i="7"/>
  <c r="T68" i="7"/>
  <c r="Q68" i="7"/>
  <c r="O68" i="7"/>
  <c r="M68" i="7"/>
  <c r="K68" i="7"/>
  <c r="I68" i="7"/>
  <c r="G68" i="7"/>
  <c r="E68" i="7"/>
  <c r="AE67" i="7"/>
  <c r="Z67" i="7"/>
  <c r="W67" i="7"/>
  <c r="T67" i="7"/>
  <c r="Q67" i="7"/>
  <c r="O67" i="7"/>
  <c r="M67" i="7"/>
  <c r="K67" i="7"/>
  <c r="I67" i="7"/>
  <c r="G67" i="7"/>
  <c r="E67" i="7"/>
  <c r="AE66" i="7"/>
  <c r="Y66" i="7"/>
  <c r="W66" i="7"/>
  <c r="T66" i="7"/>
  <c r="Q66" i="7"/>
  <c r="O66" i="7"/>
  <c r="M66" i="7"/>
  <c r="K66" i="7"/>
  <c r="I66" i="7"/>
  <c r="G66" i="7"/>
  <c r="E66" i="7"/>
  <c r="AE65" i="7"/>
  <c r="AD65" i="7"/>
  <c r="AE64" i="7"/>
  <c r="AD64" i="7"/>
  <c r="V64" i="7"/>
  <c r="S64" i="7"/>
  <c r="P64" i="7"/>
  <c r="N64" i="7"/>
  <c r="L64" i="7"/>
  <c r="J64" i="7"/>
  <c r="H64" i="7"/>
  <c r="F64" i="7"/>
  <c r="D64" i="7"/>
  <c r="AE63" i="7"/>
  <c r="AD63" i="7"/>
  <c r="V63" i="7"/>
  <c r="S63" i="7"/>
  <c r="P63" i="7"/>
  <c r="N63" i="7"/>
  <c r="L63" i="7"/>
  <c r="J63" i="7"/>
  <c r="H63" i="7"/>
  <c r="F63" i="7"/>
  <c r="D63" i="7"/>
  <c r="AH62" i="7"/>
  <c r="AG62" i="7"/>
  <c r="AF62" i="7"/>
  <c r="AE62" i="7"/>
  <c r="AD62" i="7"/>
  <c r="AC62" i="7"/>
  <c r="AB62" i="7"/>
  <c r="AA62" i="7"/>
  <c r="Z62" i="7"/>
  <c r="Y62" i="7"/>
  <c r="W62" i="7"/>
  <c r="T62" i="7"/>
  <c r="Q62" i="7"/>
  <c r="O62" i="7"/>
  <c r="M62" i="7"/>
  <c r="K62" i="7"/>
  <c r="I62" i="7"/>
  <c r="G62" i="7"/>
  <c r="E62" i="7"/>
  <c r="AH61" i="7"/>
  <c r="AG61" i="7"/>
  <c r="AF61" i="7"/>
  <c r="AE61" i="7"/>
  <c r="AD61" i="7"/>
  <c r="AC61" i="7"/>
  <c r="AB61" i="7"/>
  <c r="AA61" i="7"/>
  <c r="Z61" i="7"/>
  <c r="Y61" i="7"/>
  <c r="W61" i="7"/>
  <c r="T61" i="7"/>
  <c r="Q61" i="7"/>
  <c r="O61" i="7"/>
  <c r="M61" i="7"/>
  <c r="K61" i="7"/>
  <c r="I61" i="7"/>
  <c r="G61" i="7"/>
  <c r="E61" i="7"/>
  <c r="AH60" i="7"/>
  <c r="AG60" i="7"/>
  <c r="AF60" i="7"/>
  <c r="AE60" i="7"/>
  <c r="AD60" i="7"/>
  <c r="AC60" i="7"/>
  <c r="AB60" i="7"/>
  <c r="AA60" i="7"/>
  <c r="Z60" i="7"/>
  <c r="Y60" i="7"/>
  <c r="W60" i="7"/>
  <c r="T60" i="7"/>
  <c r="Q60" i="7"/>
  <c r="O60" i="7"/>
  <c r="M60" i="7"/>
  <c r="K60" i="7"/>
  <c r="I60" i="7"/>
  <c r="G60" i="7"/>
  <c r="E60" i="7"/>
  <c r="AH59" i="7"/>
  <c r="AG59" i="7"/>
  <c r="AF59" i="7"/>
  <c r="AE59" i="7"/>
  <c r="AD59" i="7"/>
  <c r="AC59" i="7"/>
  <c r="AB59" i="7"/>
  <c r="AA59" i="7"/>
  <c r="Z59" i="7"/>
  <c r="Y59" i="7"/>
  <c r="W59" i="7"/>
  <c r="T59" i="7"/>
  <c r="Q59" i="7"/>
  <c r="O59" i="7"/>
  <c r="M59" i="7"/>
  <c r="K59" i="7"/>
  <c r="I59" i="7"/>
  <c r="G59" i="7"/>
  <c r="E59" i="7"/>
  <c r="AH58" i="7"/>
  <c r="AG58" i="7"/>
  <c r="AF58" i="7"/>
  <c r="AE58" i="7"/>
  <c r="AD58" i="7"/>
  <c r="AC58" i="7"/>
  <c r="AB58" i="7"/>
  <c r="AA58" i="7"/>
  <c r="Z58" i="7"/>
  <c r="Y58" i="7"/>
  <c r="W58" i="7"/>
  <c r="T58" i="7"/>
  <c r="Q58" i="7"/>
  <c r="O58" i="7"/>
  <c r="M58" i="7"/>
  <c r="K58" i="7"/>
  <c r="I58" i="7"/>
  <c r="G58" i="7"/>
  <c r="E58" i="7"/>
  <c r="AH57" i="7"/>
  <c r="AG57" i="7"/>
  <c r="AF57" i="7"/>
  <c r="AE57" i="7"/>
  <c r="AD57" i="7"/>
  <c r="AC57" i="7"/>
  <c r="AB57" i="7"/>
  <c r="AA57" i="7"/>
  <c r="Z57" i="7"/>
  <c r="Y57" i="7"/>
  <c r="W57" i="7"/>
  <c r="T57" i="7"/>
  <c r="Q57" i="7"/>
  <c r="O57" i="7"/>
  <c r="M57" i="7"/>
  <c r="K57" i="7"/>
  <c r="I57" i="7"/>
  <c r="G57" i="7"/>
  <c r="E57" i="7"/>
  <c r="AH56" i="7"/>
  <c r="AG56" i="7"/>
  <c r="AF56" i="7"/>
  <c r="AE56" i="7"/>
  <c r="AD56" i="7"/>
  <c r="AC56" i="7"/>
  <c r="AB56" i="7"/>
  <c r="AA56" i="7"/>
  <c r="Z56" i="7"/>
  <c r="Y56" i="7"/>
  <c r="W56" i="7"/>
  <c r="T56" i="7"/>
  <c r="Q56" i="7"/>
  <c r="O56" i="7"/>
  <c r="M56" i="7"/>
  <c r="K56" i="7"/>
  <c r="I56" i="7"/>
  <c r="G56" i="7"/>
  <c r="E56" i="7"/>
  <c r="AH55" i="7"/>
  <c r="AG55" i="7"/>
  <c r="AF55" i="7"/>
  <c r="AE55" i="7"/>
  <c r="AD55" i="7"/>
  <c r="AC55" i="7"/>
  <c r="AB55" i="7"/>
  <c r="AA55" i="7"/>
  <c r="Z55" i="7"/>
  <c r="Y55" i="7"/>
  <c r="W55" i="7"/>
  <c r="T55" i="7"/>
  <c r="Q55" i="7"/>
  <c r="O55" i="7"/>
  <c r="M55" i="7"/>
  <c r="K55" i="7"/>
  <c r="I55" i="7"/>
  <c r="G55" i="7"/>
  <c r="E55" i="7"/>
  <c r="AH54" i="7"/>
  <c r="AG54" i="7"/>
  <c r="AF54" i="7"/>
  <c r="AE54" i="7"/>
  <c r="AD54" i="7"/>
  <c r="AC54" i="7"/>
  <c r="AB54" i="7"/>
  <c r="AA54" i="7"/>
  <c r="Z54" i="7"/>
  <c r="Y54" i="7"/>
  <c r="W54" i="7"/>
  <c r="T54" i="7"/>
  <c r="Q54" i="7"/>
  <c r="O54" i="7"/>
  <c r="M54" i="7"/>
  <c r="K54" i="7"/>
  <c r="I54" i="7"/>
  <c r="G54" i="7"/>
  <c r="E54" i="7"/>
  <c r="AH53" i="7"/>
  <c r="AG53" i="7"/>
  <c r="AF53" i="7"/>
  <c r="AE53" i="7"/>
  <c r="AD53" i="7"/>
  <c r="AC53" i="7"/>
  <c r="AB53" i="7"/>
  <c r="AA53" i="7"/>
  <c r="Z53" i="7"/>
  <c r="Y53" i="7"/>
  <c r="W53" i="7"/>
  <c r="T53" i="7"/>
  <c r="Q53" i="7"/>
  <c r="O53" i="7"/>
  <c r="M53" i="7"/>
  <c r="K53" i="7"/>
  <c r="I53" i="7"/>
  <c r="G53" i="7"/>
  <c r="E53" i="7"/>
  <c r="AH52" i="7"/>
  <c r="AG52" i="7"/>
  <c r="AF52" i="7"/>
  <c r="AE52" i="7"/>
  <c r="AD52" i="7"/>
  <c r="AC52" i="7"/>
  <c r="AB52" i="7"/>
  <c r="AA52" i="7"/>
  <c r="Z52" i="7"/>
  <c r="Y52" i="7"/>
  <c r="W52" i="7"/>
  <c r="T52" i="7"/>
  <c r="Q52" i="7"/>
  <c r="O52" i="7"/>
  <c r="M52" i="7"/>
  <c r="K52" i="7"/>
  <c r="I52" i="7"/>
  <c r="G52" i="7"/>
  <c r="E52" i="7"/>
  <c r="AH51" i="7"/>
  <c r="AG51" i="7"/>
  <c r="AF51" i="7"/>
  <c r="AE51" i="7"/>
  <c r="AD51" i="7"/>
  <c r="AC51" i="7"/>
  <c r="AB51" i="7"/>
  <c r="AA51" i="7"/>
  <c r="Z51" i="7"/>
  <c r="Y51" i="7"/>
  <c r="W51" i="7"/>
  <c r="T51" i="7"/>
  <c r="Q51" i="7"/>
  <c r="O51" i="7"/>
  <c r="M51" i="7"/>
  <c r="K51" i="7"/>
  <c r="I51" i="7"/>
  <c r="G51" i="7"/>
  <c r="E51" i="7"/>
  <c r="AH50" i="7"/>
  <c r="AG50" i="7"/>
  <c r="AF50" i="7"/>
  <c r="AE50" i="7"/>
  <c r="AD50" i="7"/>
  <c r="AC50" i="7"/>
  <c r="AB50" i="7"/>
  <c r="AA50" i="7"/>
  <c r="Z50" i="7"/>
  <c r="Y50" i="7"/>
  <c r="W50" i="7"/>
  <c r="T50" i="7"/>
  <c r="Q50" i="7"/>
  <c r="O50" i="7"/>
  <c r="M50" i="7"/>
  <c r="K50" i="7"/>
  <c r="I50" i="7"/>
  <c r="G50" i="7"/>
  <c r="E50" i="7"/>
  <c r="AH49" i="7"/>
  <c r="AG49" i="7"/>
  <c r="AF49" i="7"/>
  <c r="AE49" i="7"/>
  <c r="AD49" i="7"/>
  <c r="AC49" i="7"/>
  <c r="AB49" i="7"/>
  <c r="AA49" i="7"/>
  <c r="Z49" i="7"/>
  <c r="Y49" i="7"/>
  <c r="W49" i="7"/>
  <c r="T49" i="7"/>
  <c r="Q49" i="7"/>
  <c r="O49" i="7"/>
  <c r="M49" i="7"/>
  <c r="K49" i="7"/>
  <c r="I49" i="7"/>
  <c r="G49" i="7"/>
  <c r="E49" i="7"/>
  <c r="AH48" i="7"/>
  <c r="AG48" i="7"/>
  <c r="AF48" i="7"/>
  <c r="AE48" i="7"/>
  <c r="AD48" i="7"/>
  <c r="AC48" i="7"/>
  <c r="AB48" i="7"/>
  <c r="AA48" i="7"/>
  <c r="Z48" i="7"/>
  <c r="Y48" i="7"/>
  <c r="W48" i="7"/>
  <c r="T48" i="7"/>
  <c r="Q48" i="7"/>
  <c r="O48" i="7"/>
  <c r="M48" i="7"/>
  <c r="K48" i="7"/>
  <c r="I48" i="7"/>
  <c r="G48" i="7"/>
  <c r="E48" i="7"/>
  <c r="AH47" i="7"/>
  <c r="AG47" i="7"/>
  <c r="AF47" i="7"/>
  <c r="AE47" i="7"/>
  <c r="AD47" i="7"/>
  <c r="AC47" i="7"/>
  <c r="AB47" i="7"/>
  <c r="AA47" i="7"/>
  <c r="Z47" i="7"/>
  <c r="Y47" i="7"/>
  <c r="W47" i="7"/>
  <c r="T47" i="7"/>
  <c r="Q47" i="7"/>
  <c r="O47" i="7"/>
  <c r="M47" i="7"/>
  <c r="K47" i="7"/>
  <c r="I47" i="7"/>
  <c r="G47" i="7"/>
  <c r="E47" i="7"/>
  <c r="AH46" i="7"/>
  <c r="AG46" i="7"/>
  <c r="AF46" i="7"/>
  <c r="AE46" i="7"/>
  <c r="AD46" i="7"/>
  <c r="AC46" i="7"/>
  <c r="AB46" i="7"/>
  <c r="AA46" i="7"/>
  <c r="Z46" i="7"/>
  <c r="Y46" i="7"/>
  <c r="W46" i="7"/>
  <c r="T46" i="7"/>
  <c r="Q46" i="7"/>
  <c r="O46" i="7"/>
  <c r="M46" i="7"/>
  <c r="K46" i="7"/>
  <c r="I46" i="7"/>
  <c r="G46" i="7"/>
  <c r="E46" i="7"/>
  <c r="AH45" i="7"/>
  <c r="AG45" i="7"/>
  <c r="AF45" i="7"/>
  <c r="AE45" i="7"/>
  <c r="AD45" i="7"/>
  <c r="AC45" i="7"/>
  <c r="AB45" i="7"/>
  <c r="AA45" i="7"/>
  <c r="Z45" i="7"/>
  <c r="Y45" i="7"/>
  <c r="W45" i="7"/>
  <c r="T45" i="7"/>
  <c r="Q45" i="7"/>
  <c r="O45" i="7"/>
  <c r="M45" i="7"/>
  <c r="K45" i="7"/>
  <c r="I45" i="7"/>
  <c r="G45" i="7"/>
  <c r="E45" i="7"/>
  <c r="AH44" i="7"/>
  <c r="AG44" i="7"/>
  <c r="AF44" i="7"/>
  <c r="AE44" i="7"/>
  <c r="AD44" i="7"/>
  <c r="AC44" i="7"/>
  <c r="AB44" i="7"/>
  <c r="AA44" i="7"/>
  <c r="Z44" i="7"/>
  <c r="Y44" i="7"/>
  <c r="W44" i="7"/>
  <c r="T44" i="7"/>
  <c r="Q44" i="7"/>
  <c r="O44" i="7"/>
  <c r="M44" i="7"/>
  <c r="K44" i="7"/>
  <c r="I44" i="7"/>
  <c r="G44" i="7"/>
  <c r="E44" i="7"/>
  <c r="AH43" i="7"/>
  <c r="AG43" i="7"/>
  <c r="AF43" i="7"/>
  <c r="AE43" i="7"/>
  <c r="AD43" i="7"/>
  <c r="AC43" i="7"/>
  <c r="AB43" i="7"/>
  <c r="AA43" i="7"/>
  <c r="Z43" i="7"/>
  <c r="Y43" i="7"/>
  <c r="W43" i="7"/>
  <c r="T43" i="7"/>
  <c r="Q43" i="7"/>
  <c r="O43" i="7"/>
  <c r="M43" i="7"/>
  <c r="K43" i="7"/>
  <c r="I43" i="7"/>
  <c r="G43" i="7"/>
  <c r="E43" i="7"/>
  <c r="AH42" i="7"/>
  <c r="AG42" i="7"/>
  <c r="AF42" i="7"/>
  <c r="AE42" i="7"/>
  <c r="AD42" i="7"/>
  <c r="AC42" i="7"/>
  <c r="AB42" i="7"/>
  <c r="AA42" i="7"/>
  <c r="Z42" i="7"/>
  <c r="Y42" i="7"/>
  <c r="W42" i="7"/>
  <c r="T42" i="7"/>
  <c r="Q42" i="7"/>
  <c r="O42" i="7"/>
  <c r="M42" i="7"/>
  <c r="K42" i="7"/>
  <c r="I42" i="7"/>
  <c r="G42" i="7"/>
  <c r="E42" i="7"/>
  <c r="AH41" i="7"/>
  <c r="AG41" i="7"/>
  <c r="AF41" i="7"/>
  <c r="AE41" i="7"/>
  <c r="AD41" i="7"/>
  <c r="AC41" i="7"/>
  <c r="AB41" i="7"/>
  <c r="AA41" i="7"/>
  <c r="Z41" i="7"/>
  <c r="Y41" i="7"/>
  <c r="W41" i="7"/>
  <c r="T41" i="7"/>
  <c r="Q41" i="7"/>
  <c r="O41" i="7"/>
  <c r="M41" i="7"/>
  <c r="K41" i="7"/>
  <c r="I41" i="7"/>
  <c r="G41" i="7"/>
  <c r="E41" i="7"/>
  <c r="AH40" i="7"/>
  <c r="AG40" i="7"/>
  <c r="AF40" i="7"/>
  <c r="AE40" i="7"/>
  <c r="AD40" i="7"/>
  <c r="AC40" i="7"/>
  <c r="AB40" i="7"/>
  <c r="AA40" i="7"/>
  <c r="Z40" i="7"/>
  <c r="Y40" i="7"/>
  <c r="W40" i="7"/>
  <c r="T40" i="7"/>
  <c r="Q40" i="7"/>
  <c r="O40" i="7"/>
  <c r="M40" i="7"/>
  <c r="K40" i="7"/>
  <c r="I40" i="7"/>
  <c r="G40" i="7"/>
  <c r="E40" i="7"/>
  <c r="AH39" i="7"/>
  <c r="AG39" i="7"/>
  <c r="AF39" i="7"/>
  <c r="AE39" i="7"/>
  <c r="AD39" i="7"/>
  <c r="AC39" i="7"/>
  <c r="AB39" i="7"/>
  <c r="AA39" i="7"/>
  <c r="Z39" i="7"/>
  <c r="Y39" i="7"/>
  <c r="W39" i="7"/>
  <c r="T39" i="7"/>
  <c r="Q39" i="7"/>
  <c r="O39" i="7"/>
  <c r="M39" i="7"/>
  <c r="K39" i="7"/>
  <c r="I39" i="7"/>
  <c r="G39" i="7"/>
  <c r="E39" i="7"/>
  <c r="AH38" i="7"/>
  <c r="AG38" i="7"/>
  <c r="AF38" i="7"/>
  <c r="AE38" i="7"/>
  <c r="AD38" i="7"/>
  <c r="AC38" i="7"/>
  <c r="AB38" i="7"/>
  <c r="AA38" i="7"/>
  <c r="Z38" i="7"/>
  <c r="Y38" i="7"/>
  <c r="W38" i="7"/>
  <c r="T38" i="7"/>
  <c r="Q38" i="7"/>
  <c r="O38" i="7"/>
  <c r="M38" i="7"/>
  <c r="K38" i="7"/>
  <c r="I38" i="7"/>
  <c r="G38" i="7"/>
  <c r="E38" i="7"/>
  <c r="AH37" i="7"/>
  <c r="AG37" i="7"/>
  <c r="AF37" i="7"/>
  <c r="AE37" i="7"/>
  <c r="AD37" i="7"/>
  <c r="AC37" i="7"/>
  <c r="AB37" i="7"/>
  <c r="AA37" i="7"/>
  <c r="Z37" i="7"/>
  <c r="Y37" i="7"/>
  <c r="W37" i="7"/>
  <c r="T37" i="7"/>
  <c r="Q37" i="7"/>
  <c r="O37" i="7"/>
  <c r="M37" i="7"/>
  <c r="K37" i="7"/>
  <c r="I37" i="7"/>
  <c r="G37" i="7"/>
  <c r="E37" i="7"/>
  <c r="AH36" i="7"/>
  <c r="AG36" i="7"/>
  <c r="AF36" i="7"/>
  <c r="AE36" i="7"/>
  <c r="AD36" i="7"/>
  <c r="AC36" i="7"/>
  <c r="AB36" i="7"/>
  <c r="AA36" i="7"/>
  <c r="Z36" i="7"/>
  <c r="Y36" i="7"/>
  <c r="W36" i="7"/>
  <c r="T36" i="7"/>
  <c r="Q36" i="7"/>
  <c r="O36" i="7"/>
  <c r="M36" i="7"/>
  <c r="K36" i="7"/>
  <c r="I36" i="7"/>
  <c r="G36" i="7"/>
  <c r="E36" i="7"/>
  <c r="AH35" i="7"/>
  <c r="AG35" i="7"/>
  <c r="AF35" i="7"/>
  <c r="AE35" i="7"/>
  <c r="AD35" i="7"/>
  <c r="AC35" i="7"/>
  <c r="AB35" i="7"/>
  <c r="AA35" i="7"/>
  <c r="Z35" i="7"/>
  <c r="Y35" i="7"/>
  <c r="W35" i="7"/>
  <c r="T35" i="7"/>
  <c r="Q35" i="7"/>
  <c r="O35" i="7"/>
  <c r="M35" i="7"/>
  <c r="K35" i="7"/>
  <c r="I35" i="7"/>
  <c r="G35" i="7"/>
  <c r="E35" i="7"/>
  <c r="AH34" i="7"/>
  <c r="AG34" i="7"/>
  <c r="AF34" i="7"/>
  <c r="AE34" i="7"/>
  <c r="AD34" i="7"/>
  <c r="AC34" i="7"/>
  <c r="AB34" i="7"/>
  <c r="AA34" i="7"/>
  <c r="Z34" i="7"/>
  <c r="Y34" i="7"/>
  <c r="W34" i="7"/>
  <c r="T34" i="7"/>
  <c r="Q34" i="7"/>
  <c r="O34" i="7"/>
  <c r="M34" i="7"/>
  <c r="K34" i="7"/>
  <c r="I34" i="7"/>
  <c r="G34" i="7"/>
  <c r="E34" i="7"/>
  <c r="AH33" i="7"/>
  <c r="AG33" i="7"/>
  <c r="AF33" i="7"/>
  <c r="AE33" i="7"/>
  <c r="AD33" i="7"/>
  <c r="AC33" i="7"/>
  <c r="AB33" i="7"/>
  <c r="AA33" i="7"/>
  <c r="Z33" i="7"/>
  <c r="Y33" i="7"/>
  <c r="W33" i="7"/>
  <c r="T33" i="7"/>
  <c r="Q33" i="7"/>
  <c r="O33" i="7"/>
  <c r="M33" i="7"/>
  <c r="K33" i="7"/>
  <c r="I33" i="7"/>
  <c r="G33" i="7"/>
  <c r="E33" i="7"/>
  <c r="AH32" i="7"/>
  <c r="AG32" i="7"/>
  <c r="AF32" i="7"/>
  <c r="AE32" i="7"/>
  <c r="AD32" i="7"/>
  <c r="AC32" i="7"/>
  <c r="AB32" i="7"/>
  <c r="AA32" i="7"/>
  <c r="Z32" i="7"/>
  <c r="Y32" i="7"/>
  <c r="W32" i="7"/>
  <c r="T32" i="7"/>
  <c r="Q32" i="7"/>
  <c r="O32" i="7"/>
  <c r="M32" i="7"/>
  <c r="K32" i="7"/>
  <c r="I32" i="7"/>
  <c r="G32" i="7"/>
  <c r="E32" i="7"/>
  <c r="AH31" i="7"/>
  <c r="AG31" i="7"/>
  <c r="AF31" i="7"/>
  <c r="AE31" i="7"/>
  <c r="AD31" i="7"/>
  <c r="AC31" i="7"/>
  <c r="AB31" i="7"/>
  <c r="AA31" i="7"/>
  <c r="Z31" i="7"/>
  <c r="Y31" i="7"/>
  <c r="W31" i="7"/>
  <c r="T31" i="7"/>
  <c r="Q31" i="7"/>
  <c r="O31" i="7"/>
  <c r="M31" i="7"/>
  <c r="K31" i="7"/>
  <c r="I31" i="7"/>
  <c r="G31" i="7"/>
  <c r="E31" i="7"/>
  <c r="AH30" i="7"/>
  <c r="AG30" i="7"/>
  <c r="AF30" i="7"/>
  <c r="AE30" i="7"/>
  <c r="AD30" i="7"/>
  <c r="AC30" i="7"/>
  <c r="AB30" i="7"/>
  <c r="AA30" i="7"/>
  <c r="Z30" i="7"/>
  <c r="Y30" i="7"/>
  <c r="W30" i="7"/>
  <c r="T30" i="7"/>
  <c r="Q30" i="7"/>
  <c r="O30" i="7"/>
  <c r="M30" i="7"/>
  <c r="K30" i="7"/>
  <c r="I30" i="7"/>
  <c r="G30" i="7"/>
  <c r="E30" i="7"/>
  <c r="AH29" i="7"/>
  <c r="AG29" i="7"/>
  <c r="AF29" i="7"/>
  <c r="AE29" i="7"/>
  <c r="AD29" i="7"/>
  <c r="AC29" i="7"/>
  <c r="AB29" i="7"/>
  <c r="AA29" i="7"/>
  <c r="Z29" i="7"/>
  <c r="Y29" i="7"/>
  <c r="W29" i="7"/>
  <c r="T29" i="7"/>
  <c r="Q29" i="7"/>
  <c r="O29" i="7"/>
  <c r="M29" i="7"/>
  <c r="K29" i="7"/>
  <c r="I29" i="7"/>
  <c r="G29" i="7"/>
  <c r="E29" i="7"/>
  <c r="AH28" i="7"/>
  <c r="AG28" i="7"/>
  <c r="AF28" i="7"/>
  <c r="AE28" i="7"/>
  <c r="AD28" i="7"/>
  <c r="AC28" i="7"/>
  <c r="AB28" i="7"/>
  <c r="AA28" i="7"/>
  <c r="Z28" i="7"/>
  <c r="Y28" i="7"/>
  <c r="W28" i="7"/>
  <c r="T28" i="7"/>
  <c r="Q28" i="7"/>
  <c r="O28" i="7"/>
  <c r="M28" i="7"/>
  <c r="K28" i="7"/>
  <c r="I28" i="7"/>
  <c r="G28" i="7"/>
  <c r="E28" i="7"/>
  <c r="AH27" i="7"/>
  <c r="AG27" i="7"/>
  <c r="AF27" i="7"/>
  <c r="AE27" i="7"/>
  <c r="AD27" i="7"/>
  <c r="AC27" i="7"/>
  <c r="AB27" i="7"/>
  <c r="AA27" i="7"/>
  <c r="Z27" i="7"/>
  <c r="Y27" i="7"/>
  <c r="W27" i="7"/>
  <c r="T27" i="7"/>
  <c r="Q27" i="7"/>
  <c r="O27" i="7"/>
  <c r="M27" i="7"/>
  <c r="K27" i="7"/>
  <c r="I27" i="7"/>
  <c r="G27" i="7"/>
  <c r="E27" i="7"/>
  <c r="AH26" i="7"/>
  <c r="AG26" i="7"/>
  <c r="AF26" i="7"/>
  <c r="AE26" i="7"/>
  <c r="AD26" i="7"/>
  <c r="AC26" i="7"/>
  <c r="AB26" i="7"/>
  <c r="AA26" i="7"/>
  <c r="Z26" i="7"/>
  <c r="Y26" i="7"/>
  <c r="W26" i="7"/>
  <c r="T26" i="7"/>
  <c r="Q26" i="7"/>
  <c r="O26" i="7"/>
  <c r="M26" i="7"/>
  <c r="K26" i="7"/>
  <c r="I26" i="7"/>
  <c r="G26" i="7"/>
  <c r="E26" i="7"/>
  <c r="AH25" i="7"/>
  <c r="AG25" i="7"/>
  <c r="AF25" i="7"/>
  <c r="AE25" i="7"/>
  <c r="AD25" i="7"/>
  <c r="AC25" i="7"/>
  <c r="AB25" i="7"/>
  <c r="AA25" i="7"/>
  <c r="Z25" i="7"/>
  <c r="Y25" i="7"/>
  <c r="W25" i="7"/>
  <c r="T25" i="7"/>
  <c r="Q25" i="7"/>
  <c r="O25" i="7"/>
  <c r="M25" i="7"/>
  <c r="K25" i="7"/>
  <c r="I25" i="7"/>
  <c r="G25" i="7"/>
  <c r="E25" i="7"/>
  <c r="AH24" i="7"/>
  <c r="AG24" i="7"/>
  <c r="AF24" i="7"/>
  <c r="AE24" i="7"/>
  <c r="AD24" i="7"/>
  <c r="AC24" i="7"/>
  <c r="AB24" i="7"/>
  <c r="AA24" i="7"/>
  <c r="Z24" i="7"/>
  <c r="Y24" i="7"/>
  <c r="W24" i="7"/>
  <c r="T24" i="7"/>
  <c r="Q24" i="7"/>
  <c r="O24" i="7"/>
  <c r="M24" i="7"/>
  <c r="K24" i="7"/>
  <c r="I24" i="7"/>
  <c r="G24" i="7"/>
  <c r="E24" i="7"/>
  <c r="AH23" i="7"/>
  <c r="AG23" i="7"/>
  <c r="AF23" i="7"/>
  <c r="AE23" i="7"/>
  <c r="AD23" i="7"/>
  <c r="AC23" i="7"/>
  <c r="AB23" i="7"/>
  <c r="AA23" i="7"/>
  <c r="Z23" i="7"/>
  <c r="Y23" i="7"/>
  <c r="W23" i="7"/>
  <c r="T23" i="7"/>
  <c r="Q23" i="7"/>
  <c r="O23" i="7"/>
  <c r="M23" i="7"/>
  <c r="K23" i="7"/>
  <c r="I23" i="7"/>
  <c r="G23" i="7"/>
  <c r="E23" i="7"/>
  <c r="AH22" i="7"/>
  <c r="AG22" i="7"/>
  <c r="AF22" i="7"/>
  <c r="AE22" i="7"/>
  <c r="AD22" i="7"/>
  <c r="AC22" i="7"/>
  <c r="AB22" i="7"/>
  <c r="AA22" i="7"/>
  <c r="Z22" i="7"/>
  <c r="Y22" i="7"/>
  <c r="W22" i="7"/>
  <c r="T22" i="7"/>
  <c r="Q22" i="7"/>
  <c r="O22" i="7"/>
  <c r="M22" i="7"/>
  <c r="K22" i="7"/>
  <c r="I22" i="7"/>
  <c r="G22" i="7"/>
  <c r="E22" i="7"/>
  <c r="AH21" i="7"/>
  <c r="AG21" i="7"/>
  <c r="AF21" i="7"/>
  <c r="AE21" i="7"/>
  <c r="AD21" i="7"/>
  <c r="AC21" i="7"/>
  <c r="AB21" i="7"/>
  <c r="AA21" i="7"/>
  <c r="Z21" i="7"/>
  <c r="Y21" i="7"/>
  <c r="W21" i="7"/>
  <c r="T21" i="7"/>
  <c r="Q21" i="7"/>
  <c r="O21" i="7"/>
  <c r="M21" i="7"/>
  <c r="K21" i="7"/>
  <c r="I21" i="7"/>
  <c r="G21" i="7"/>
  <c r="E21" i="7"/>
  <c r="AH20" i="7"/>
  <c r="AG20" i="7"/>
  <c r="AF20" i="7"/>
  <c r="AE20" i="7"/>
  <c r="AD20" i="7"/>
  <c r="AC20" i="7"/>
  <c r="AB20" i="7"/>
  <c r="AA20" i="7"/>
  <c r="Z20" i="7"/>
  <c r="Y20" i="7"/>
  <c r="W20" i="7"/>
  <c r="T20" i="7"/>
  <c r="Q20" i="7"/>
  <c r="O20" i="7"/>
  <c r="M20" i="7"/>
  <c r="K20" i="7"/>
  <c r="I20" i="7"/>
  <c r="G20" i="7"/>
  <c r="E20" i="7"/>
  <c r="AH19" i="7"/>
  <c r="AG19" i="7"/>
  <c r="AF19" i="7"/>
  <c r="AE19" i="7"/>
  <c r="AD19" i="7"/>
  <c r="AC19" i="7"/>
  <c r="AB19" i="7"/>
  <c r="AA19" i="7"/>
  <c r="Z19" i="7"/>
  <c r="Y19" i="7"/>
  <c r="W19" i="7"/>
  <c r="T19" i="7"/>
  <c r="Q19" i="7"/>
  <c r="O19" i="7"/>
  <c r="M19" i="7"/>
  <c r="K19" i="7"/>
  <c r="I19" i="7"/>
  <c r="G19" i="7"/>
  <c r="E19" i="7"/>
  <c r="AH18" i="7"/>
  <c r="AG18" i="7"/>
  <c r="AF18" i="7"/>
  <c r="AE18" i="7"/>
  <c r="AD18" i="7"/>
  <c r="AC18" i="7"/>
  <c r="AB18" i="7"/>
  <c r="AA18" i="7"/>
  <c r="Z18" i="7"/>
  <c r="Y18" i="7"/>
  <c r="W18" i="7"/>
  <c r="T18" i="7"/>
  <c r="Q18" i="7"/>
  <c r="O18" i="7"/>
  <c r="M18" i="7"/>
  <c r="K18" i="7"/>
  <c r="I18" i="7"/>
  <c r="G18" i="7"/>
  <c r="E18" i="7"/>
  <c r="AH17" i="7"/>
  <c r="AG17" i="7"/>
  <c r="AF17" i="7"/>
  <c r="AE17" i="7"/>
  <c r="AD17" i="7"/>
  <c r="AC17" i="7"/>
  <c r="AB17" i="7"/>
  <c r="AA17" i="7"/>
  <c r="Z17" i="7"/>
  <c r="Y17" i="7"/>
  <c r="W17" i="7"/>
  <c r="T17" i="7"/>
  <c r="Q17" i="7"/>
  <c r="O17" i="7"/>
  <c r="M17" i="7"/>
  <c r="K17" i="7"/>
  <c r="I17" i="7"/>
  <c r="G17" i="7"/>
  <c r="E17" i="7"/>
  <c r="AH16" i="7"/>
  <c r="AG16" i="7"/>
  <c r="AF16" i="7"/>
  <c r="AE16" i="7"/>
  <c r="AD16" i="7"/>
  <c r="AC16" i="7"/>
  <c r="AB16" i="7"/>
  <c r="AA16" i="7"/>
  <c r="Z16" i="7"/>
  <c r="Y16" i="7"/>
  <c r="W16" i="7"/>
  <c r="T16" i="7"/>
  <c r="Q16" i="7"/>
  <c r="O16" i="7"/>
  <c r="M16" i="7"/>
  <c r="K16" i="7"/>
  <c r="I16" i="7"/>
  <c r="G16" i="7"/>
  <c r="E16" i="7"/>
  <c r="AH15" i="7"/>
  <c r="AG15" i="7"/>
  <c r="AF15" i="7"/>
  <c r="AE15" i="7"/>
  <c r="AD15" i="7"/>
  <c r="AC15" i="7"/>
  <c r="AB15" i="7"/>
  <c r="AA15" i="7"/>
  <c r="Z15" i="7"/>
  <c r="Y15" i="7"/>
  <c r="W15" i="7"/>
  <c r="T15" i="7"/>
  <c r="Q15" i="7"/>
  <c r="O15" i="7"/>
  <c r="M15" i="7"/>
  <c r="K15" i="7"/>
  <c r="I15" i="7"/>
  <c r="G15" i="7"/>
  <c r="E15" i="7"/>
  <c r="AH14" i="7"/>
  <c r="AG14" i="7"/>
  <c r="AF14" i="7"/>
  <c r="AE14" i="7"/>
  <c r="AD14" i="7"/>
  <c r="AC14" i="7"/>
  <c r="AB14" i="7"/>
  <c r="AA14" i="7"/>
  <c r="Z14" i="7"/>
  <c r="Y14" i="7"/>
  <c r="W14" i="7"/>
  <c r="T14" i="7"/>
  <c r="Q14" i="7"/>
  <c r="O14" i="7"/>
  <c r="M14" i="7"/>
  <c r="K14" i="7"/>
  <c r="I14" i="7"/>
  <c r="G14" i="7"/>
  <c r="E14" i="7"/>
  <c r="AH13" i="7"/>
  <c r="AG13" i="7"/>
  <c r="AF13" i="7"/>
  <c r="AE13" i="7"/>
  <c r="AD13" i="7"/>
  <c r="AC13" i="7"/>
  <c r="AB13" i="7"/>
  <c r="AA13" i="7"/>
  <c r="Z13" i="7"/>
  <c r="Y13" i="7"/>
  <c r="W13" i="7"/>
  <c r="T13" i="7"/>
  <c r="Q13" i="7"/>
  <c r="O13" i="7"/>
  <c r="M13" i="7"/>
  <c r="K13" i="7"/>
  <c r="I13" i="7"/>
  <c r="G13" i="7"/>
  <c r="E13" i="7"/>
  <c r="AH12" i="7"/>
  <c r="AG12" i="7"/>
  <c r="AF12" i="7"/>
  <c r="AE12" i="7"/>
  <c r="AD12" i="7"/>
  <c r="AC12" i="7"/>
  <c r="AB12" i="7"/>
  <c r="AA12" i="7"/>
  <c r="Z12" i="7"/>
  <c r="Y12" i="7"/>
  <c r="W12" i="7"/>
  <c r="T12" i="7"/>
  <c r="Q12" i="7"/>
  <c r="O12" i="7"/>
  <c r="M12" i="7"/>
  <c r="K12" i="7"/>
  <c r="I12" i="7"/>
  <c r="G12" i="7"/>
  <c r="E12" i="7"/>
  <c r="AH11" i="7"/>
  <c r="AG11" i="7"/>
  <c r="AF11" i="7"/>
  <c r="AE11" i="7"/>
  <c r="AD11" i="7"/>
  <c r="AC11" i="7"/>
  <c r="AB11" i="7"/>
  <c r="AA11" i="7"/>
  <c r="Z11" i="7"/>
  <c r="Y11" i="7"/>
  <c r="W11" i="7"/>
  <c r="T11" i="7"/>
  <c r="Q11" i="7"/>
  <c r="O11" i="7"/>
  <c r="M11" i="7"/>
  <c r="K11" i="7"/>
  <c r="I11" i="7"/>
  <c r="G11" i="7"/>
  <c r="E11" i="7"/>
  <c r="AH10" i="7"/>
  <c r="AG10" i="7"/>
  <c r="AF10" i="7"/>
  <c r="AE10" i="7"/>
  <c r="AD10" i="7"/>
  <c r="AC10" i="7"/>
  <c r="AB10" i="7"/>
  <c r="AA10" i="7"/>
  <c r="Z10" i="7"/>
  <c r="Y10" i="7"/>
  <c r="W10" i="7"/>
  <c r="T10" i="7"/>
  <c r="Q10" i="7"/>
  <c r="O10" i="7"/>
  <c r="M10" i="7"/>
  <c r="K10" i="7"/>
  <c r="I10" i="7"/>
  <c r="G10" i="7"/>
  <c r="E10" i="7"/>
  <c r="AH9" i="7"/>
  <c r="AG9" i="7"/>
  <c r="AF9" i="7"/>
  <c r="AE9" i="7"/>
  <c r="AD9" i="7"/>
  <c r="AC9" i="7"/>
  <c r="AB9" i="7"/>
  <c r="AA9" i="7"/>
  <c r="Z9" i="7"/>
  <c r="Y9" i="7"/>
  <c r="W9" i="7"/>
  <c r="T9" i="7"/>
  <c r="Q9" i="7"/>
  <c r="O9" i="7"/>
  <c r="M9" i="7"/>
  <c r="K9" i="7"/>
  <c r="I9" i="7"/>
  <c r="G9" i="7"/>
  <c r="E9" i="7"/>
  <c r="AH8" i="7"/>
  <c r="AG8" i="7"/>
  <c r="AF8" i="7"/>
  <c r="AE8" i="7"/>
  <c r="AD8" i="7"/>
  <c r="AC8" i="7"/>
  <c r="AB8" i="7"/>
  <c r="AA8" i="7"/>
  <c r="Z8" i="7"/>
  <c r="Y8" i="7"/>
  <c r="W8" i="7"/>
  <c r="T8" i="7"/>
  <c r="Q8" i="7"/>
  <c r="O8" i="7"/>
  <c r="M8" i="7"/>
  <c r="K8" i="7"/>
  <c r="I8" i="7"/>
  <c r="G8" i="7"/>
  <c r="E8" i="7"/>
  <c r="V77" i="8"/>
  <c r="S77" i="8"/>
  <c r="P77" i="8"/>
  <c r="N77" i="8"/>
  <c r="L77" i="8"/>
  <c r="J77" i="8"/>
  <c r="H77" i="8"/>
  <c r="F77" i="8"/>
  <c r="D77" i="8"/>
  <c r="V76" i="8"/>
  <c r="S76" i="8"/>
  <c r="P76" i="8"/>
  <c r="N76" i="8"/>
  <c r="L76" i="8"/>
  <c r="J76" i="8"/>
  <c r="H76" i="8"/>
  <c r="F76" i="8"/>
  <c r="D76" i="8"/>
  <c r="V75" i="8"/>
  <c r="S75" i="8"/>
  <c r="P75" i="8"/>
  <c r="N75" i="8"/>
  <c r="L75" i="8"/>
  <c r="J75" i="8"/>
  <c r="H75" i="8"/>
  <c r="F75" i="8"/>
  <c r="D75" i="8"/>
  <c r="V74" i="8"/>
  <c r="S74" i="8"/>
  <c r="P74" i="8"/>
  <c r="N74" i="8"/>
  <c r="L74" i="8"/>
  <c r="J74" i="8"/>
  <c r="H74" i="8"/>
  <c r="F74" i="8"/>
  <c r="D74" i="8"/>
  <c r="W72" i="8"/>
  <c r="T72" i="8"/>
  <c r="Q72" i="8"/>
  <c r="O72" i="8"/>
  <c r="M72" i="8"/>
  <c r="K72" i="8"/>
  <c r="I72" i="8"/>
  <c r="G72" i="8"/>
  <c r="E72" i="8"/>
  <c r="AD71" i="8"/>
  <c r="W71" i="8"/>
  <c r="T71" i="8"/>
  <c r="Q71" i="8"/>
  <c r="O71" i="8"/>
  <c r="M71" i="8"/>
  <c r="K71" i="8"/>
  <c r="I71" i="8"/>
  <c r="G71" i="8"/>
  <c r="E71" i="8"/>
  <c r="AE70" i="8"/>
  <c r="AC70" i="8"/>
  <c r="W70" i="8"/>
  <c r="T70" i="8"/>
  <c r="Q70" i="8"/>
  <c r="O70" i="8"/>
  <c r="M70" i="8"/>
  <c r="K70" i="8"/>
  <c r="I70" i="8"/>
  <c r="G70" i="8"/>
  <c r="E70" i="8"/>
  <c r="AE69" i="8"/>
  <c r="AB69" i="8"/>
  <c r="W69" i="8"/>
  <c r="T69" i="8"/>
  <c r="Q69" i="8"/>
  <c r="O69" i="8"/>
  <c r="M69" i="8"/>
  <c r="K69" i="8"/>
  <c r="I69" i="8"/>
  <c r="G69" i="8"/>
  <c r="E69" i="8"/>
  <c r="AE68" i="8"/>
  <c r="AA68" i="8"/>
  <c r="W68" i="8"/>
  <c r="T68" i="8"/>
  <c r="Q68" i="8"/>
  <c r="O68" i="8"/>
  <c r="M68" i="8"/>
  <c r="K68" i="8"/>
  <c r="I68" i="8"/>
  <c r="G68" i="8"/>
  <c r="E68" i="8"/>
  <c r="AE67" i="8"/>
  <c r="Z67" i="8"/>
  <c r="W67" i="8"/>
  <c r="T67" i="8"/>
  <c r="Q67" i="8"/>
  <c r="O67" i="8"/>
  <c r="M67" i="8"/>
  <c r="K67" i="8"/>
  <c r="I67" i="8"/>
  <c r="G67" i="8"/>
  <c r="E67" i="8"/>
  <c r="AE66" i="8"/>
  <c r="Y66" i="8"/>
  <c r="W66" i="8"/>
  <c r="T66" i="8"/>
  <c r="Q66" i="8"/>
  <c r="O66" i="8"/>
  <c r="M66" i="8"/>
  <c r="K66" i="8"/>
  <c r="I66" i="8"/>
  <c r="G66" i="8"/>
  <c r="E66" i="8"/>
  <c r="AE65" i="8"/>
  <c r="AD65" i="8"/>
  <c r="AE64" i="8"/>
  <c r="AD64" i="8"/>
  <c r="V64" i="8"/>
  <c r="S64" i="8"/>
  <c r="P64" i="8"/>
  <c r="N64" i="8"/>
  <c r="L64" i="8"/>
  <c r="J64" i="8"/>
  <c r="H64" i="8"/>
  <c r="F64" i="8"/>
  <c r="D64" i="8"/>
  <c r="AE63" i="8"/>
  <c r="AD63" i="8"/>
  <c r="V63" i="8"/>
  <c r="S63" i="8"/>
  <c r="P63" i="8"/>
  <c r="N63" i="8"/>
  <c r="L63" i="8"/>
  <c r="J63" i="8"/>
  <c r="H63" i="8"/>
  <c r="F63" i="8"/>
  <c r="D63" i="8"/>
  <c r="AH62" i="8"/>
  <c r="AG62" i="8"/>
  <c r="AF62" i="8"/>
  <c r="AE62" i="8"/>
  <c r="AD62" i="8"/>
  <c r="AC62" i="8"/>
  <c r="AB62" i="8"/>
  <c r="AA62" i="8"/>
  <c r="Z62" i="8"/>
  <c r="Y62" i="8"/>
  <c r="W62" i="8"/>
  <c r="T62" i="8"/>
  <c r="Q62" i="8"/>
  <c r="O62" i="8"/>
  <c r="M62" i="8"/>
  <c r="K62" i="8"/>
  <c r="I62" i="8"/>
  <c r="G62" i="8"/>
  <c r="E62" i="8"/>
  <c r="AH61" i="8"/>
  <c r="AG61" i="8"/>
  <c r="AF61" i="8"/>
  <c r="AE61" i="8"/>
  <c r="AD61" i="8"/>
  <c r="AC61" i="8"/>
  <c r="AB61" i="8"/>
  <c r="AA61" i="8"/>
  <c r="Z61" i="8"/>
  <c r="Y61" i="8"/>
  <c r="W61" i="8"/>
  <c r="T61" i="8"/>
  <c r="Q61" i="8"/>
  <c r="O61" i="8"/>
  <c r="M61" i="8"/>
  <c r="K61" i="8"/>
  <c r="I61" i="8"/>
  <c r="G61" i="8"/>
  <c r="E61" i="8"/>
  <c r="AH60" i="8"/>
  <c r="AG60" i="8"/>
  <c r="AF60" i="8"/>
  <c r="AE60" i="8"/>
  <c r="AD60" i="8"/>
  <c r="AC60" i="8"/>
  <c r="AB60" i="8"/>
  <c r="AA60" i="8"/>
  <c r="Z60" i="8"/>
  <c r="Y60" i="8"/>
  <c r="W60" i="8"/>
  <c r="T60" i="8"/>
  <c r="Q60" i="8"/>
  <c r="O60" i="8"/>
  <c r="M60" i="8"/>
  <c r="K60" i="8"/>
  <c r="I60" i="8"/>
  <c r="G60" i="8"/>
  <c r="E60" i="8"/>
  <c r="AH59" i="8"/>
  <c r="AG59" i="8"/>
  <c r="AF59" i="8"/>
  <c r="AE59" i="8"/>
  <c r="AD59" i="8"/>
  <c r="AC59" i="8"/>
  <c r="AB59" i="8"/>
  <c r="AA59" i="8"/>
  <c r="Z59" i="8"/>
  <c r="Y59" i="8"/>
  <c r="W59" i="8"/>
  <c r="T59" i="8"/>
  <c r="Q59" i="8"/>
  <c r="O59" i="8"/>
  <c r="M59" i="8"/>
  <c r="K59" i="8"/>
  <c r="I59" i="8"/>
  <c r="G59" i="8"/>
  <c r="E59" i="8"/>
  <c r="AH58" i="8"/>
  <c r="AG58" i="8"/>
  <c r="AF58" i="8"/>
  <c r="AE58" i="8"/>
  <c r="AD58" i="8"/>
  <c r="AC58" i="8"/>
  <c r="AB58" i="8"/>
  <c r="AA58" i="8"/>
  <c r="Z58" i="8"/>
  <c r="Y58" i="8"/>
  <c r="W58" i="8"/>
  <c r="T58" i="8"/>
  <c r="Q58" i="8"/>
  <c r="O58" i="8"/>
  <c r="M58" i="8"/>
  <c r="K58" i="8"/>
  <c r="I58" i="8"/>
  <c r="G58" i="8"/>
  <c r="E58" i="8"/>
  <c r="AH57" i="8"/>
  <c r="AG57" i="8"/>
  <c r="AF57" i="8"/>
  <c r="AE57" i="8"/>
  <c r="AD57" i="8"/>
  <c r="AC57" i="8"/>
  <c r="AB57" i="8"/>
  <c r="AA57" i="8"/>
  <c r="Z57" i="8"/>
  <c r="Y57" i="8"/>
  <c r="W57" i="8"/>
  <c r="T57" i="8"/>
  <c r="Q57" i="8"/>
  <c r="O57" i="8"/>
  <c r="M57" i="8"/>
  <c r="K57" i="8"/>
  <c r="I57" i="8"/>
  <c r="G57" i="8"/>
  <c r="E57" i="8"/>
  <c r="AH56" i="8"/>
  <c r="AG56" i="8"/>
  <c r="AF56" i="8"/>
  <c r="AE56" i="8"/>
  <c r="AD56" i="8"/>
  <c r="AC56" i="8"/>
  <c r="AB56" i="8"/>
  <c r="AA56" i="8"/>
  <c r="Z56" i="8"/>
  <c r="Y56" i="8"/>
  <c r="W56" i="8"/>
  <c r="T56" i="8"/>
  <c r="Q56" i="8"/>
  <c r="O56" i="8"/>
  <c r="M56" i="8"/>
  <c r="K56" i="8"/>
  <c r="I56" i="8"/>
  <c r="G56" i="8"/>
  <c r="E56" i="8"/>
  <c r="AH55" i="8"/>
  <c r="AG55" i="8"/>
  <c r="AF55" i="8"/>
  <c r="AE55" i="8"/>
  <c r="AD55" i="8"/>
  <c r="AC55" i="8"/>
  <c r="AB55" i="8"/>
  <c r="AA55" i="8"/>
  <c r="Z55" i="8"/>
  <c r="Y55" i="8"/>
  <c r="W55" i="8"/>
  <c r="T55" i="8"/>
  <c r="Q55" i="8"/>
  <c r="O55" i="8"/>
  <c r="M55" i="8"/>
  <c r="K55" i="8"/>
  <c r="I55" i="8"/>
  <c r="G55" i="8"/>
  <c r="E55" i="8"/>
  <c r="AH54" i="8"/>
  <c r="AG54" i="8"/>
  <c r="AF54" i="8"/>
  <c r="AE54" i="8"/>
  <c r="AD54" i="8"/>
  <c r="AC54" i="8"/>
  <c r="AB54" i="8"/>
  <c r="AA54" i="8"/>
  <c r="Z54" i="8"/>
  <c r="Y54" i="8"/>
  <c r="W54" i="8"/>
  <c r="T54" i="8"/>
  <c r="Q54" i="8"/>
  <c r="O54" i="8"/>
  <c r="M54" i="8"/>
  <c r="K54" i="8"/>
  <c r="I54" i="8"/>
  <c r="G54" i="8"/>
  <c r="E54" i="8"/>
  <c r="AH53" i="8"/>
  <c r="AG53" i="8"/>
  <c r="AF53" i="8"/>
  <c r="AE53" i="8"/>
  <c r="AD53" i="8"/>
  <c r="AC53" i="8"/>
  <c r="AB53" i="8"/>
  <c r="AA53" i="8"/>
  <c r="Z53" i="8"/>
  <c r="Y53" i="8"/>
  <c r="W53" i="8"/>
  <c r="T53" i="8"/>
  <c r="Q53" i="8"/>
  <c r="O53" i="8"/>
  <c r="M53" i="8"/>
  <c r="K53" i="8"/>
  <c r="I53" i="8"/>
  <c r="G53" i="8"/>
  <c r="E53" i="8"/>
  <c r="AH52" i="8"/>
  <c r="AG52" i="8"/>
  <c r="AF52" i="8"/>
  <c r="AE52" i="8"/>
  <c r="AD52" i="8"/>
  <c r="AC52" i="8"/>
  <c r="AB52" i="8"/>
  <c r="AA52" i="8"/>
  <c r="Z52" i="8"/>
  <c r="Y52" i="8"/>
  <c r="W52" i="8"/>
  <c r="T52" i="8"/>
  <c r="Q52" i="8"/>
  <c r="O52" i="8"/>
  <c r="M52" i="8"/>
  <c r="K52" i="8"/>
  <c r="I52" i="8"/>
  <c r="G52" i="8"/>
  <c r="E52" i="8"/>
  <c r="AH51" i="8"/>
  <c r="AG51" i="8"/>
  <c r="AF51" i="8"/>
  <c r="AE51" i="8"/>
  <c r="AD51" i="8"/>
  <c r="AC51" i="8"/>
  <c r="AB51" i="8"/>
  <c r="AA51" i="8"/>
  <c r="Z51" i="8"/>
  <c r="Y51" i="8"/>
  <c r="W51" i="8"/>
  <c r="T51" i="8"/>
  <c r="Q51" i="8"/>
  <c r="O51" i="8"/>
  <c r="M51" i="8"/>
  <c r="K51" i="8"/>
  <c r="I51" i="8"/>
  <c r="G51" i="8"/>
  <c r="E51" i="8"/>
  <c r="AH50" i="8"/>
  <c r="AG50" i="8"/>
  <c r="AF50" i="8"/>
  <c r="AE50" i="8"/>
  <c r="AD50" i="8"/>
  <c r="AC50" i="8"/>
  <c r="AB50" i="8"/>
  <c r="AA50" i="8"/>
  <c r="Z50" i="8"/>
  <c r="Y50" i="8"/>
  <c r="W50" i="8"/>
  <c r="T50" i="8"/>
  <c r="Q50" i="8"/>
  <c r="O50" i="8"/>
  <c r="M50" i="8"/>
  <c r="K50" i="8"/>
  <c r="I50" i="8"/>
  <c r="G50" i="8"/>
  <c r="E50" i="8"/>
  <c r="AH49" i="8"/>
  <c r="AG49" i="8"/>
  <c r="AF49" i="8"/>
  <c r="AE49" i="8"/>
  <c r="AD49" i="8"/>
  <c r="AC49" i="8"/>
  <c r="AB49" i="8"/>
  <c r="AA49" i="8"/>
  <c r="Z49" i="8"/>
  <c r="Y49" i="8"/>
  <c r="W49" i="8"/>
  <c r="T49" i="8"/>
  <c r="Q49" i="8"/>
  <c r="O49" i="8"/>
  <c r="M49" i="8"/>
  <c r="K49" i="8"/>
  <c r="I49" i="8"/>
  <c r="G49" i="8"/>
  <c r="E49" i="8"/>
  <c r="AH48" i="8"/>
  <c r="AG48" i="8"/>
  <c r="AF48" i="8"/>
  <c r="AE48" i="8"/>
  <c r="AD48" i="8"/>
  <c r="AC48" i="8"/>
  <c r="AB48" i="8"/>
  <c r="AA48" i="8"/>
  <c r="Z48" i="8"/>
  <c r="Y48" i="8"/>
  <c r="W48" i="8"/>
  <c r="T48" i="8"/>
  <c r="Q48" i="8"/>
  <c r="O48" i="8"/>
  <c r="M48" i="8"/>
  <c r="K48" i="8"/>
  <c r="I48" i="8"/>
  <c r="G48" i="8"/>
  <c r="E48" i="8"/>
  <c r="AH47" i="8"/>
  <c r="AG47" i="8"/>
  <c r="AF47" i="8"/>
  <c r="AE47" i="8"/>
  <c r="AD47" i="8"/>
  <c r="AC47" i="8"/>
  <c r="AB47" i="8"/>
  <c r="AA47" i="8"/>
  <c r="Z47" i="8"/>
  <c r="Y47" i="8"/>
  <c r="W47" i="8"/>
  <c r="T47" i="8"/>
  <c r="Q47" i="8"/>
  <c r="O47" i="8"/>
  <c r="M47" i="8"/>
  <c r="K47" i="8"/>
  <c r="I47" i="8"/>
  <c r="G47" i="8"/>
  <c r="E47" i="8"/>
  <c r="AH46" i="8"/>
  <c r="AG46" i="8"/>
  <c r="AF46" i="8"/>
  <c r="AE46" i="8"/>
  <c r="AD46" i="8"/>
  <c r="AC46" i="8"/>
  <c r="AB46" i="8"/>
  <c r="AA46" i="8"/>
  <c r="Z46" i="8"/>
  <c r="Y46" i="8"/>
  <c r="W46" i="8"/>
  <c r="T46" i="8"/>
  <c r="Q46" i="8"/>
  <c r="O46" i="8"/>
  <c r="M46" i="8"/>
  <c r="K46" i="8"/>
  <c r="I46" i="8"/>
  <c r="G46" i="8"/>
  <c r="E46" i="8"/>
  <c r="AH45" i="8"/>
  <c r="AG45" i="8"/>
  <c r="AF45" i="8"/>
  <c r="AE45" i="8"/>
  <c r="AD45" i="8"/>
  <c r="AC45" i="8"/>
  <c r="AB45" i="8"/>
  <c r="AA45" i="8"/>
  <c r="Z45" i="8"/>
  <c r="Y45" i="8"/>
  <c r="W45" i="8"/>
  <c r="T45" i="8"/>
  <c r="Q45" i="8"/>
  <c r="O45" i="8"/>
  <c r="M45" i="8"/>
  <c r="K45" i="8"/>
  <c r="I45" i="8"/>
  <c r="G45" i="8"/>
  <c r="E45" i="8"/>
  <c r="AH44" i="8"/>
  <c r="AG44" i="8"/>
  <c r="AF44" i="8"/>
  <c r="AE44" i="8"/>
  <c r="AD44" i="8"/>
  <c r="AC44" i="8"/>
  <c r="AB44" i="8"/>
  <c r="AA44" i="8"/>
  <c r="Z44" i="8"/>
  <c r="Y44" i="8"/>
  <c r="W44" i="8"/>
  <c r="T44" i="8"/>
  <c r="Q44" i="8"/>
  <c r="O44" i="8"/>
  <c r="M44" i="8"/>
  <c r="K44" i="8"/>
  <c r="I44" i="8"/>
  <c r="G44" i="8"/>
  <c r="E44" i="8"/>
  <c r="AH43" i="8"/>
  <c r="AG43" i="8"/>
  <c r="AF43" i="8"/>
  <c r="AE43" i="8"/>
  <c r="AD43" i="8"/>
  <c r="AC43" i="8"/>
  <c r="AB43" i="8"/>
  <c r="AA43" i="8"/>
  <c r="Z43" i="8"/>
  <c r="Y43" i="8"/>
  <c r="W43" i="8"/>
  <c r="T43" i="8"/>
  <c r="Q43" i="8"/>
  <c r="O43" i="8"/>
  <c r="M43" i="8"/>
  <c r="K43" i="8"/>
  <c r="I43" i="8"/>
  <c r="G43" i="8"/>
  <c r="E43" i="8"/>
  <c r="AH42" i="8"/>
  <c r="AG42" i="8"/>
  <c r="AF42" i="8"/>
  <c r="AE42" i="8"/>
  <c r="AD42" i="8"/>
  <c r="AC42" i="8"/>
  <c r="AB42" i="8"/>
  <c r="AA42" i="8"/>
  <c r="Z42" i="8"/>
  <c r="Y42" i="8"/>
  <c r="W42" i="8"/>
  <c r="T42" i="8"/>
  <c r="Q42" i="8"/>
  <c r="O42" i="8"/>
  <c r="M42" i="8"/>
  <c r="K42" i="8"/>
  <c r="I42" i="8"/>
  <c r="G42" i="8"/>
  <c r="E42" i="8"/>
  <c r="AH41" i="8"/>
  <c r="AG41" i="8"/>
  <c r="AF41" i="8"/>
  <c r="AE41" i="8"/>
  <c r="AD41" i="8"/>
  <c r="AC41" i="8"/>
  <c r="AB41" i="8"/>
  <c r="AA41" i="8"/>
  <c r="Z41" i="8"/>
  <c r="Y41" i="8"/>
  <c r="W41" i="8"/>
  <c r="T41" i="8"/>
  <c r="Q41" i="8"/>
  <c r="O41" i="8"/>
  <c r="M41" i="8"/>
  <c r="K41" i="8"/>
  <c r="I41" i="8"/>
  <c r="G41" i="8"/>
  <c r="E41" i="8"/>
  <c r="AH40" i="8"/>
  <c r="AG40" i="8"/>
  <c r="AF40" i="8"/>
  <c r="AE40" i="8"/>
  <c r="AD40" i="8"/>
  <c r="AC40" i="8"/>
  <c r="AB40" i="8"/>
  <c r="AA40" i="8"/>
  <c r="Z40" i="8"/>
  <c r="Y40" i="8"/>
  <c r="W40" i="8"/>
  <c r="T40" i="8"/>
  <c r="Q40" i="8"/>
  <c r="O40" i="8"/>
  <c r="M40" i="8"/>
  <c r="K40" i="8"/>
  <c r="I40" i="8"/>
  <c r="G40" i="8"/>
  <c r="E40" i="8"/>
  <c r="AH39" i="8"/>
  <c r="AG39" i="8"/>
  <c r="AF39" i="8"/>
  <c r="AE39" i="8"/>
  <c r="AD39" i="8"/>
  <c r="AC39" i="8"/>
  <c r="AB39" i="8"/>
  <c r="AA39" i="8"/>
  <c r="Z39" i="8"/>
  <c r="Y39" i="8"/>
  <c r="W39" i="8"/>
  <c r="T39" i="8"/>
  <c r="Q39" i="8"/>
  <c r="O39" i="8"/>
  <c r="M39" i="8"/>
  <c r="K39" i="8"/>
  <c r="I39" i="8"/>
  <c r="G39" i="8"/>
  <c r="E39" i="8"/>
  <c r="AH38" i="8"/>
  <c r="AG38" i="8"/>
  <c r="AF38" i="8"/>
  <c r="AE38" i="8"/>
  <c r="AD38" i="8"/>
  <c r="AC38" i="8"/>
  <c r="AB38" i="8"/>
  <c r="AA38" i="8"/>
  <c r="Z38" i="8"/>
  <c r="Y38" i="8"/>
  <c r="W38" i="8"/>
  <c r="T38" i="8"/>
  <c r="Q38" i="8"/>
  <c r="O38" i="8"/>
  <c r="M38" i="8"/>
  <c r="K38" i="8"/>
  <c r="I38" i="8"/>
  <c r="G38" i="8"/>
  <c r="E38" i="8"/>
  <c r="AH37" i="8"/>
  <c r="AG37" i="8"/>
  <c r="AF37" i="8"/>
  <c r="AE37" i="8"/>
  <c r="AD37" i="8"/>
  <c r="AC37" i="8"/>
  <c r="AB37" i="8"/>
  <c r="AA37" i="8"/>
  <c r="Z37" i="8"/>
  <c r="Y37" i="8"/>
  <c r="W37" i="8"/>
  <c r="T37" i="8"/>
  <c r="Q37" i="8"/>
  <c r="O37" i="8"/>
  <c r="M37" i="8"/>
  <c r="K37" i="8"/>
  <c r="I37" i="8"/>
  <c r="G37" i="8"/>
  <c r="E37" i="8"/>
  <c r="AH36" i="8"/>
  <c r="AG36" i="8"/>
  <c r="AF36" i="8"/>
  <c r="AE36" i="8"/>
  <c r="AD36" i="8"/>
  <c r="AC36" i="8"/>
  <c r="AB36" i="8"/>
  <c r="AA36" i="8"/>
  <c r="Z36" i="8"/>
  <c r="Y36" i="8"/>
  <c r="W36" i="8"/>
  <c r="T36" i="8"/>
  <c r="Q36" i="8"/>
  <c r="O36" i="8"/>
  <c r="M36" i="8"/>
  <c r="K36" i="8"/>
  <c r="I36" i="8"/>
  <c r="G36" i="8"/>
  <c r="E36" i="8"/>
  <c r="AH35" i="8"/>
  <c r="AG35" i="8"/>
  <c r="AF35" i="8"/>
  <c r="AE35" i="8"/>
  <c r="AD35" i="8"/>
  <c r="AC35" i="8"/>
  <c r="AB35" i="8"/>
  <c r="AA35" i="8"/>
  <c r="Z35" i="8"/>
  <c r="Y35" i="8"/>
  <c r="W35" i="8"/>
  <c r="T35" i="8"/>
  <c r="Q35" i="8"/>
  <c r="O35" i="8"/>
  <c r="M35" i="8"/>
  <c r="K35" i="8"/>
  <c r="I35" i="8"/>
  <c r="G35" i="8"/>
  <c r="E35" i="8"/>
  <c r="AH34" i="8"/>
  <c r="AG34" i="8"/>
  <c r="AF34" i="8"/>
  <c r="AE34" i="8"/>
  <c r="AD34" i="8"/>
  <c r="AC34" i="8"/>
  <c r="AB34" i="8"/>
  <c r="AA34" i="8"/>
  <c r="Z34" i="8"/>
  <c r="Y34" i="8"/>
  <c r="W34" i="8"/>
  <c r="T34" i="8"/>
  <c r="Q34" i="8"/>
  <c r="O34" i="8"/>
  <c r="M34" i="8"/>
  <c r="K34" i="8"/>
  <c r="I34" i="8"/>
  <c r="G34" i="8"/>
  <c r="E34" i="8"/>
  <c r="AH33" i="8"/>
  <c r="AG33" i="8"/>
  <c r="AF33" i="8"/>
  <c r="AE33" i="8"/>
  <c r="AD33" i="8"/>
  <c r="AC33" i="8"/>
  <c r="AB33" i="8"/>
  <c r="AA33" i="8"/>
  <c r="Z33" i="8"/>
  <c r="Y33" i="8"/>
  <c r="W33" i="8"/>
  <c r="T33" i="8"/>
  <c r="Q33" i="8"/>
  <c r="O33" i="8"/>
  <c r="M33" i="8"/>
  <c r="K33" i="8"/>
  <c r="I33" i="8"/>
  <c r="G33" i="8"/>
  <c r="E33" i="8"/>
  <c r="AH32" i="8"/>
  <c r="AG32" i="8"/>
  <c r="AF32" i="8"/>
  <c r="AE32" i="8"/>
  <c r="AD32" i="8"/>
  <c r="AC32" i="8"/>
  <c r="AB32" i="8"/>
  <c r="AA32" i="8"/>
  <c r="Z32" i="8"/>
  <c r="Y32" i="8"/>
  <c r="W32" i="8"/>
  <c r="T32" i="8"/>
  <c r="Q32" i="8"/>
  <c r="O32" i="8"/>
  <c r="M32" i="8"/>
  <c r="K32" i="8"/>
  <c r="I32" i="8"/>
  <c r="G32" i="8"/>
  <c r="E32" i="8"/>
  <c r="AH31" i="8"/>
  <c r="AG31" i="8"/>
  <c r="AF31" i="8"/>
  <c r="AE31" i="8"/>
  <c r="AD31" i="8"/>
  <c r="AC31" i="8"/>
  <c r="AB31" i="8"/>
  <c r="AA31" i="8"/>
  <c r="Z31" i="8"/>
  <c r="Y31" i="8"/>
  <c r="W31" i="8"/>
  <c r="T31" i="8"/>
  <c r="Q31" i="8"/>
  <c r="O31" i="8"/>
  <c r="M31" i="8"/>
  <c r="K31" i="8"/>
  <c r="I31" i="8"/>
  <c r="G31" i="8"/>
  <c r="E31" i="8"/>
  <c r="AH30" i="8"/>
  <c r="AG30" i="8"/>
  <c r="AF30" i="8"/>
  <c r="AE30" i="8"/>
  <c r="AD30" i="8"/>
  <c r="AC30" i="8"/>
  <c r="AB30" i="8"/>
  <c r="AA30" i="8"/>
  <c r="Z30" i="8"/>
  <c r="Y30" i="8"/>
  <c r="W30" i="8"/>
  <c r="T30" i="8"/>
  <c r="Q30" i="8"/>
  <c r="O30" i="8"/>
  <c r="M30" i="8"/>
  <c r="K30" i="8"/>
  <c r="I30" i="8"/>
  <c r="G30" i="8"/>
  <c r="E30" i="8"/>
  <c r="AH29" i="8"/>
  <c r="AG29" i="8"/>
  <c r="AF29" i="8"/>
  <c r="AE29" i="8"/>
  <c r="AD29" i="8"/>
  <c r="AC29" i="8"/>
  <c r="AB29" i="8"/>
  <c r="AA29" i="8"/>
  <c r="Z29" i="8"/>
  <c r="Y29" i="8"/>
  <c r="W29" i="8"/>
  <c r="T29" i="8"/>
  <c r="Q29" i="8"/>
  <c r="O29" i="8"/>
  <c r="M29" i="8"/>
  <c r="K29" i="8"/>
  <c r="I29" i="8"/>
  <c r="G29" i="8"/>
  <c r="E29" i="8"/>
  <c r="AH28" i="8"/>
  <c r="AG28" i="8"/>
  <c r="AF28" i="8"/>
  <c r="AE28" i="8"/>
  <c r="AD28" i="8"/>
  <c r="AC28" i="8"/>
  <c r="AB28" i="8"/>
  <c r="AA28" i="8"/>
  <c r="Z28" i="8"/>
  <c r="Y28" i="8"/>
  <c r="W28" i="8"/>
  <c r="T28" i="8"/>
  <c r="Q28" i="8"/>
  <c r="O28" i="8"/>
  <c r="M28" i="8"/>
  <c r="K28" i="8"/>
  <c r="I28" i="8"/>
  <c r="G28" i="8"/>
  <c r="E28" i="8"/>
  <c r="AH27" i="8"/>
  <c r="AG27" i="8"/>
  <c r="AF27" i="8"/>
  <c r="AE27" i="8"/>
  <c r="AD27" i="8"/>
  <c r="AC27" i="8"/>
  <c r="AB27" i="8"/>
  <c r="AA27" i="8"/>
  <c r="Z27" i="8"/>
  <c r="Y27" i="8"/>
  <c r="W27" i="8"/>
  <c r="T27" i="8"/>
  <c r="Q27" i="8"/>
  <c r="O27" i="8"/>
  <c r="M27" i="8"/>
  <c r="K27" i="8"/>
  <c r="I27" i="8"/>
  <c r="G27" i="8"/>
  <c r="E27" i="8"/>
  <c r="AH26" i="8"/>
  <c r="AG26" i="8"/>
  <c r="AF26" i="8"/>
  <c r="AE26" i="8"/>
  <c r="AD26" i="8"/>
  <c r="AC26" i="8"/>
  <c r="AB26" i="8"/>
  <c r="AA26" i="8"/>
  <c r="Z26" i="8"/>
  <c r="Y26" i="8"/>
  <c r="W26" i="8"/>
  <c r="T26" i="8"/>
  <c r="Q26" i="8"/>
  <c r="O26" i="8"/>
  <c r="M26" i="8"/>
  <c r="K26" i="8"/>
  <c r="I26" i="8"/>
  <c r="G26" i="8"/>
  <c r="E26" i="8"/>
  <c r="AH25" i="8"/>
  <c r="AG25" i="8"/>
  <c r="AF25" i="8"/>
  <c r="AE25" i="8"/>
  <c r="AD25" i="8"/>
  <c r="AC25" i="8"/>
  <c r="AB25" i="8"/>
  <c r="AA25" i="8"/>
  <c r="Z25" i="8"/>
  <c r="Y25" i="8"/>
  <c r="W25" i="8"/>
  <c r="T25" i="8"/>
  <c r="Q25" i="8"/>
  <c r="O25" i="8"/>
  <c r="M25" i="8"/>
  <c r="K25" i="8"/>
  <c r="I25" i="8"/>
  <c r="G25" i="8"/>
  <c r="E25" i="8"/>
  <c r="AH24" i="8"/>
  <c r="AG24" i="8"/>
  <c r="AF24" i="8"/>
  <c r="AE24" i="8"/>
  <c r="AD24" i="8"/>
  <c r="AC24" i="8"/>
  <c r="AB24" i="8"/>
  <c r="AA24" i="8"/>
  <c r="Z24" i="8"/>
  <c r="Y24" i="8"/>
  <c r="W24" i="8"/>
  <c r="T24" i="8"/>
  <c r="Q24" i="8"/>
  <c r="O24" i="8"/>
  <c r="M24" i="8"/>
  <c r="K24" i="8"/>
  <c r="I24" i="8"/>
  <c r="G24" i="8"/>
  <c r="E24" i="8"/>
  <c r="AH23" i="8"/>
  <c r="AG23" i="8"/>
  <c r="AF23" i="8"/>
  <c r="AE23" i="8"/>
  <c r="AD23" i="8"/>
  <c r="AC23" i="8"/>
  <c r="AB23" i="8"/>
  <c r="AA23" i="8"/>
  <c r="Z23" i="8"/>
  <c r="Y23" i="8"/>
  <c r="W23" i="8"/>
  <c r="T23" i="8"/>
  <c r="Q23" i="8"/>
  <c r="O23" i="8"/>
  <c r="M23" i="8"/>
  <c r="K23" i="8"/>
  <c r="I23" i="8"/>
  <c r="G23" i="8"/>
  <c r="E23" i="8"/>
  <c r="AH22" i="8"/>
  <c r="AG22" i="8"/>
  <c r="AF22" i="8"/>
  <c r="AE22" i="8"/>
  <c r="AD22" i="8"/>
  <c r="AC22" i="8"/>
  <c r="AB22" i="8"/>
  <c r="AA22" i="8"/>
  <c r="Z22" i="8"/>
  <c r="Y22" i="8"/>
  <c r="W22" i="8"/>
  <c r="T22" i="8"/>
  <c r="Q22" i="8"/>
  <c r="O22" i="8"/>
  <c r="M22" i="8"/>
  <c r="K22" i="8"/>
  <c r="I22" i="8"/>
  <c r="G22" i="8"/>
  <c r="E22" i="8"/>
  <c r="AH21" i="8"/>
  <c r="AG21" i="8"/>
  <c r="AF21" i="8"/>
  <c r="AE21" i="8"/>
  <c r="AD21" i="8"/>
  <c r="AC21" i="8"/>
  <c r="AB21" i="8"/>
  <c r="AA21" i="8"/>
  <c r="Z21" i="8"/>
  <c r="Y21" i="8"/>
  <c r="W21" i="8"/>
  <c r="T21" i="8"/>
  <c r="Q21" i="8"/>
  <c r="O21" i="8"/>
  <c r="M21" i="8"/>
  <c r="K21" i="8"/>
  <c r="I21" i="8"/>
  <c r="G21" i="8"/>
  <c r="E21" i="8"/>
  <c r="AH20" i="8"/>
  <c r="AG20" i="8"/>
  <c r="AF20" i="8"/>
  <c r="AE20" i="8"/>
  <c r="AD20" i="8"/>
  <c r="AC20" i="8"/>
  <c r="AB20" i="8"/>
  <c r="AA20" i="8"/>
  <c r="Z20" i="8"/>
  <c r="Y20" i="8"/>
  <c r="W20" i="8"/>
  <c r="T20" i="8"/>
  <c r="Q20" i="8"/>
  <c r="O20" i="8"/>
  <c r="M20" i="8"/>
  <c r="K20" i="8"/>
  <c r="I20" i="8"/>
  <c r="G20" i="8"/>
  <c r="E20" i="8"/>
  <c r="AH19" i="8"/>
  <c r="AG19" i="8"/>
  <c r="AF19" i="8"/>
  <c r="AE19" i="8"/>
  <c r="AD19" i="8"/>
  <c r="AC19" i="8"/>
  <c r="AB19" i="8"/>
  <c r="AA19" i="8"/>
  <c r="Z19" i="8"/>
  <c r="Y19" i="8"/>
  <c r="W19" i="8"/>
  <c r="T19" i="8"/>
  <c r="Q19" i="8"/>
  <c r="O19" i="8"/>
  <c r="M19" i="8"/>
  <c r="K19" i="8"/>
  <c r="I19" i="8"/>
  <c r="G19" i="8"/>
  <c r="E19" i="8"/>
  <c r="AH18" i="8"/>
  <c r="AG18" i="8"/>
  <c r="AF18" i="8"/>
  <c r="AE18" i="8"/>
  <c r="AD18" i="8"/>
  <c r="AC18" i="8"/>
  <c r="AB18" i="8"/>
  <c r="AA18" i="8"/>
  <c r="Z18" i="8"/>
  <c r="Y18" i="8"/>
  <c r="W18" i="8"/>
  <c r="T18" i="8"/>
  <c r="Q18" i="8"/>
  <c r="O18" i="8"/>
  <c r="M18" i="8"/>
  <c r="K18" i="8"/>
  <c r="I18" i="8"/>
  <c r="G18" i="8"/>
  <c r="E18" i="8"/>
  <c r="AH17" i="8"/>
  <c r="AG17" i="8"/>
  <c r="AF17" i="8"/>
  <c r="AE17" i="8"/>
  <c r="AD17" i="8"/>
  <c r="AC17" i="8"/>
  <c r="AB17" i="8"/>
  <c r="AA17" i="8"/>
  <c r="Z17" i="8"/>
  <c r="Y17" i="8"/>
  <c r="W17" i="8"/>
  <c r="T17" i="8"/>
  <c r="Q17" i="8"/>
  <c r="O17" i="8"/>
  <c r="M17" i="8"/>
  <c r="K17" i="8"/>
  <c r="I17" i="8"/>
  <c r="G17" i="8"/>
  <c r="E17" i="8"/>
  <c r="AH16" i="8"/>
  <c r="AG16" i="8"/>
  <c r="AF16" i="8"/>
  <c r="AE16" i="8"/>
  <c r="AD16" i="8"/>
  <c r="AC16" i="8"/>
  <c r="AB16" i="8"/>
  <c r="AA16" i="8"/>
  <c r="Z16" i="8"/>
  <c r="Y16" i="8"/>
  <c r="W16" i="8"/>
  <c r="T16" i="8"/>
  <c r="Q16" i="8"/>
  <c r="O16" i="8"/>
  <c r="M16" i="8"/>
  <c r="K16" i="8"/>
  <c r="I16" i="8"/>
  <c r="G16" i="8"/>
  <c r="E16" i="8"/>
  <c r="AH15" i="8"/>
  <c r="AG15" i="8"/>
  <c r="AF15" i="8"/>
  <c r="AE15" i="8"/>
  <c r="AD15" i="8"/>
  <c r="AC15" i="8"/>
  <c r="AB15" i="8"/>
  <c r="AA15" i="8"/>
  <c r="Z15" i="8"/>
  <c r="Y15" i="8"/>
  <c r="W15" i="8"/>
  <c r="T15" i="8"/>
  <c r="Q15" i="8"/>
  <c r="O15" i="8"/>
  <c r="M15" i="8"/>
  <c r="K15" i="8"/>
  <c r="I15" i="8"/>
  <c r="G15" i="8"/>
  <c r="E15" i="8"/>
  <c r="AH14" i="8"/>
  <c r="AG14" i="8"/>
  <c r="AF14" i="8"/>
  <c r="AE14" i="8"/>
  <c r="AD14" i="8"/>
  <c r="AC14" i="8"/>
  <c r="AB14" i="8"/>
  <c r="AA14" i="8"/>
  <c r="Z14" i="8"/>
  <c r="Y14" i="8"/>
  <c r="W14" i="8"/>
  <c r="T14" i="8"/>
  <c r="Q14" i="8"/>
  <c r="O14" i="8"/>
  <c r="M14" i="8"/>
  <c r="K14" i="8"/>
  <c r="I14" i="8"/>
  <c r="G14" i="8"/>
  <c r="E14" i="8"/>
  <c r="AH13" i="8"/>
  <c r="AG13" i="8"/>
  <c r="AF13" i="8"/>
  <c r="AE13" i="8"/>
  <c r="AD13" i="8"/>
  <c r="AC13" i="8"/>
  <c r="AB13" i="8"/>
  <c r="AA13" i="8"/>
  <c r="Z13" i="8"/>
  <c r="Y13" i="8"/>
  <c r="W13" i="8"/>
  <c r="T13" i="8"/>
  <c r="Q13" i="8"/>
  <c r="O13" i="8"/>
  <c r="M13" i="8"/>
  <c r="K13" i="8"/>
  <c r="I13" i="8"/>
  <c r="G13" i="8"/>
  <c r="E13" i="8"/>
  <c r="AH12" i="8"/>
  <c r="AG12" i="8"/>
  <c r="AF12" i="8"/>
  <c r="AE12" i="8"/>
  <c r="AD12" i="8"/>
  <c r="AC12" i="8"/>
  <c r="AB12" i="8"/>
  <c r="AA12" i="8"/>
  <c r="Z12" i="8"/>
  <c r="Y12" i="8"/>
  <c r="W12" i="8"/>
  <c r="T12" i="8"/>
  <c r="Q12" i="8"/>
  <c r="O12" i="8"/>
  <c r="M12" i="8"/>
  <c r="K12" i="8"/>
  <c r="I12" i="8"/>
  <c r="G12" i="8"/>
  <c r="E12" i="8"/>
  <c r="AH11" i="8"/>
  <c r="AG11" i="8"/>
  <c r="AF11" i="8"/>
  <c r="AE11" i="8"/>
  <c r="AD11" i="8"/>
  <c r="AC11" i="8"/>
  <c r="AB11" i="8"/>
  <c r="AA11" i="8"/>
  <c r="Z11" i="8"/>
  <c r="Y11" i="8"/>
  <c r="W11" i="8"/>
  <c r="T11" i="8"/>
  <c r="Q11" i="8"/>
  <c r="O11" i="8"/>
  <c r="M11" i="8"/>
  <c r="K11" i="8"/>
  <c r="I11" i="8"/>
  <c r="G11" i="8"/>
  <c r="E11" i="8"/>
  <c r="AH10" i="8"/>
  <c r="AG10" i="8"/>
  <c r="AF10" i="8"/>
  <c r="AE10" i="8"/>
  <c r="AD10" i="8"/>
  <c r="AC10" i="8"/>
  <c r="AB10" i="8"/>
  <c r="AA10" i="8"/>
  <c r="Z10" i="8"/>
  <c r="Y10" i="8"/>
  <c r="W10" i="8"/>
  <c r="T10" i="8"/>
  <c r="Q10" i="8"/>
  <c r="O10" i="8"/>
  <c r="M10" i="8"/>
  <c r="K10" i="8"/>
  <c r="I10" i="8"/>
  <c r="G10" i="8"/>
  <c r="E10" i="8"/>
  <c r="AH9" i="8"/>
  <c r="AG9" i="8"/>
  <c r="AF9" i="8"/>
  <c r="AE9" i="8"/>
  <c r="AD9" i="8"/>
  <c r="AC9" i="8"/>
  <c r="AB9" i="8"/>
  <c r="AA9" i="8"/>
  <c r="Z9" i="8"/>
  <c r="Y9" i="8"/>
  <c r="W9" i="8"/>
  <c r="T9" i="8"/>
  <c r="Q9" i="8"/>
  <c r="O9" i="8"/>
  <c r="M9" i="8"/>
  <c r="K9" i="8"/>
  <c r="I9" i="8"/>
  <c r="G9" i="8"/>
  <c r="E9" i="8"/>
  <c r="AH8" i="8"/>
  <c r="AG8" i="8"/>
  <c r="AF8" i="8"/>
  <c r="AE8" i="8"/>
  <c r="AD8" i="8"/>
  <c r="AC8" i="8"/>
  <c r="AB8" i="8"/>
  <c r="AA8" i="8"/>
  <c r="Z8" i="8"/>
  <c r="Y8" i="8"/>
  <c r="W8" i="8"/>
  <c r="T8" i="8"/>
  <c r="Q8" i="8"/>
  <c r="O8" i="8"/>
  <c r="M8" i="8"/>
  <c r="K8" i="8"/>
  <c r="I8" i="8"/>
  <c r="G8" i="8"/>
  <c r="E8" i="8"/>
  <c r="V77" i="9"/>
  <c r="S77" i="9"/>
  <c r="P77" i="9"/>
  <c r="N77" i="9"/>
  <c r="L77" i="9"/>
  <c r="J77" i="9"/>
  <c r="H77" i="9"/>
  <c r="F77" i="9"/>
  <c r="D77" i="9"/>
  <c r="V76" i="9"/>
  <c r="S76" i="9"/>
  <c r="P76" i="9"/>
  <c r="N76" i="9"/>
  <c r="L76" i="9"/>
  <c r="J76" i="9"/>
  <c r="H76" i="9"/>
  <c r="F76" i="9"/>
  <c r="D76" i="9"/>
  <c r="V75" i="9"/>
  <c r="S75" i="9"/>
  <c r="P75" i="9"/>
  <c r="N75" i="9"/>
  <c r="L75" i="9"/>
  <c r="J75" i="9"/>
  <c r="H75" i="9"/>
  <c r="F75" i="9"/>
  <c r="D75" i="9"/>
  <c r="V74" i="9"/>
  <c r="S74" i="9"/>
  <c r="P74" i="9"/>
  <c r="N74" i="9"/>
  <c r="L74" i="9"/>
  <c r="J74" i="9"/>
  <c r="H74" i="9"/>
  <c r="F74" i="9"/>
  <c r="D74" i="9"/>
  <c r="W72" i="9"/>
  <c r="T72" i="9"/>
  <c r="Q72" i="9"/>
  <c r="O72" i="9"/>
  <c r="M72" i="9"/>
  <c r="K72" i="9"/>
  <c r="I72" i="9"/>
  <c r="G72" i="9"/>
  <c r="E72" i="9"/>
  <c r="AD71" i="9"/>
  <c r="W71" i="9"/>
  <c r="T71" i="9"/>
  <c r="Q71" i="9"/>
  <c r="O71" i="9"/>
  <c r="M71" i="9"/>
  <c r="K71" i="9"/>
  <c r="I71" i="9"/>
  <c r="G71" i="9"/>
  <c r="E71" i="9"/>
  <c r="AE70" i="9"/>
  <c r="AC70" i="9"/>
  <c r="W70" i="9"/>
  <c r="T70" i="9"/>
  <c r="Q70" i="9"/>
  <c r="O70" i="9"/>
  <c r="M70" i="9"/>
  <c r="K70" i="9"/>
  <c r="I70" i="9"/>
  <c r="G70" i="9"/>
  <c r="E70" i="9"/>
  <c r="AE69" i="9"/>
  <c r="AB69" i="9"/>
  <c r="W69" i="9"/>
  <c r="T69" i="9"/>
  <c r="Q69" i="9"/>
  <c r="O69" i="9"/>
  <c r="M69" i="9"/>
  <c r="K69" i="9"/>
  <c r="I69" i="9"/>
  <c r="G69" i="9"/>
  <c r="E69" i="9"/>
  <c r="AE68" i="9"/>
  <c r="AA68" i="9"/>
  <c r="W68" i="9"/>
  <c r="T68" i="9"/>
  <c r="Q68" i="9"/>
  <c r="O68" i="9"/>
  <c r="M68" i="9"/>
  <c r="K68" i="9"/>
  <c r="I68" i="9"/>
  <c r="G68" i="9"/>
  <c r="E68" i="9"/>
  <c r="AE67" i="9"/>
  <c r="Z67" i="9"/>
  <c r="W67" i="9"/>
  <c r="T67" i="9"/>
  <c r="Q67" i="9"/>
  <c r="O67" i="9"/>
  <c r="M67" i="9"/>
  <c r="K67" i="9"/>
  <c r="I67" i="9"/>
  <c r="G67" i="9"/>
  <c r="E67" i="9"/>
  <c r="AE66" i="9"/>
  <c r="Y66" i="9"/>
  <c r="W66" i="9"/>
  <c r="T66" i="9"/>
  <c r="Q66" i="9"/>
  <c r="O66" i="9"/>
  <c r="M66" i="9"/>
  <c r="K66" i="9"/>
  <c r="I66" i="9"/>
  <c r="G66" i="9"/>
  <c r="E66" i="9"/>
  <c r="AE65" i="9"/>
  <c r="AD65" i="9"/>
  <c r="AE64" i="9"/>
  <c r="AD64" i="9"/>
  <c r="V64" i="9"/>
  <c r="S64" i="9"/>
  <c r="P64" i="9"/>
  <c r="N64" i="9"/>
  <c r="L64" i="9"/>
  <c r="J64" i="9"/>
  <c r="H64" i="9"/>
  <c r="F64" i="9"/>
  <c r="D64" i="9"/>
  <c r="AE63" i="9"/>
  <c r="AD63" i="9"/>
  <c r="V63" i="9"/>
  <c r="S63" i="9"/>
  <c r="P63" i="9"/>
  <c r="N63" i="9"/>
  <c r="L63" i="9"/>
  <c r="J63" i="9"/>
  <c r="H63" i="9"/>
  <c r="F63" i="9"/>
  <c r="D63" i="9"/>
  <c r="AH62" i="9"/>
  <c r="AG62" i="9"/>
  <c r="AF62" i="9"/>
  <c r="AE62" i="9"/>
  <c r="AD62" i="9"/>
  <c r="AC62" i="9"/>
  <c r="AB62" i="9"/>
  <c r="AA62" i="9"/>
  <c r="Z62" i="9"/>
  <c r="Y62" i="9"/>
  <c r="W62" i="9"/>
  <c r="T62" i="9"/>
  <c r="Q62" i="9"/>
  <c r="O62" i="9"/>
  <c r="M62" i="9"/>
  <c r="K62" i="9"/>
  <c r="I62" i="9"/>
  <c r="G62" i="9"/>
  <c r="E62" i="9"/>
  <c r="AH61" i="9"/>
  <c r="AG61" i="9"/>
  <c r="AF61" i="9"/>
  <c r="AE61" i="9"/>
  <c r="AD61" i="9"/>
  <c r="AC61" i="9"/>
  <c r="AB61" i="9"/>
  <c r="AA61" i="9"/>
  <c r="Z61" i="9"/>
  <c r="Y61" i="9"/>
  <c r="W61" i="9"/>
  <c r="T61" i="9"/>
  <c r="Q61" i="9"/>
  <c r="O61" i="9"/>
  <c r="M61" i="9"/>
  <c r="K61" i="9"/>
  <c r="I61" i="9"/>
  <c r="G61" i="9"/>
  <c r="E61" i="9"/>
  <c r="AH60" i="9"/>
  <c r="AG60" i="9"/>
  <c r="AF60" i="9"/>
  <c r="AE60" i="9"/>
  <c r="AD60" i="9"/>
  <c r="AC60" i="9"/>
  <c r="AB60" i="9"/>
  <c r="AA60" i="9"/>
  <c r="Z60" i="9"/>
  <c r="Y60" i="9"/>
  <c r="W60" i="9"/>
  <c r="T60" i="9"/>
  <c r="Q60" i="9"/>
  <c r="O60" i="9"/>
  <c r="M60" i="9"/>
  <c r="K60" i="9"/>
  <c r="I60" i="9"/>
  <c r="G60" i="9"/>
  <c r="E60" i="9"/>
  <c r="AH59" i="9"/>
  <c r="AG59" i="9"/>
  <c r="AF59" i="9"/>
  <c r="AE59" i="9"/>
  <c r="AD59" i="9"/>
  <c r="AC59" i="9"/>
  <c r="AB59" i="9"/>
  <c r="AA59" i="9"/>
  <c r="Z59" i="9"/>
  <c r="Y59" i="9"/>
  <c r="W59" i="9"/>
  <c r="T59" i="9"/>
  <c r="Q59" i="9"/>
  <c r="O59" i="9"/>
  <c r="M59" i="9"/>
  <c r="K59" i="9"/>
  <c r="I59" i="9"/>
  <c r="G59" i="9"/>
  <c r="E59" i="9"/>
  <c r="AH58" i="9"/>
  <c r="AG58" i="9"/>
  <c r="AF58" i="9"/>
  <c r="AE58" i="9"/>
  <c r="AD58" i="9"/>
  <c r="AC58" i="9"/>
  <c r="AB58" i="9"/>
  <c r="AA58" i="9"/>
  <c r="Z58" i="9"/>
  <c r="Y58" i="9"/>
  <c r="W58" i="9"/>
  <c r="T58" i="9"/>
  <c r="Q58" i="9"/>
  <c r="O58" i="9"/>
  <c r="M58" i="9"/>
  <c r="K58" i="9"/>
  <c r="I58" i="9"/>
  <c r="G58" i="9"/>
  <c r="E58" i="9"/>
  <c r="AH57" i="9"/>
  <c r="AG57" i="9"/>
  <c r="AF57" i="9"/>
  <c r="AE57" i="9"/>
  <c r="AD57" i="9"/>
  <c r="AC57" i="9"/>
  <c r="AB57" i="9"/>
  <c r="AA57" i="9"/>
  <c r="Z57" i="9"/>
  <c r="Y57" i="9"/>
  <c r="W57" i="9"/>
  <c r="T57" i="9"/>
  <c r="Q57" i="9"/>
  <c r="O57" i="9"/>
  <c r="M57" i="9"/>
  <c r="K57" i="9"/>
  <c r="I57" i="9"/>
  <c r="G57" i="9"/>
  <c r="E57" i="9"/>
  <c r="AH56" i="9"/>
  <c r="AG56" i="9"/>
  <c r="AF56" i="9"/>
  <c r="AE56" i="9"/>
  <c r="AD56" i="9"/>
  <c r="AC56" i="9"/>
  <c r="AB56" i="9"/>
  <c r="AA56" i="9"/>
  <c r="Z56" i="9"/>
  <c r="Y56" i="9"/>
  <c r="W56" i="9"/>
  <c r="T56" i="9"/>
  <c r="Q56" i="9"/>
  <c r="O56" i="9"/>
  <c r="M56" i="9"/>
  <c r="K56" i="9"/>
  <c r="I56" i="9"/>
  <c r="G56" i="9"/>
  <c r="E56" i="9"/>
  <c r="AH55" i="9"/>
  <c r="AG55" i="9"/>
  <c r="AF55" i="9"/>
  <c r="AE55" i="9"/>
  <c r="AD55" i="9"/>
  <c r="AC55" i="9"/>
  <c r="AB55" i="9"/>
  <c r="AA55" i="9"/>
  <c r="Z55" i="9"/>
  <c r="Y55" i="9"/>
  <c r="W55" i="9"/>
  <c r="T55" i="9"/>
  <c r="Q55" i="9"/>
  <c r="O55" i="9"/>
  <c r="M55" i="9"/>
  <c r="K55" i="9"/>
  <c r="I55" i="9"/>
  <c r="G55" i="9"/>
  <c r="E55" i="9"/>
  <c r="AH54" i="9"/>
  <c r="AG54" i="9"/>
  <c r="AF54" i="9"/>
  <c r="AE54" i="9"/>
  <c r="AD54" i="9"/>
  <c r="AC54" i="9"/>
  <c r="AB54" i="9"/>
  <c r="AA54" i="9"/>
  <c r="Z54" i="9"/>
  <c r="Y54" i="9"/>
  <c r="W54" i="9"/>
  <c r="T54" i="9"/>
  <c r="Q54" i="9"/>
  <c r="O54" i="9"/>
  <c r="M54" i="9"/>
  <c r="K54" i="9"/>
  <c r="I54" i="9"/>
  <c r="G54" i="9"/>
  <c r="E54" i="9"/>
  <c r="AH53" i="9"/>
  <c r="AG53" i="9"/>
  <c r="AF53" i="9"/>
  <c r="AE53" i="9"/>
  <c r="AD53" i="9"/>
  <c r="AC53" i="9"/>
  <c r="AB53" i="9"/>
  <c r="AA53" i="9"/>
  <c r="Z53" i="9"/>
  <c r="Y53" i="9"/>
  <c r="W53" i="9"/>
  <c r="T53" i="9"/>
  <c r="Q53" i="9"/>
  <c r="O53" i="9"/>
  <c r="M53" i="9"/>
  <c r="K53" i="9"/>
  <c r="I53" i="9"/>
  <c r="G53" i="9"/>
  <c r="E53" i="9"/>
  <c r="AH52" i="9"/>
  <c r="AG52" i="9"/>
  <c r="AF52" i="9"/>
  <c r="AE52" i="9"/>
  <c r="AD52" i="9"/>
  <c r="AC52" i="9"/>
  <c r="AB52" i="9"/>
  <c r="AA52" i="9"/>
  <c r="Z52" i="9"/>
  <c r="Y52" i="9"/>
  <c r="W52" i="9"/>
  <c r="T52" i="9"/>
  <c r="Q52" i="9"/>
  <c r="O52" i="9"/>
  <c r="M52" i="9"/>
  <c r="K52" i="9"/>
  <c r="I52" i="9"/>
  <c r="G52" i="9"/>
  <c r="E52" i="9"/>
  <c r="AH51" i="9"/>
  <c r="AG51" i="9"/>
  <c r="AF51" i="9"/>
  <c r="AE51" i="9"/>
  <c r="AD51" i="9"/>
  <c r="AC51" i="9"/>
  <c r="AB51" i="9"/>
  <c r="AA51" i="9"/>
  <c r="Z51" i="9"/>
  <c r="Y51" i="9"/>
  <c r="W51" i="9"/>
  <c r="T51" i="9"/>
  <c r="Q51" i="9"/>
  <c r="O51" i="9"/>
  <c r="M51" i="9"/>
  <c r="K51" i="9"/>
  <c r="I51" i="9"/>
  <c r="G51" i="9"/>
  <c r="E51" i="9"/>
  <c r="AH50" i="9"/>
  <c r="AG50" i="9"/>
  <c r="AF50" i="9"/>
  <c r="AE50" i="9"/>
  <c r="AD50" i="9"/>
  <c r="AC50" i="9"/>
  <c r="AB50" i="9"/>
  <c r="AA50" i="9"/>
  <c r="Z50" i="9"/>
  <c r="Y50" i="9"/>
  <c r="W50" i="9"/>
  <c r="T50" i="9"/>
  <c r="Q50" i="9"/>
  <c r="O50" i="9"/>
  <c r="M50" i="9"/>
  <c r="K50" i="9"/>
  <c r="I50" i="9"/>
  <c r="G50" i="9"/>
  <c r="E50" i="9"/>
  <c r="AH49" i="9"/>
  <c r="AG49" i="9"/>
  <c r="AF49" i="9"/>
  <c r="AE49" i="9"/>
  <c r="AD49" i="9"/>
  <c r="AC49" i="9"/>
  <c r="AB49" i="9"/>
  <c r="AA49" i="9"/>
  <c r="Z49" i="9"/>
  <c r="Y49" i="9"/>
  <c r="W49" i="9"/>
  <c r="T49" i="9"/>
  <c r="Q49" i="9"/>
  <c r="O49" i="9"/>
  <c r="M49" i="9"/>
  <c r="K49" i="9"/>
  <c r="I49" i="9"/>
  <c r="G49" i="9"/>
  <c r="E49" i="9"/>
  <c r="AH48" i="9"/>
  <c r="AG48" i="9"/>
  <c r="AF48" i="9"/>
  <c r="AE48" i="9"/>
  <c r="AD48" i="9"/>
  <c r="AC48" i="9"/>
  <c r="AB48" i="9"/>
  <c r="AA48" i="9"/>
  <c r="Z48" i="9"/>
  <c r="Y48" i="9"/>
  <c r="W48" i="9"/>
  <c r="T48" i="9"/>
  <c r="Q48" i="9"/>
  <c r="O48" i="9"/>
  <c r="M48" i="9"/>
  <c r="K48" i="9"/>
  <c r="I48" i="9"/>
  <c r="G48" i="9"/>
  <c r="E48" i="9"/>
  <c r="AH47" i="9"/>
  <c r="AG47" i="9"/>
  <c r="AF47" i="9"/>
  <c r="AE47" i="9"/>
  <c r="AD47" i="9"/>
  <c r="AC47" i="9"/>
  <c r="AB47" i="9"/>
  <c r="AA47" i="9"/>
  <c r="Z47" i="9"/>
  <c r="Y47" i="9"/>
  <c r="W47" i="9"/>
  <c r="T47" i="9"/>
  <c r="Q47" i="9"/>
  <c r="O47" i="9"/>
  <c r="M47" i="9"/>
  <c r="K47" i="9"/>
  <c r="I47" i="9"/>
  <c r="G47" i="9"/>
  <c r="E47" i="9"/>
  <c r="AH46" i="9"/>
  <c r="AG46" i="9"/>
  <c r="AF46" i="9"/>
  <c r="AE46" i="9"/>
  <c r="AD46" i="9"/>
  <c r="AC46" i="9"/>
  <c r="AB46" i="9"/>
  <c r="AA46" i="9"/>
  <c r="Z46" i="9"/>
  <c r="Y46" i="9"/>
  <c r="W46" i="9"/>
  <c r="T46" i="9"/>
  <c r="Q46" i="9"/>
  <c r="O46" i="9"/>
  <c r="M46" i="9"/>
  <c r="K46" i="9"/>
  <c r="I46" i="9"/>
  <c r="G46" i="9"/>
  <c r="E46" i="9"/>
  <c r="AH45" i="9"/>
  <c r="AG45" i="9"/>
  <c r="AF45" i="9"/>
  <c r="AE45" i="9"/>
  <c r="AD45" i="9"/>
  <c r="AC45" i="9"/>
  <c r="AB45" i="9"/>
  <c r="AA45" i="9"/>
  <c r="Z45" i="9"/>
  <c r="Y45" i="9"/>
  <c r="W45" i="9"/>
  <c r="T45" i="9"/>
  <c r="Q45" i="9"/>
  <c r="O45" i="9"/>
  <c r="M45" i="9"/>
  <c r="K45" i="9"/>
  <c r="I45" i="9"/>
  <c r="G45" i="9"/>
  <c r="E45" i="9"/>
  <c r="AH44" i="9"/>
  <c r="AG44" i="9"/>
  <c r="AF44" i="9"/>
  <c r="AE44" i="9"/>
  <c r="AD44" i="9"/>
  <c r="AC44" i="9"/>
  <c r="AB44" i="9"/>
  <c r="AA44" i="9"/>
  <c r="Z44" i="9"/>
  <c r="Y44" i="9"/>
  <c r="W44" i="9"/>
  <c r="T44" i="9"/>
  <c r="Q44" i="9"/>
  <c r="O44" i="9"/>
  <c r="M44" i="9"/>
  <c r="K44" i="9"/>
  <c r="I44" i="9"/>
  <c r="G44" i="9"/>
  <c r="E44" i="9"/>
  <c r="AH43" i="9"/>
  <c r="AG43" i="9"/>
  <c r="AF43" i="9"/>
  <c r="AE43" i="9"/>
  <c r="AD43" i="9"/>
  <c r="AC43" i="9"/>
  <c r="AB43" i="9"/>
  <c r="AA43" i="9"/>
  <c r="Z43" i="9"/>
  <c r="Y43" i="9"/>
  <c r="W43" i="9"/>
  <c r="T43" i="9"/>
  <c r="Q43" i="9"/>
  <c r="O43" i="9"/>
  <c r="M43" i="9"/>
  <c r="K43" i="9"/>
  <c r="I43" i="9"/>
  <c r="G43" i="9"/>
  <c r="E43" i="9"/>
  <c r="AH42" i="9"/>
  <c r="AG42" i="9"/>
  <c r="AF42" i="9"/>
  <c r="AE42" i="9"/>
  <c r="AD42" i="9"/>
  <c r="AC42" i="9"/>
  <c r="AB42" i="9"/>
  <c r="AA42" i="9"/>
  <c r="Z42" i="9"/>
  <c r="Y42" i="9"/>
  <c r="W42" i="9"/>
  <c r="T42" i="9"/>
  <c r="Q42" i="9"/>
  <c r="O42" i="9"/>
  <c r="M42" i="9"/>
  <c r="K42" i="9"/>
  <c r="I42" i="9"/>
  <c r="G42" i="9"/>
  <c r="E42" i="9"/>
  <c r="AH41" i="9"/>
  <c r="AG41" i="9"/>
  <c r="AF41" i="9"/>
  <c r="AE41" i="9"/>
  <c r="AD41" i="9"/>
  <c r="AC41" i="9"/>
  <c r="AB41" i="9"/>
  <c r="AA41" i="9"/>
  <c r="Z41" i="9"/>
  <c r="Y41" i="9"/>
  <c r="W41" i="9"/>
  <c r="T41" i="9"/>
  <c r="Q41" i="9"/>
  <c r="O41" i="9"/>
  <c r="M41" i="9"/>
  <c r="K41" i="9"/>
  <c r="I41" i="9"/>
  <c r="G41" i="9"/>
  <c r="E41" i="9"/>
  <c r="AH40" i="9"/>
  <c r="AG40" i="9"/>
  <c r="AF40" i="9"/>
  <c r="AE40" i="9"/>
  <c r="AD40" i="9"/>
  <c r="AC40" i="9"/>
  <c r="AB40" i="9"/>
  <c r="AA40" i="9"/>
  <c r="Z40" i="9"/>
  <c r="Y40" i="9"/>
  <c r="W40" i="9"/>
  <c r="T40" i="9"/>
  <c r="Q40" i="9"/>
  <c r="O40" i="9"/>
  <c r="M40" i="9"/>
  <c r="K40" i="9"/>
  <c r="I40" i="9"/>
  <c r="G40" i="9"/>
  <c r="E40" i="9"/>
  <c r="AH39" i="9"/>
  <c r="AG39" i="9"/>
  <c r="AF39" i="9"/>
  <c r="AE39" i="9"/>
  <c r="AD39" i="9"/>
  <c r="AC39" i="9"/>
  <c r="AB39" i="9"/>
  <c r="AA39" i="9"/>
  <c r="Z39" i="9"/>
  <c r="Y39" i="9"/>
  <c r="W39" i="9"/>
  <c r="T39" i="9"/>
  <c r="Q39" i="9"/>
  <c r="O39" i="9"/>
  <c r="M39" i="9"/>
  <c r="K39" i="9"/>
  <c r="I39" i="9"/>
  <c r="G39" i="9"/>
  <c r="E39" i="9"/>
  <c r="AH38" i="9"/>
  <c r="AG38" i="9"/>
  <c r="AF38" i="9"/>
  <c r="AE38" i="9"/>
  <c r="AD38" i="9"/>
  <c r="AC38" i="9"/>
  <c r="AB38" i="9"/>
  <c r="AA38" i="9"/>
  <c r="Z38" i="9"/>
  <c r="Y38" i="9"/>
  <c r="W38" i="9"/>
  <c r="T38" i="9"/>
  <c r="Q38" i="9"/>
  <c r="O38" i="9"/>
  <c r="M38" i="9"/>
  <c r="K38" i="9"/>
  <c r="I38" i="9"/>
  <c r="G38" i="9"/>
  <c r="E38" i="9"/>
  <c r="AH37" i="9"/>
  <c r="AG37" i="9"/>
  <c r="AF37" i="9"/>
  <c r="AE37" i="9"/>
  <c r="AD37" i="9"/>
  <c r="AC37" i="9"/>
  <c r="AB37" i="9"/>
  <c r="AA37" i="9"/>
  <c r="Z37" i="9"/>
  <c r="Y37" i="9"/>
  <c r="W37" i="9"/>
  <c r="T37" i="9"/>
  <c r="Q37" i="9"/>
  <c r="O37" i="9"/>
  <c r="M37" i="9"/>
  <c r="K37" i="9"/>
  <c r="I37" i="9"/>
  <c r="G37" i="9"/>
  <c r="E37" i="9"/>
  <c r="AH36" i="9"/>
  <c r="AG36" i="9"/>
  <c r="AF36" i="9"/>
  <c r="AE36" i="9"/>
  <c r="AD36" i="9"/>
  <c r="AC36" i="9"/>
  <c r="AB36" i="9"/>
  <c r="AA36" i="9"/>
  <c r="Z36" i="9"/>
  <c r="Y36" i="9"/>
  <c r="W36" i="9"/>
  <c r="T36" i="9"/>
  <c r="Q36" i="9"/>
  <c r="O36" i="9"/>
  <c r="M36" i="9"/>
  <c r="K36" i="9"/>
  <c r="I36" i="9"/>
  <c r="G36" i="9"/>
  <c r="E36" i="9"/>
  <c r="AH35" i="9"/>
  <c r="AG35" i="9"/>
  <c r="AF35" i="9"/>
  <c r="AE35" i="9"/>
  <c r="AD35" i="9"/>
  <c r="AC35" i="9"/>
  <c r="AB35" i="9"/>
  <c r="AA35" i="9"/>
  <c r="Z35" i="9"/>
  <c r="Y35" i="9"/>
  <c r="W35" i="9"/>
  <c r="T35" i="9"/>
  <c r="Q35" i="9"/>
  <c r="O35" i="9"/>
  <c r="M35" i="9"/>
  <c r="K35" i="9"/>
  <c r="I35" i="9"/>
  <c r="G35" i="9"/>
  <c r="E35" i="9"/>
  <c r="AH34" i="9"/>
  <c r="AG34" i="9"/>
  <c r="AF34" i="9"/>
  <c r="AE34" i="9"/>
  <c r="AD34" i="9"/>
  <c r="AC34" i="9"/>
  <c r="AB34" i="9"/>
  <c r="AA34" i="9"/>
  <c r="Z34" i="9"/>
  <c r="Y34" i="9"/>
  <c r="W34" i="9"/>
  <c r="T34" i="9"/>
  <c r="Q34" i="9"/>
  <c r="O34" i="9"/>
  <c r="M34" i="9"/>
  <c r="K34" i="9"/>
  <c r="I34" i="9"/>
  <c r="G34" i="9"/>
  <c r="E34" i="9"/>
  <c r="AH33" i="9"/>
  <c r="AG33" i="9"/>
  <c r="AF33" i="9"/>
  <c r="AE33" i="9"/>
  <c r="AD33" i="9"/>
  <c r="AC33" i="9"/>
  <c r="AB33" i="9"/>
  <c r="AA33" i="9"/>
  <c r="Z33" i="9"/>
  <c r="Y33" i="9"/>
  <c r="W33" i="9"/>
  <c r="T33" i="9"/>
  <c r="Q33" i="9"/>
  <c r="O33" i="9"/>
  <c r="M33" i="9"/>
  <c r="K33" i="9"/>
  <c r="I33" i="9"/>
  <c r="G33" i="9"/>
  <c r="E33" i="9"/>
  <c r="AH32" i="9"/>
  <c r="AG32" i="9"/>
  <c r="AF32" i="9"/>
  <c r="AE32" i="9"/>
  <c r="AD32" i="9"/>
  <c r="AC32" i="9"/>
  <c r="AB32" i="9"/>
  <c r="AA32" i="9"/>
  <c r="Z32" i="9"/>
  <c r="Y32" i="9"/>
  <c r="W32" i="9"/>
  <c r="T32" i="9"/>
  <c r="Q32" i="9"/>
  <c r="O32" i="9"/>
  <c r="M32" i="9"/>
  <c r="K32" i="9"/>
  <c r="I32" i="9"/>
  <c r="G32" i="9"/>
  <c r="E32" i="9"/>
  <c r="AH31" i="9"/>
  <c r="AG31" i="9"/>
  <c r="AF31" i="9"/>
  <c r="AE31" i="9"/>
  <c r="AD31" i="9"/>
  <c r="AC31" i="9"/>
  <c r="AB31" i="9"/>
  <c r="AA31" i="9"/>
  <c r="Z31" i="9"/>
  <c r="Y31" i="9"/>
  <c r="W31" i="9"/>
  <c r="T31" i="9"/>
  <c r="Q31" i="9"/>
  <c r="O31" i="9"/>
  <c r="M31" i="9"/>
  <c r="K31" i="9"/>
  <c r="I31" i="9"/>
  <c r="G31" i="9"/>
  <c r="E31" i="9"/>
  <c r="AH30" i="9"/>
  <c r="AG30" i="9"/>
  <c r="AF30" i="9"/>
  <c r="AE30" i="9"/>
  <c r="AD30" i="9"/>
  <c r="AC30" i="9"/>
  <c r="AB30" i="9"/>
  <c r="AA30" i="9"/>
  <c r="Z30" i="9"/>
  <c r="Y30" i="9"/>
  <c r="W30" i="9"/>
  <c r="T30" i="9"/>
  <c r="Q30" i="9"/>
  <c r="O30" i="9"/>
  <c r="M30" i="9"/>
  <c r="K30" i="9"/>
  <c r="I30" i="9"/>
  <c r="G30" i="9"/>
  <c r="E30" i="9"/>
  <c r="AH29" i="9"/>
  <c r="AG29" i="9"/>
  <c r="AF29" i="9"/>
  <c r="AE29" i="9"/>
  <c r="AD29" i="9"/>
  <c r="AC29" i="9"/>
  <c r="AB29" i="9"/>
  <c r="AA29" i="9"/>
  <c r="Z29" i="9"/>
  <c r="Y29" i="9"/>
  <c r="W29" i="9"/>
  <c r="T29" i="9"/>
  <c r="Q29" i="9"/>
  <c r="O29" i="9"/>
  <c r="M29" i="9"/>
  <c r="K29" i="9"/>
  <c r="I29" i="9"/>
  <c r="G29" i="9"/>
  <c r="E29" i="9"/>
  <c r="AH28" i="9"/>
  <c r="AG28" i="9"/>
  <c r="AF28" i="9"/>
  <c r="AE28" i="9"/>
  <c r="AD28" i="9"/>
  <c r="AC28" i="9"/>
  <c r="AB28" i="9"/>
  <c r="AA28" i="9"/>
  <c r="Z28" i="9"/>
  <c r="Y28" i="9"/>
  <c r="W28" i="9"/>
  <c r="T28" i="9"/>
  <c r="Q28" i="9"/>
  <c r="O28" i="9"/>
  <c r="M28" i="9"/>
  <c r="K28" i="9"/>
  <c r="I28" i="9"/>
  <c r="G28" i="9"/>
  <c r="E28" i="9"/>
  <c r="AH27" i="9"/>
  <c r="AG27" i="9"/>
  <c r="AF27" i="9"/>
  <c r="AE27" i="9"/>
  <c r="AD27" i="9"/>
  <c r="AC27" i="9"/>
  <c r="AB27" i="9"/>
  <c r="AA27" i="9"/>
  <c r="Z27" i="9"/>
  <c r="Y27" i="9"/>
  <c r="W27" i="9"/>
  <c r="T27" i="9"/>
  <c r="Q27" i="9"/>
  <c r="O27" i="9"/>
  <c r="M27" i="9"/>
  <c r="K27" i="9"/>
  <c r="I27" i="9"/>
  <c r="G27" i="9"/>
  <c r="E27" i="9"/>
  <c r="AH26" i="9"/>
  <c r="AG26" i="9"/>
  <c r="AF26" i="9"/>
  <c r="AE26" i="9"/>
  <c r="AD26" i="9"/>
  <c r="AC26" i="9"/>
  <c r="AB26" i="9"/>
  <c r="AA26" i="9"/>
  <c r="Z26" i="9"/>
  <c r="Y26" i="9"/>
  <c r="W26" i="9"/>
  <c r="T26" i="9"/>
  <c r="Q26" i="9"/>
  <c r="O26" i="9"/>
  <c r="M26" i="9"/>
  <c r="K26" i="9"/>
  <c r="I26" i="9"/>
  <c r="G26" i="9"/>
  <c r="E26" i="9"/>
  <c r="AH25" i="9"/>
  <c r="AG25" i="9"/>
  <c r="AF25" i="9"/>
  <c r="AE25" i="9"/>
  <c r="AD25" i="9"/>
  <c r="AC25" i="9"/>
  <c r="AB25" i="9"/>
  <c r="AA25" i="9"/>
  <c r="Z25" i="9"/>
  <c r="Y25" i="9"/>
  <c r="W25" i="9"/>
  <c r="T25" i="9"/>
  <c r="Q25" i="9"/>
  <c r="O25" i="9"/>
  <c r="M25" i="9"/>
  <c r="K25" i="9"/>
  <c r="I25" i="9"/>
  <c r="G25" i="9"/>
  <c r="E25" i="9"/>
  <c r="AH24" i="9"/>
  <c r="AG24" i="9"/>
  <c r="AF24" i="9"/>
  <c r="AE24" i="9"/>
  <c r="AD24" i="9"/>
  <c r="AC24" i="9"/>
  <c r="AB24" i="9"/>
  <c r="AA24" i="9"/>
  <c r="Z24" i="9"/>
  <c r="Y24" i="9"/>
  <c r="W24" i="9"/>
  <c r="T24" i="9"/>
  <c r="Q24" i="9"/>
  <c r="O24" i="9"/>
  <c r="M24" i="9"/>
  <c r="K24" i="9"/>
  <c r="I24" i="9"/>
  <c r="G24" i="9"/>
  <c r="E24" i="9"/>
  <c r="AH23" i="9"/>
  <c r="AG23" i="9"/>
  <c r="AF23" i="9"/>
  <c r="AE23" i="9"/>
  <c r="AD23" i="9"/>
  <c r="AC23" i="9"/>
  <c r="AB23" i="9"/>
  <c r="AA23" i="9"/>
  <c r="Z23" i="9"/>
  <c r="Y23" i="9"/>
  <c r="W23" i="9"/>
  <c r="T23" i="9"/>
  <c r="Q23" i="9"/>
  <c r="O23" i="9"/>
  <c r="M23" i="9"/>
  <c r="K23" i="9"/>
  <c r="I23" i="9"/>
  <c r="G23" i="9"/>
  <c r="E23" i="9"/>
  <c r="AH22" i="9"/>
  <c r="AG22" i="9"/>
  <c r="AF22" i="9"/>
  <c r="AE22" i="9"/>
  <c r="AD22" i="9"/>
  <c r="AC22" i="9"/>
  <c r="AB22" i="9"/>
  <c r="AA22" i="9"/>
  <c r="Z22" i="9"/>
  <c r="Y22" i="9"/>
  <c r="W22" i="9"/>
  <c r="T22" i="9"/>
  <c r="Q22" i="9"/>
  <c r="O22" i="9"/>
  <c r="M22" i="9"/>
  <c r="K22" i="9"/>
  <c r="I22" i="9"/>
  <c r="G22" i="9"/>
  <c r="E22" i="9"/>
  <c r="AH21" i="9"/>
  <c r="AG21" i="9"/>
  <c r="AF21" i="9"/>
  <c r="AE21" i="9"/>
  <c r="AD21" i="9"/>
  <c r="AC21" i="9"/>
  <c r="AB21" i="9"/>
  <c r="AA21" i="9"/>
  <c r="Z21" i="9"/>
  <c r="Y21" i="9"/>
  <c r="W21" i="9"/>
  <c r="T21" i="9"/>
  <c r="Q21" i="9"/>
  <c r="O21" i="9"/>
  <c r="M21" i="9"/>
  <c r="K21" i="9"/>
  <c r="I21" i="9"/>
  <c r="G21" i="9"/>
  <c r="E21" i="9"/>
  <c r="AH20" i="9"/>
  <c r="AG20" i="9"/>
  <c r="AF20" i="9"/>
  <c r="AE20" i="9"/>
  <c r="AD20" i="9"/>
  <c r="AC20" i="9"/>
  <c r="AB20" i="9"/>
  <c r="AA20" i="9"/>
  <c r="Z20" i="9"/>
  <c r="Y20" i="9"/>
  <c r="W20" i="9"/>
  <c r="T20" i="9"/>
  <c r="Q20" i="9"/>
  <c r="O20" i="9"/>
  <c r="M20" i="9"/>
  <c r="K20" i="9"/>
  <c r="I20" i="9"/>
  <c r="G20" i="9"/>
  <c r="E20" i="9"/>
  <c r="AH19" i="9"/>
  <c r="AG19" i="9"/>
  <c r="AF19" i="9"/>
  <c r="AE19" i="9"/>
  <c r="AD19" i="9"/>
  <c r="AC19" i="9"/>
  <c r="AB19" i="9"/>
  <c r="AA19" i="9"/>
  <c r="Z19" i="9"/>
  <c r="Y19" i="9"/>
  <c r="W19" i="9"/>
  <c r="T19" i="9"/>
  <c r="Q19" i="9"/>
  <c r="O19" i="9"/>
  <c r="M19" i="9"/>
  <c r="K19" i="9"/>
  <c r="I19" i="9"/>
  <c r="G19" i="9"/>
  <c r="E19" i="9"/>
  <c r="AH18" i="9"/>
  <c r="AG18" i="9"/>
  <c r="AF18" i="9"/>
  <c r="AE18" i="9"/>
  <c r="AD18" i="9"/>
  <c r="AC18" i="9"/>
  <c r="AB18" i="9"/>
  <c r="AA18" i="9"/>
  <c r="Z18" i="9"/>
  <c r="Y18" i="9"/>
  <c r="W18" i="9"/>
  <c r="T18" i="9"/>
  <c r="Q18" i="9"/>
  <c r="O18" i="9"/>
  <c r="M18" i="9"/>
  <c r="K18" i="9"/>
  <c r="I18" i="9"/>
  <c r="G18" i="9"/>
  <c r="E18" i="9"/>
  <c r="AH17" i="9"/>
  <c r="AG17" i="9"/>
  <c r="AF17" i="9"/>
  <c r="AE17" i="9"/>
  <c r="AD17" i="9"/>
  <c r="AC17" i="9"/>
  <c r="AB17" i="9"/>
  <c r="AA17" i="9"/>
  <c r="Z17" i="9"/>
  <c r="Y17" i="9"/>
  <c r="W17" i="9"/>
  <c r="T17" i="9"/>
  <c r="Q17" i="9"/>
  <c r="O17" i="9"/>
  <c r="M17" i="9"/>
  <c r="K17" i="9"/>
  <c r="I17" i="9"/>
  <c r="G17" i="9"/>
  <c r="E17" i="9"/>
  <c r="AH16" i="9"/>
  <c r="AG16" i="9"/>
  <c r="AF16" i="9"/>
  <c r="AE16" i="9"/>
  <c r="AD16" i="9"/>
  <c r="AC16" i="9"/>
  <c r="AB16" i="9"/>
  <c r="AA16" i="9"/>
  <c r="Z16" i="9"/>
  <c r="Y16" i="9"/>
  <c r="W16" i="9"/>
  <c r="T16" i="9"/>
  <c r="Q16" i="9"/>
  <c r="O16" i="9"/>
  <c r="M16" i="9"/>
  <c r="K16" i="9"/>
  <c r="I16" i="9"/>
  <c r="G16" i="9"/>
  <c r="E16" i="9"/>
  <c r="AH15" i="9"/>
  <c r="AG15" i="9"/>
  <c r="AF15" i="9"/>
  <c r="AE15" i="9"/>
  <c r="AD15" i="9"/>
  <c r="AC15" i="9"/>
  <c r="AB15" i="9"/>
  <c r="AA15" i="9"/>
  <c r="Z15" i="9"/>
  <c r="Y15" i="9"/>
  <c r="W15" i="9"/>
  <c r="T15" i="9"/>
  <c r="Q15" i="9"/>
  <c r="O15" i="9"/>
  <c r="M15" i="9"/>
  <c r="K15" i="9"/>
  <c r="I15" i="9"/>
  <c r="G15" i="9"/>
  <c r="E15" i="9"/>
  <c r="AH14" i="9"/>
  <c r="AG14" i="9"/>
  <c r="AF14" i="9"/>
  <c r="AE14" i="9"/>
  <c r="AD14" i="9"/>
  <c r="AC14" i="9"/>
  <c r="AB14" i="9"/>
  <c r="AA14" i="9"/>
  <c r="Z14" i="9"/>
  <c r="Y14" i="9"/>
  <c r="W14" i="9"/>
  <c r="T14" i="9"/>
  <c r="Q14" i="9"/>
  <c r="O14" i="9"/>
  <c r="M14" i="9"/>
  <c r="K14" i="9"/>
  <c r="I14" i="9"/>
  <c r="G14" i="9"/>
  <c r="E14" i="9"/>
  <c r="AH13" i="9"/>
  <c r="AG13" i="9"/>
  <c r="AF13" i="9"/>
  <c r="AE13" i="9"/>
  <c r="AD13" i="9"/>
  <c r="AC13" i="9"/>
  <c r="AB13" i="9"/>
  <c r="AA13" i="9"/>
  <c r="Z13" i="9"/>
  <c r="Y13" i="9"/>
  <c r="W13" i="9"/>
  <c r="T13" i="9"/>
  <c r="Q13" i="9"/>
  <c r="O13" i="9"/>
  <c r="M13" i="9"/>
  <c r="K13" i="9"/>
  <c r="I13" i="9"/>
  <c r="G13" i="9"/>
  <c r="E13" i="9"/>
  <c r="AH12" i="9"/>
  <c r="AG12" i="9"/>
  <c r="AF12" i="9"/>
  <c r="AE12" i="9"/>
  <c r="AD12" i="9"/>
  <c r="AC12" i="9"/>
  <c r="AB12" i="9"/>
  <c r="AA12" i="9"/>
  <c r="Z12" i="9"/>
  <c r="Y12" i="9"/>
  <c r="W12" i="9"/>
  <c r="T12" i="9"/>
  <c r="Q12" i="9"/>
  <c r="O12" i="9"/>
  <c r="M12" i="9"/>
  <c r="K12" i="9"/>
  <c r="I12" i="9"/>
  <c r="G12" i="9"/>
  <c r="E12" i="9"/>
  <c r="AH11" i="9"/>
  <c r="AG11" i="9"/>
  <c r="AF11" i="9"/>
  <c r="AE11" i="9"/>
  <c r="AD11" i="9"/>
  <c r="AC11" i="9"/>
  <c r="AB11" i="9"/>
  <c r="AA11" i="9"/>
  <c r="Z11" i="9"/>
  <c r="Y11" i="9"/>
  <c r="W11" i="9"/>
  <c r="T11" i="9"/>
  <c r="Q11" i="9"/>
  <c r="O11" i="9"/>
  <c r="M11" i="9"/>
  <c r="K11" i="9"/>
  <c r="I11" i="9"/>
  <c r="G11" i="9"/>
  <c r="E11" i="9"/>
  <c r="AH10" i="9"/>
  <c r="AG10" i="9"/>
  <c r="AF10" i="9"/>
  <c r="AE10" i="9"/>
  <c r="AD10" i="9"/>
  <c r="AC10" i="9"/>
  <c r="AB10" i="9"/>
  <c r="AA10" i="9"/>
  <c r="Z10" i="9"/>
  <c r="Y10" i="9"/>
  <c r="W10" i="9"/>
  <c r="T10" i="9"/>
  <c r="Q10" i="9"/>
  <c r="O10" i="9"/>
  <c r="M10" i="9"/>
  <c r="K10" i="9"/>
  <c r="I10" i="9"/>
  <c r="G10" i="9"/>
  <c r="E10" i="9"/>
  <c r="AH9" i="9"/>
  <c r="AG9" i="9"/>
  <c r="AF9" i="9"/>
  <c r="AE9" i="9"/>
  <c r="AD9" i="9"/>
  <c r="AC9" i="9"/>
  <c r="AB9" i="9"/>
  <c r="AA9" i="9"/>
  <c r="Z9" i="9"/>
  <c r="Y9" i="9"/>
  <c r="W9" i="9"/>
  <c r="T9" i="9"/>
  <c r="Q9" i="9"/>
  <c r="O9" i="9"/>
  <c r="M9" i="9"/>
  <c r="K9" i="9"/>
  <c r="I9" i="9"/>
  <c r="G9" i="9"/>
  <c r="E9" i="9"/>
  <c r="AH8" i="9"/>
  <c r="AG8" i="9"/>
  <c r="AF8" i="9"/>
  <c r="AE8" i="9"/>
  <c r="AD8" i="9"/>
  <c r="AC8" i="9"/>
  <c r="AB8" i="9"/>
  <c r="AA8" i="9"/>
  <c r="Z8" i="9"/>
  <c r="Y8" i="9"/>
  <c r="W8" i="9"/>
  <c r="T8" i="9"/>
  <c r="Q8" i="9"/>
  <c r="O8" i="9"/>
  <c r="M8" i="9"/>
  <c r="K8" i="9"/>
  <c r="I8" i="9"/>
  <c r="G8" i="9"/>
  <c r="E8" i="9"/>
  <c r="V77" i="10"/>
  <c r="S77" i="10"/>
  <c r="P77" i="10"/>
  <c r="N77" i="10"/>
  <c r="L77" i="10"/>
  <c r="J77" i="10"/>
  <c r="H77" i="10"/>
  <c r="F77" i="10"/>
  <c r="D77" i="10"/>
  <c r="V76" i="10"/>
  <c r="S76" i="10"/>
  <c r="P76" i="10"/>
  <c r="N76" i="10"/>
  <c r="L76" i="10"/>
  <c r="J76" i="10"/>
  <c r="H76" i="10"/>
  <c r="F76" i="10"/>
  <c r="D76" i="10"/>
  <c r="V75" i="10"/>
  <c r="S75" i="10"/>
  <c r="P75" i="10"/>
  <c r="N75" i="10"/>
  <c r="L75" i="10"/>
  <c r="J75" i="10"/>
  <c r="H75" i="10"/>
  <c r="F75" i="10"/>
  <c r="D75" i="10"/>
  <c r="V74" i="10"/>
  <c r="S74" i="10"/>
  <c r="P74" i="10"/>
  <c r="N74" i="10"/>
  <c r="L74" i="10"/>
  <c r="J74" i="10"/>
  <c r="H74" i="10"/>
  <c r="F74" i="10"/>
  <c r="D74" i="10"/>
  <c r="W72" i="10"/>
  <c r="T72" i="10"/>
  <c r="Q72" i="10"/>
  <c r="O72" i="10"/>
  <c r="M72" i="10"/>
  <c r="K72" i="10"/>
  <c r="I72" i="10"/>
  <c r="G72" i="10"/>
  <c r="E72" i="10"/>
  <c r="AD71" i="10"/>
  <c r="W71" i="10"/>
  <c r="T71" i="10"/>
  <c r="Q71" i="10"/>
  <c r="O71" i="10"/>
  <c r="M71" i="10"/>
  <c r="K71" i="10"/>
  <c r="I71" i="10"/>
  <c r="G71" i="10"/>
  <c r="E71" i="10"/>
  <c r="AE70" i="10"/>
  <c r="AC70" i="10"/>
  <c r="W70" i="10"/>
  <c r="T70" i="10"/>
  <c r="Q70" i="10"/>
  <c r="O70" i="10"/>
  <c r="M70" i="10"/>
  <c r="K70" i="10"/>
  <c r="I70" i="10"/>
  <c r="G70" i="10"/>
  <c r="E70" i="10"/>
  <c r="AE69" i="10"/>
  <c r="AB69" i="10"/>
  <c r="W69" i="10"/>
  <c r="T69" i="10"/>
  <c r="Q69" i="10"/>
  <c r="O69" i="10"/>
  <c r="M69" i="10"/>
  <c r="K69" i="10"/>
  <c r="I69" i="10"/>
  <c r="G69" i="10"/>
  <c r="E69" i="10"/>
  <c r="AE68" i="10"/>
  <c r="AA68" i="10"/>
  <c r="W68" i="10"/>
  <c r="T68" i="10"/>
  <c r="Q68" i="10"/>
  <c r="O68" i="10"/>
  <c r="M68" i="10"/>
  <c r="K68" i="10"/>
  <c r="I68" i="10"/>
  <c r="G68" i="10"/>
  <c r="E68" i="10"/>
  <c r="AE67" i="10"/>
  <c r="Z67" i="10"/>
  <c r="W67" i="10"/>
  <c r="T67" i="10"/>
  <c r="Q67" i="10"/>
  <c r="O67" i="10"/>
  <c r="M67" i="10"/>
  <c r="K67" i="10"/>
  <c r="I67" i="10"/>
  <c r="G67" i="10"/>
  <c r="E67" i="10"/>
  <c r="AE66" i="10"/>
  <c r="Y66" i="10"/>
  <c r="W66" i="10"/>
  <c r="T66" i="10"/>
  <c r="Q66" i="10"/>
  <c r="O66" i="10"/>
  <c r="M66" i="10"/>
  <c r="K66" i="10"/>
  <c r="I66" i="10"/>
  <c r="G66" i="10"/>
  <c r="E66" i="10"/>
  <c r="AE65" i="10"/>
  <c r="AD65" i="10"/>
  <c r="AE64" i="10"/>
  <c r="AD64" i="10"/>
  <c r="V64" i="10"/>
  <c r="S64" i="10"/>
  <c r="P64" i="10"/>
  <c r="N64" i="10"/>
  <c r="L64" i="10"/>
  <c r="J64" i="10"/>
  <c r="H64" i="10"/>
  <c r="F64" i="10"/>
  <c r="D64" i="10"/>
  <c r="AE63" i="10"/>
  <c r="AD63" i="10"/>
  <c r="V63" i="10"/>
  <c r="S63" i="10"/>
  <c r="P63" i="10"/>
  <c r="N63" i="10"/>
  <c r="L63" i="10"/>
  <c r="J63" i="10"/>
  <c r="H63" i="10"/>
  <c r="F63" i="10"/>
  <c r="D63" i="10"/>
  <c r="AH62" i="10"/>
  <c r="AG62" i="10"/>
  <c r="AF62" i="10"/>
  <c r="AE62" i="10"/>
  <c r="AD62" i="10"/>
  <c r="AC62" i="10"/>
  <c r="AB62" i="10"/>
  <c r="AA62" i="10"/>
  <c r="Z62" i="10"/>
  <c r="Y62" i="10"/>
  <c r="W62" i="10"/>
  <c r="T62" i="10"/>
  <c r="Q62" i="10"/>
  <c r="O62" i="10"/>
  <c r="M62" i="10"/>
  <c r="K62" i="10"/>
  <c r="I62" i="10"/>
  <c r="G62" i="10"/>
  <c r="E62" i="10"/>
  <c r="AH61" i="10"/>
  <c r="AG61" i="10"/>
  <c r="AF61" i="10"/>
  <c r="AE61" i="10"/>
  <c r="AD61" i="10"/>
  <c r="AC61" i="10"/>
  <c r="AB61" i="10"/>
  <c r="AA61" i="10"/>
  <c r="Z61" i="10"/>
  <c r="Y61" i="10"/>
  <c r="W61" i="10"/>
  <c r="T61" i="10"/>
  <c r="Q61" i="10"/>
  <c r="O61" i="10"/>
  <c r="M61" i="10"/>
  <c r="K61" i="10"/>
  <c r="I61" i="10"/>
  <c r="G61" i="10"/>
  <c r="E61" i="10"/>
  <c r="AH60" i="10"/>
  <c r="AG60" i="10"/>
  <c r="AF60" i="10"/>
  <c r="AE60" i="10"/>
  <c r="AD60" i="10"/>
  <c r="AC60" i="10"/>
  <c r="AB60" i="10"/>
  <c r="AA60" i="10"/>
  <c r="Z60" i="10"/>
  <c r="Y60" i="10"/>
  <c r="W60" i="10"/>
  <c r="T60" i="10"/>
  <c r="Q60" i="10"/>
  <c r="O60" i="10"/>
  <c r="M60" i="10"/>
  <c r="K60" i="10"/>
  <c r="I60" i="10"/>
  <c r="G60" i="10"/>
  <c r="E60" i="10"/>
  <c r="AH59" i="10"/>
  <c r="AG59" i="10"/>
  <c r="AF59" i="10"/>
  <c r="AE59" i="10"/>
  <c r="AD59" i="10"/>
  <c r="AC59" i="10"/>
  <c r="AB59" i="10"/>
  <c r="AA59" i="10"/>
  <c r="Z59" i="10"/>
  <c r="Y59" i="10"/>
  <c r="W59" i="10"/>
  <c r="T59" i="10"/>
  <c r="Q59" i="10"/>
  <c r="O59" i="10"/>
  <c r="M59" i="10"/>
  <c r="K59" i="10"/>
  <c r="I59" i="10"/>
  <c r="G59" i="10"/>
  <c r="E59" i="10"/>
  <c r="AH58" i="10"/>
  <c r="AG58" i="10"/>
  <c r="AF58" i="10"/>
  <c r="AE58" i="10"/>
  <c r="AD58" i="10"/>
  <c r="AC58" i="10"/>
  <c r="AB58" i="10"/>
  <c r="AA58" i="10"/>
  <c r="Z58" i="10"/>
  <c r="Y58" i="10"/>
  <c r="W58" i="10"/>
  <c r="T58" i="10"/>
  <c r="Q58" i="10"/>
  <c r="O58" i="10"/>
  <c r="M58" i="10"/>
  <c r="K58" i="10"/>
  <c r="I58" i="10"/>
  <c r="G58" i="10"/>
  <c r="E58" i="10"/>
  <c r="AH57" i="10"/>
  <c r="AG57" i="10"/>
  <c r="AF57" i="10"/>
  <c r="AE57" i="10"/>
  <c r="AD57" i="10"/>
  <c r="AC57" i="10"/>
  <c r="AB57" i="10"/>
  <c r="AA57" i="10"/>
  <c r="Z57" i="10"/>
  <c r="Y57" i="10"/>
  <c r="W57" i="10"/>
  <c r="T57" i="10"/>
  <c r="Q57" i="10"/>
  <c r="O57" i="10"/>
  <c r="M57" i="10"/>
  <c r="K57" i="10"/>
  <c r="I57" i="10"/>
  <c r="G57" i="10"/>
  <c r="E57" i="10"/>
  <c r="AH56" i="10"/>
  <c r="AG56" i="10"/>
  <c r="AF56" i="10"/>
  <c r="AE56" i="10"/>
  <c r="AD56" i="10"/>
  <c r="AC56" i="10"/>
  <c r="AB56" i="10"/>
  <c r="AA56" i="10"/>
  <c r="Z56" i="10"/>
  <c r="Y56" i="10"/>
  <c r="W56" i="10"/>
  <c r="T56" i="10"/>
  <c r="Q56" i="10"/>
  <c r="O56" i="10"/>
  <c r="M56" i="10"/>
  <c r="K56" i="10"/>
  <c r="I56" i="10"/>
  <c r="G56" i="10"/>
  <c r="E56" i="10"/>
  <c r="AH55" i="10"/>
  <c r="AG55" i="10"/>
  <c r="AF55" i="10"/>
  <c r="AE55" i="10"/>
  <c r="AD55" i="10"/>
  <c r="AC55" i="10"/>
  <c r="AB55" i="10"/>
  <c r="AA55" i="10"/>
  <c r="Z55" i="10"/>
  <c r="Y55" i="10"/>
  <c r="W55" i="10"/>
  <c r="T55" i="10"/>
  <c r="Q55" i="10"/>
  <c r="O55" i="10"/>
  <c r="M55" i="10"/>
  <c r="K55" i="10"/>
  <c r="I55" i="10"/>
  <c r="G55" i="10"/>
  <c r="E55" i="10"/>
  <c r="AH54" i="10"/>
  <c r="AG54" i="10"/>
  <c r="AF54" i="10"/>
  <c r="AE54" i="10"/>
  <c r="AD54" i="10"/>
  <c r="AC54" i="10"/>
  <c r="AB54" i="10"/>
  <c r="AA54" i="10"/>
  <c r="Z54" i="10"/>
  <c r="Y54" i="10"/>
  <c r="W54" i="10"/>
  <c r="T54" i="10"/>
  <c r="Q54" i="10"/>
  <c r="O54" i="10"/>
  <c r="M54" i="10"/>
  <c r="K54" i="10"/>
  <c r="I54" i="10"/>
  <c r="G54" i="10"/>
  <c r="E54" i="10"/>
  <c r="AH53" i="10"/>
  <c r="AG53" i="10"/>
  <c r="AF53" i="10"/>
  <c r="AE53" i="10"/>
  <c r="AD53" i="10"/>
  <c r="AC53" i="10"/>
  <c r="AB53" i="10"/>
  <c r="AA53" i="10"/>
  <c r="Z53" i="10"/>
  <c r="Y53" i="10"/>
  <c r="W53" i="10"/>
  <c r="T53" i="10"/>
  <c r="Q53" i="10"/>
  <c r="O53" i="10"/>
  <c r="M53" i="10"/>
  <c r="K53" i="10"/>
  <c r="I53" i="10"/>
  <c r="G53" i="10"/>
  <c r="E53" i="10"/>
  <c r="AH52" i="10"/>
  <c r="AG52" i="10"/>
  <c r="AF52" i="10"/>
  <c r="AE52" i="10"/>
  <c r="AD52" i="10"/>
  <c r="AC52" i="10"/>
  <c r="AB52" i="10"/>
  <c r="AA52" i="10"/>
  <c r="Z52" i="10"/>
  <c r="Y52" i="10"/>
  <c r="W52" i="10"/>
  <c r="T52" i="10"/>
  <c r="Q52" i="10"/>
  <c r="O52" i="10"/>
  <c r="M52" i="10"/>
  <c r="K52" i="10"/>
  <c r="I52" i="10"/>
  <c r="G52" i="10"/>
  <c r="E52" i="10"/>
  <c r="AH51" i="10"/>
  <c r="AG51" i="10"/>
  <c r="AF51" i="10"/>
  <c r="AE51" i="10"/>
  <c r="AD51" i="10"/>
  <c r="AC51" i="10"/>
  <c r="AB51" i="10"/>
  <c r="AA51" i="10"/>
  <c r="Z51" i="10"/>
  <c r="Y51" i="10"/>
  <c r="W51" i="10"/>
  <c r="T51" i="10"/>
  <c r="Q51" i="10"/>
  <c r="O51" i="10"/>
  <c r="M51" i="10"/>
  <c r="K51" i="10"/>
  <c r="I51" i="10"/>
  <c r="G51" i="10"/>
  <c r="E51" i="10"/>
  <c r="AH50" i="10"/>
  <c r="AG50" i="10"/>
  <c r="AF50" i="10"/>
  <c r="AE50" i="10"/>
  <c r="AD50" i="10"/>
  <c r="AC50" i="10"/>
  <c r="AB50" i="10"/>
  <c r="AA50" i="10"/>
  <c r="Z50" i="10"/>
  <c r="Y50" i="10"/>
  <c r="W50" i="10"/>
  <c r="T50" i="10"/>
  <c r="Q50" i="10"/>
  <c r="O50" i="10"/>
  <c r="M50" i="10"/>
  <c r="K50" i="10"/>
  <c r="I50" i="10"/>
  <c r="G50" i="10"/>
  <c r="E50" i="10"/>
  <c r="AH49" i="10"/>
  <c r="AG49" i="10"/>
  <c r="AF49" i="10"/>
  <c r="AE49" i="10"/>
  <c r="AD49" i="10"/>
  <c r="AC49" i="10"/>
  <c r="AB49" i="10"/>
  <c r="AA49" i="10"/>
  <c r="Z49" i="10"/>
  <c r="Y49" i="10"/>
  <c r="W49" i="10"/>
  <c r="T49" i="10"/>
  <c r="Q49" i="10"/>
  <c r="O49" i="10"/>
  <c r="M49" i="10"/>
  <c r="K49" i="10"/>
  <c r="I49" i="10"/>
  <c r="G49" i="10"/>
  <c r="E49" i="10"/>
  <c r="AH48" i="10"/>
  <c r="AG48" i="10"/>
  <c r="AF48" i="10"/>
  <c r="AE48" i="10"/>
  <c r="AD48" i="10"/>
  <c r="AC48" i="10"/>
  <c r="AB48" i="10"/>
  <c r="AA48" i="10"/>
  <c r="Z48" i="10"/>
  <c r="Y48" i="10"/>
  <c r="W48" i="10"/>
  <c r="T48" i="10"/>
  <c r="Q48" i="10"/>
  <c r="O48" i="10"/>
  <c r="M48" i="10"/>
  <c r="K48" i="10"/>
  <c r="I48" i="10"/>
  <c r="G48" i="10"/>
  <c r="E48" i="10"/>
  <c r="AH47" i="10"/>
  <c r="AG47" i="10"/>
  <c r="AF47" i="10"/>
  <c r="AE47" i="10"/>
  <c r="AD47" i="10"/>
  <c r="AC47" i="10"/>
  <c r="AB47" i="10"/>
  <c r="AA47" i="10"/>
  <c r="Z47" i="10"/>
  <c r="Y47" i="10"/>
  <c r="W47" i="10"/>
  <c r="T47" i="10"/>
  <c r="Q47" i="10"/>
  <c r="O47" i="10"/>
  <c r="M47" i="10"/>
  <c r="K47" i="10"/>
  <c r="I47" i="10"/>
  <c r="G47" i="10"/>
  <c r="E47" i="10"/>
  <c r="AH46" i="10"/>
  <c r="AG46" i="10"/>
  <c r="AF46" i="10"/>
  <c r="AE46" i="10"/>
  <c r="AD46" i="10"/>
  <c r="AC46" i="10"/>
  <c r="AB46" i="10"/>
  <c r="AA46" i="10"/>
  <c r="Z46" i="10"/>
  <c r="Y46" i="10"/>
  <c r="W46" i="10"/>
  <c r="T46" i="10"/>
  <c r="Q46" i="10"/>
  <c r="O46" i="10"/>
  <c r="M46" i="10"/>
  <c r="K46" i="10"/>
  <c r="I46" i="10"/>
  <c r="G46" i="10"/>
  <c r="E46" i="10"/>
  <c r="AH45" i="10"/>
  <c r="AG45" i="10"/>
  <c r="AF45" i="10"/>
  <c r="AE45" i="10"/>
  <c r="AD45" i="10"/>
  <c r="AC45" i="10"/>
  <c r="AB45" i="10"/>
  <c r="AA45" i="10"/>
  <c r="Z45" i="10"/>
  <c r="Y45" i="10"/>
  <c r="W45" i="10"/>
  <c r="T45" i="10"/>
  <c r="Q45" i="10"/>
  <c r="O45" i="10"/>
  <c r="M45" i="10"/>
  <c r="K45" i="10"/>
  <c r="I45" i="10"/>
  <c r="G45" i="10"/>
  <c r="E45" i="10"/>
  <c r="AH44" i="10"/>
  <c r="AG44" i="10"/>
  <c r="AF44" i="10"/>
  <c r="AE44" i="10"/>
  <c r="AD44" i="10"/>
  <c r="AC44" i="10"/>
  <c r="AB44" i="10"/>
  <c r="AA44" i="10"/>
  <c r="Z44" i="10"/>
  <c r="Y44" i="10"/>
  <c r="W44" i="10"/>
  <c r="T44" i="10"/>
  <c r="Q44" i="10"/>
  <c r="O44" i="10"/>
  <c r="M44" i="10"/>
  <c r="K44" i="10"/>
  <c r="I44" i="10"/>
  <c r="G44" i="10"/>
  <c r="E44" i="10"/>
  <c r="AH43" i="10"/>
  <c r="AG43" i="10"/>
  <c r="AF43" i="10"/>
  <c r="AE43" i="10"/>
  <c r="AD43" i="10"/>
  <c r="AC43" i="10"/>
  <c r="AB43" i="10"/>
  <c r="AA43" i="10"/>
  <c r="Z43" i="10"/>
  <c r="Y43" i="10"/>
  <c r="W43" i="10"/>
  <c r="T43" i="10"/>
  <c r="Q43" i="10"/>
  <c r="O43" i="10"/>
  <c r="M43" i="10"/>
  <c r="K43" i="10"/>
  <c r="I43" i="10"/>
  <c r="G43" i="10"/>
  <c r="E43" i="10"/>
  <c r="AH42" i="10"/>
  <c r="AG42" i="10"/>
  <c r="AF42" i="10"/>
  <c r="AE42" i="10"/>
  <c r="AD42" i="10"/>
  <c r="AC42" i="10"/>
  <c r="AB42" i="10"/>
  <c r="AA42" i="10"/>
  <c r="Z42" i="10"/>
  <c r="Y42" i="10"/>
  <c r="W42" i="10"/>
  <c r="T42" i="10"/>
  <c r="Q42" i="10"/>
  <c r="O42" i="10"/>
  <c r="M42" i="10"/>
  <c r="K42" i="10"/>
  <c r="I42" i="10"/>
  <c r="G42" i="10"/>
  <c r="E42" i="10"/>
  <c r="AH41" i="10"/>
  <c r="AG41" i="10"/>
  <c r="AF41" i="10"/>
  <c r="AE41" i="10"/>
  <c r="AD41" i="10"/>
  <c r="AC41" i="10"/>
  <c r="AB41" i="10"/>
  <c r="AA41" i="10"/>
  <c r="Z41" i="10"/>
  <c r="Y41" i="10"/>
  <c r="W41" i="10"/>
  <c r="T41" i="10"/>
  <c r="Q41" i="10"/>
  <c r="O41" i="10"/>
  <c r="M41" i="10"/>
  <c r="K41" i="10"/>
  <c r="I41" i="10"/>
  <c r="G41" i="10"/>
  <c r="E41" i="10"/>
  <c r="AH40" i="10"/>
  <c r="AG40" i="10"/>
  <c r="AF40" i="10"/>
  <c r="AE40" i="10"/>
  <c r="AD40" i="10"/>
  <c r="AC40" i="10"/>
  <c r="AB40" i="10"/>
  <c r="AA40" i="10"/>
  <c r="Z40" i="10"/>
  <c r="Y40" i="10"/>
  <c r="W40" i="10"/>
  <c r="T40" i="10"/>
  <c r="Q40" i="10"/>
  <c r="O40" i="10"/>
  <c r="M40" i="10"/>
  <c r="K40" i="10"/>
  <c r="I40" i="10"/>
  <c r="G40" i="10"/>
  <c r="E40" i="10"/>
  <c r="AH39" i="10"/>
  <c r="AG39" i="10"/>
  <c r="AF39" i="10"/>
  <c r="AE39" i="10"/>
  <c r="AD39" i="10"/>
  <c r="AC39" i="10"/>
  <c r="AB39" i="10"/>
  <c r="AA39" i="10"/>
  <c r="Z39" i="10"/>
  <c r="Y39" i="10"/>
  <c r="W39" i="10"/>
  <c r="T39" i="10"/>
  <c r="Q39" i="10"/>
  <c r="O39" i="10"/>
  <c r="M39" i="10"/>
  <c r="K39" i="10"/>
  <c r="I39" i="10"/>
  <c r="G39" i="10"/>
  <c r="E39" i="10"/>
  <c r="AH38" i="10"/>
  <c r="AG38" i="10"/>
  <c r="AF38" i="10"/>
  <c r="AE38" i="10"/>
  <c r="AD38" i="10"/>
  <c r="AC38" i="10"/>
  <c r="AB38" i="10"/>
  <c r="AA38" i="10"/>
  <c r="Z38" i="10"/>
  <c r="Y38" i="10"/>
  <c r="W38" i="10"/>
  <c r="T38" i="10"/>
  <c r="Q38" i="10"/>
  <c r="O38" i="10"/>
  <c r="M38" i="10"/>
  <c r="K38" i="10"/>
  <c r="I38" i="10"/>
  <c r="G38" i="10"/>
  <c r="E38" i="10"/>
  <c r="AH37" i="10"/>
  <c r="AG37" i="10"/>
  <c r="AF37" i="10"/>
  <c r="AE37" i="10"/>
  <c r="AD37" i="10"/>
  <c r="AC37" i="10"/>
  <c r="AB37" i="10"/>
  <c r="AA37" i="10"/>
  <c r="Z37" i="10"/>
  <c r="Y37" i="10"/>
  <c r="W37" i="10"/>
  <c r="T37" i="10"/>
  <c r="Q37" i="10"/>
  <c r="O37" i="10"/>
  <c r="M37" i="10"/>
  <c r="K37" i="10"/>
  <c r="I37" i="10"/>
  <c r="G37" i="10"/>
  <c r="E37" i="10"/>
  <c r="AH36" i="10"/>
  <c r="AG36" i="10"/>
  <c r="AF36" i="10"/>
  <c r="AE36" i="10"/>
  <c r="AD36" i="10"/>
  <c r="AC36" i="10"/>
  <c r="AB36" i="10"/>
  <c r="AA36" i="10"/>
  <c r="Z36" i="10"/>
  <c r="Y36" i="10"/>
  <c r="W36" i="10"/>
  <c r="T36" i="10"/>
  <c r="Q36" i="10"/>
  <c r="O36" i="10"/>
  <c r="M36" i="10"/>
  <c r="K36" i="10"/>
  <c r="I36" i="10"/>
  <c r="G36" i="10"/>
  <c r="E36" i="10"/>
  <c r="AH35" i="10"/>
  <c r="AG35" i="10"/>
  <c r="AF35" i="10"/>
  <c r="AE35" i="10"/>
  <c r="AD35" i="10"/>
  <c r="AC35" i="10"/>
  <c r="AB35" i="10"/>
  <c r="AA35" i="10"/>
  <c r="Z35" i="10"/>
  <c r="Y35" i="10"/>
  <c r="W35" i="10"/>
  <c r="T35" i="10"/>
  <c r="Q35" i="10"/>
  <c r="O35" i="10"/>
  <c r="M35" i="10"/>
  <c r="K35" i="10"/>
  <c r="I35" i="10"/>
  <c r="G35" i="10"/>
  <c r="E35" i="10"/>
  <c r="AH34" i="10"/>
  <c r="AG34" i="10"/>
  <c r="AF34" i="10"/>
  <c r="AE34" i="10"/>
  <c r="AD34" i="10"/>
  <c r="AC34" i="10"/>
  <c r="AB34" i="10"/>
  <c r="AA34" i="10"/>
  <c r="Z34" i="10"/>
  <c r="Y34" i="10"/>
  <c r="W34" i="10"/>
  <c r="T34" i="10"/>
  <c r="Q34" i="10"/>
  <c r="O34" i="10"/>
  <c r="M34" i="10"/>
  <c r="K34" i="10"/>
  <c r="I34" i="10"/>
  <c r="G34" i="10"/>
  <c r="E34" i="10"/>
  <c r="AH33" i="10"/>
  <c r="AG33" i="10"/>
  <c r="AF33" i="10"/>
  <c r="AE33" i="10"/>
  <c r="AD33" i="10"/>
  <c r="AC33" i="10"/>
  <c r="AB33" i="10"/>
  <c r="AA33" i="10"/>
  <c r="Z33" i="10"/>
  <c r="Y33" i="10"/>
  <c r="W33" i="10"/>
  <c r="T33" i="10"/>
  <c r="Q33" i="10"/>
  <c r="O33" i="10"/>
  <c r="M33" i="10"/>
  <c r="K33" i="10"/>
  <c r="I33" i="10"/>
  <c r="G33" i="10"/>
  <c r="E33" i="10"/>
  <c r="AH32" i="10"/>
  <c r="AG32" i="10"/>
  <c r="AF32" i="10"/>
  <c r="AE32" i="10"/>
  <c r="AD32" i="10"/>
  <c r="AC32" i="10"/>
  <c r="AB32" i="10"/>
  <c r="AA32" i="10"/>
  <c r="Z32" i="10"/>
  <c r="Y32" i="10"/>
  <c r="W32" i="10"/>
  <c r="T32" i="10"/>
  <c r="Q32" i="10"/>
  <c r="O32" i="10"/>
  <c r="M32" i="10"/>
  <c r="K32" i="10"/>
  <c r="I32" i="10"/>
  <c r="G32" i="10"/>
  <c r="E32" i="10"/>
  <c r="AH31" i="10"/>
  <c r="AG31" i="10"/>
  <c r="AF31" i="10"/>
  <c r="AE31" i="10"/>
  <c r="AD31" i="10"/>
  <c r="AC31" i="10"/>
  <c r="AB31" i="10"/>
  <c r="AA31" i="10"/>
  <c r="Z31" i="10"/>
  <c r="Y31" i="10"/>
  <c r="W31" i="10"/>
  <c r="T31" i="10"/>
  <c r="Q31" i="10"/>
  <c r="O31" i="10"/>
  <c r="M31" i="10"/>
  <c r="K31" i="10"/>
  <c r="I31" i="10"/>
  <c r="G31" i="10"/>
  <c r="E31" i="10"/>
  <c r="AH30" i="10"/>
  <c r="AG30" i="10"/>
  <c r="AF30" i="10"/>
  <c r="AE30" i="10"/>
  <c r="AD30" i="10"/>
  <c r="AC30" i="10"/>
  <c r="AB30" i="10"/>
  <c r="AA30" i="10"/>
  <c r="Z30" i="10"/>
  <c r="Y30" i="10"/>
  <c r="W30" i="10"/>
  <c r="T30" i="10"/>
  <c r="Q30" i="10"/>
  <c r="O30" i="10"/>
  <c r="M30" i="10"/>
  <c r="K30" i="10"/>
  <c r="I30" i="10"/>
  <c r="G30" i="10"/>
  <c r="E30" i="10"/>
  <c r="AH29" i="10"/>
  <c r="AG29" i="10"/>
  <c r="AF29" i="10"/>
  <c r="AE29" i="10"/>
  <c r="AD29" i="10"/>
  <c r="AC29" i="10"/>
  <c r="AB29" i="10"/>
  <c r="AA29" i="10"/>
  <c r="Z29" i="10"/>
  <c r="Y29" i="10"/>
  <c r="W29" i="10"/>
  <c r="T29" i="10"/>
  <c r="Q29" i="10"/>
  <c r="O29" i="10"/>
  <c r="M29" i="10"/>
  <c r="K29" i="10"/>
  <c r="I29" i="10"/>
  <c r="G29" i="10"/>
  <c r="E29" i="10"/>
  <c r="AH28" i="10"/>
  <c r="AG28" i="10"/>
  <c r="AF28" i="10"/>
  <c r="AE28" i="10"/>
  <c r="AD28" i="10"/>
  <c r="AC28" i="10"/>
  <c r="AB28" i="10"/>
  <c r="AA28" i="10"/>
  <c r="Z28" i="10"/>
  <c r="Y28" i="10"/>
  <c r="W28" i="10"/>
  <c r="T28" i="10"/>
  <c r="Q28" i="10"/>
  <c r="O28" i="10"/>
  <c r="M28" i="10"/>
  <c r="K28" i="10"/>
  <c r="I28" i="10"/>
  <c r="G28" i="10"/>
  <c r="E28" i="10"/>
  <c r="AH27" i="10"/>
  <c r="AG27" i="10"/>
  <c r="AF27" i="10"/>
  <c r="AE27" i="10"/>
  <c r="AD27" i="10"/>
  <c r="AC27" i="10"/>
  <c r="AB27" i="10"/>
  <c r="AA27" i="10"/>
  <c r="Z27" i="10"/>
  <c r="Y27" i="10"/>
  <c r="W27" i="10"/>
  <c r="T27" i="10"/>
  <c r="Q27" i="10"/>
  <c r="O27" i="10"/>
  <c r="M27" i="10"/>
  <c r="K27" i="10"/>
  <c r="I27" i="10"/>
  <c r="G27" i="10"/>
  <c r="E27" i="10"/>
  <c r="AH26" i="10"/>
  <c r="AG26" i="10"/>
  <c r="AF26" i="10"/>
  <c r="AE26" i="10"/>
  <c r="AD26" i="10"/>
  <c r="AC26" i="10"/>
  <c r="AB26" i="10"/>
  <c r="AA26" i="10"/>
  <c r="Z26" i="10"/>
  <c r="Y26" i="10"/>
  <c r="W26" i="10"/>
  <c r="T26" i="10"/>
  <c r="Q26" i="10"/>
  <c r="O26" i="10"/>
  <c r="M26" i="10"/>
  <c r="K26" i="10"/>
  <c r="I26" i="10"/>
  <c r="G26" i="10"/>
  <c r="E26" i="10"/>
  <c r="AH25" i="10"/>
  <c r="AG25" i="10"/>
  <c r="AF25" i="10"/>
  <c r="AE25" i="10"/>
  <c r="AD25" i="10"/>
  <c r="AC25" i="10"/>
  <c r="AB25" i="10"/>
  <c r="AA25" i="10"/>
  <c r="Z25" i="10"/>
  <c r="Y25" i="10"/>
  <c r="W25" i="10"/>
  <c r="T25" i="10"/>
  <c r="Q25" i="10"/>
  <c r="O25" i="10"/>
  <c r="M25" i="10"/>
  <c r="K25" i="10"/>
  <c r="I25" i="10"/>
  <c r="G25" i="10"/>
  <c r="E25" i="10"/>
  <c r="AH24" i="10"/>
  <c r="AG24" i="10"/>
  <c r="AF24" i="10"/>
  <c r="AE24" i="10"/>
  <c r="AD24" i="10"/>
  <c r="AC24" i="10"/>
  <c r="AB24" i="10"/>
  <c r="AA24" i="10"/>
  <c r="Z24" i="10"/>
  <c r="Y24" i="10"/>
  <c r="W24" i="10"/>
  <c r="T24" i="10"/>
  <c r="Q24" i="10"/>
  <c r="O24" i="10"/>
  <c r="M24" i="10"/>
  <c r="K24" i="10"/>
  <c r="I24" i="10"/>
  <c r="G24" i="10"/>
  <c r="E24" i="10"/>
  <c r="AH23" i="10"/>
  <c r="AG23" i="10"/>
  <c r="AF23" i="10"/>
  <c r="AE23" i="10"/>
  <c r="AD23" i="10"/>
  <c r="AC23" i="10"/>
  <c r="AB23" i="10"/>
  <c r="AA23" i="10"/>
  <c r="Z23" i="10"/>
  <c r="Y23" i="10"/>
  <c r="W23" i="10"/>
  <c r="T23" i="10"/>
  <c r="Q23" i="10"/>
  <c r="O23" i="10"/>
  <c r="M23" i="10"/>
  <c r="K23" i="10"/>
  <c r="I23" i="10"/>
  <c r="G23" i="10"/>
  <c r="E23" i="10"/>
  <c r="AH22" i="10"/>
  <c r="AG22" i="10"/>
  <c r="AF22" i="10"/>
  <c r="AE22" i="10"/>
  <c r="AD22" i="10"/>
  <c r="AC22" i="10"/>
  <c r="AB22" i="10"/>
  <c r="AA22" i="10"/>
  <c r="Z22" i="10"/>
  <c r="Y22" i="10"/>
  <c r="W22" i="10"/>
  <c r="T22" i="10"/>
  <c r="Q22" i="10"/>
  <c r="O22" i="10"/>
  <c r="M22" i="10"/>
  <c r="K22" i="10"/>
  <c r="I22" i="10"/>
  <c r="G22" i="10"/>
  <c r="E22" i="10"/>
  <c r="AH21" i="10"/>
  <c r="AG21" i="10"/>
  <c r="AF21" i="10"/>
  <c r="AE21" i="10"/>
  <c r="AD21" i="10"/>
  <c r="AC21" i="10"/>
  <c r="AB21" i="10"/>
  <c r="AA21" i="10"/>
  <c r="Z21" i="10"/>
  <c r="Y21" i="10"/>
  <c r="W21" i="10"/>
  <c r="T21" i="10"/>
  <c r="Q21" i="10"/>
  <c r="O21" i="10"/>
  <c r="M21" i="10"/>
  <c r="K21" i="10"/>
  <c r="I21" i="10"/>
  <c r="G21" i="10"/>
  <c r="E21" i="10"/>
  <c r="AH20" i="10"/>
  <c r="AG20" i="10"/>
  <c r="AF20" i="10"/>
  <c r="AE20" i="10"/>
  <c r="AD20" i="10"/>
  <c r="AC20" i="10"/>
  <c r="AB20" i="10"/>
  <c r="AA20" i="10"/>
  <c r="Z20" i="10"/>
  <c r="Y20" i="10"/>
  <c r="W20" i="10"/>
  <c r="T20" i="10"/>
  <c r="Q20" i="10"/>
  <c r="O20" i="10"/>
  <c r="M20" i="10"/>
  <c r="K20" i="10"/>
  <c r="I20" i="10"/>
  <c r="G20" i="10"/>
  <c r="E20" i="10"/>
  <c r="AH19" i="10"/>
  <c r="AG19" i="10"/>
  <c r="AF19" i="10"/>
  <c r="AE19" i="10"/>
  <c r="AD19" i="10"/>
  <c r="AC19" i="10"/>
  <c r="AB19" i="10"/>
  <c r="AA19" i="10"/>
  <c r="Z19" i="10"/>
  <c r="Y19" i="10"/>
  <c r="W19" i="10"/>
  <c r="T19" i="10"/>
  <c r="Q19" i="10"/>
  <c r="O19" i="10"/>
  <c r="M19" i="10"/>
  <c r="K19" i="10"/>
  <c r="I19" i="10"/>
  <c r="G19" i="10"/>
  <c r="E19" i="10"/>
  <c r="AH18" i="10"/>
  <c r="AG18" i="10"/>
  <c r="AF18" i="10"/>
  <c r="AE18" i="10"/>
  <c r="AD18" i="10"/>
  <c r="AC18" i="10"/>
  <c r="AB18" i="10"/>
  <c r="AA18" i="10"/>
  <c r="Z18" i="10"/>
  <c r="Y18" i="10"/>
  <c r="W18" i="10"/>
  <c r="T18" i="10"/>
  <c r="Q18" i="10"/>
  <c r="O18" i="10"/>
  <c r="M18" i="10"/>
  <c r="K18" i="10"/>
  <c r="I18" i="10"/>
  <c r="G18" i="10"/>
  <c r="E18" i="10"/>
  <c r="AH17" i="10"/>
  <c r="AG17" i="10"/>
  <c r="AF17" i="10"/>
  <c r="AE17" i="10"/>
  <c r="AD17" i="10"/>
  <c r="AC17" i="10"/>
  <c r="AB17" i="10"/>
  <c r="AA17" i="10"/>
  <c r="Z17" i="10"/>
  <c r="Y17" i="10"/>
  <c r="W17" i="10"/>
  <c r="T17" i="10"/>
  <c r="Q17" i="10"/>
  <c r="O17" i="10"/>
  <c r="M17" i="10"/>
  <c r="K17" i="10"/>
  <c r="I17" i="10"/>
  <c r="G17" i="10"/>
  <c r="E17" i="10"/>
  <c r="AH16" i="10"/>
  <c r="AG16" i="10"/>
  <c r="AF16" i="10"/>
  <c r="AE16" i="10"/>
  <c r="AD16" i="10"/>
  <c r="AC16" i="10"/>
  <c r="AB16" i="10"/>
  <c r="AA16" i="10"/>
  <c r="Z16" i="10"/>
  <c r="Y16" i="10"/>
  <c r="W16" i="10"/>
  <c r="T16" i="10"/>
  <c r="Q16" i="10"/>
  <c r="O16" i="10"/>
  <c r="M16" i="10"/>
  <c r="K16" i="10"/>
  <c r="I16" i="10"/>
  <c r="G16" i="10"/>
  <c r="E16" i="10"/>
  <c r="AH15" i="10"/>
  <c r="AG15" i="10"/>
  <c r="AF15" i="10"/>
  <c r="AE15" i="10"/>
  <c r="AD15" i="10"/>
  <c r="AC15" i="10"/>
  <c r="AB15" i="10"/>
  <c r="AA15" i="10"/>
  <c r="Z15" i="10"/>
  <c r="Y15" i="10"/>
  <c r="W15" i="10"/>
  <c r="T15" i="10"/>
  <c r="Q15" i="10"/>
  <c r="O15" i="10"/>
  <c r="M15" i="10"/>
  <c r="K15" i="10"/>
  <c r="I15" i="10"/>
  <c r="G15" i="10"/>
  <c r="E15" i="10"/>
  <c r="AH14" i="10"/>
  <c r="AG14" i="10"/>
  <c r="AF14" i="10"/>
  <c r="AE14" i="10"/>
  <c r="AD14" i="10"/>
  <c r="AC14" i="10"/>
  <c r="AB14" i="10"/>
  <c r="AA14" i="10"/>
  <c r="Z14" i="10"/>
  <c r="Y14" i="10"/>
  <c r="W14" i="10"/>
  <c r="T14" i="10"/>
  <c r="Q14" i="10"/>
  <c r="O14" i="10"/>
  <c r="M14" i="10"/>
  <c r="K14" i="10"/>
  <c r="I14" i="10"/>
  <c r="G14" i="10"/>
  <c r="E14" i="10"/>
  <c r="AH13" i="10"/>
  <c r="AG13" i="10"/>
  <c r="AF13" i="10"/>
  <c r="AE13" i="10"/>
  <c r="AD13" i="10"/>
  <c r="AC13" i="10"/>
  <c r="AB13" i="10"/>
  <c r="AA13" i="10"/>
  <c r="Z13" i="10"/>
  <c r="Y13" i="10"/>
  <c r="W13" i="10"/>
  <c r="T13" i="10"/>
  <c r="Q13" i="10"/>
  <c r="O13" i="10"/>
  <c r="M13" i="10"/>
  <c r="K13" i="10"/>
  <c r="I13" i="10"/>
  <c r="G13" i="10"/>
  <c r="E13" i="10"/>
  <c r="AH12" i="10"/>
  <c r="AG12" i="10"/>
  <c r="AF12" i="10"/>
  <c r="AE12" i="10"/>
  <c r="AD12" i="10"/>
  <c r="AC12" i="10"/>
  <c r="AB12" i="10"/>
  <c r="AA12" i="10"/>
  <c r="Z12" i="10"/>
  <c r="Y12" i="10"/>
  <c r="W12" i="10"/>
  <c r="T12" i="10"/>
  <c r="Q12" i="10"/>
  <c r="O12" i="10"/>
  <c r="M12" i="10"/>
  <c r="K12" i="10"/>
  <c r="I12" i="10"/>
  <c r="G12" i="10"/>
  <c r="E12" i="10"/>
  <c r="AH11" i="10"/>
  <c r="AG11" i="10"/>
  <c r="AF11" i="10"/>
  <c r="AE11" i="10"/>
  <c r="AD11" i="10"/>
  <c r="AC11" i="10"/>
  <c r="AB11" i="10"/>
  <c r="AA11" i="10"/>
  <c r="Z11" i="10"/>
  <c r="Y11" i="10"/>
  <c r="W11" i="10"/>
  <c r="T11" i="10"/>
  <c r="Q11" i="10"/>
  <c r="O11" i="10"/>
  <c r="M11" i="10"/>
  <c r="K11" i="10"/>
  <c r="I11" i="10"/>
  <c r="G11" i="10"/>
  <c r="E11" i="10"/>
  <c r="AH10" i="10"/>
  <c r="AG10" i="10"/>
  <c r="AF10" i="10"/>
  <c r="AE10" i="10"/>
  <c r="AD10" i="10"/>
  <c r="AC10" i="10"/>
  <c r="AB10" i="10"/>
  <c r="AA10" i="10"/>
  <c r="Z10" i="10"/>
  <c r="Y10" i="10"/>
  <c r="W10" i="10"/>
  <c r="T10" i="10"/>
  <c r="Q10" i="10"/>
  <c r="O10" i="10"/>
  <c r="M10" i="10"/>
  <c r="K10" i="10"/>
  <c r="I10" i="10"/>
  <c r="G10" i="10"/>
  <c r="E10" i="10"/>
  <c r="AH9" i="10"/>
  <c r="AG9" i="10"/>
  <c r="AF9" i="10"/>
  <c r="AE9" i="10"/>
  <c r="AD9" i="10"/>
  <c r="AC9" i="10"/>
  <c r="AB9" i="10"/>
  <c r="AA9" i="10"/>
  <c r="Z9" i="10"/>
  <c r="Y9" i="10"/>
  <c r="W9" i="10"/>
  <c r="T9" i="10"/>
  <c r="Q9" i="10"/>
  <c r="O9" i="10"/>
  <c r="M9" i="10"/>
  <c r="K9" i="10"/>
  <c r="I9" i="10"/>
  <c r="G9" i="10"/>
  <c r="E9" i="10"/>
  <c r="AH8" i="10"/>
  <c r="AG8" i="10"/>
  <c r="AF8" i="10"/>
  <c r="AE8" i="10"/>
  <c r="AD8" i="10"/>
  <c r="AC8" i="10"/>
  <c r="AB8" i="10"/>
  <c r="AA8" i="10"/>
  <c r="Z8" i="10"/>
  <c r="Y8" i="10"/>
  <c r="W8" i="10"/>
  <c r="T8" i="10"/>
  <c r="Q8" i="10"/>
  <c r="O8" i="10"/>
  <c r="M8" i="10"/>
  <c r="K8" i="10"/>
  <c r="I8" i="10"/>
  <c r="G8" i="10"/>
  <c r="E8" i="10"/>
  <c r="V77" i="2"/>
  <c r="S77" i="2"/>
  <c r="P77" i="2"/>
  <c r="N77" i="2"/>
  <c r="L77" i="2"/>
  <c r="J77" i="2"/>
  <c r="H77" i="2"/>
  <c r="F77" i="2"/>
  <c r="D77" i="2"/>
  <c r="V76" i="2"/>
  <c r="S76" i="2"/>
  <c r="P76" i="2"/>
  <c r="N76" i="2"/>
  <c r="L76" i="2"/>
  <c r="J76" i="2"/>
  <c r="H76" i="2"/>
  <c r="F76" i="2"/>
  <c r="D76" i="2"/>
  <c r="V75" i="2"/>
  <c r="S75" i="2"/>
  <c r="P75" i="2"/>
  <c r="N75" i="2"/>
  <c r="L75" i="2"/>
  <c r="J75" i="2"/>
  <c r="H75" i="2"/>
  <c r="F75" i="2"/>
  <c r="D75" i="2"/>
  <c r="V74" i="2"/>
  <c r="S74" i="2"/>
  <c r="P74" i="2"/>
  <c r="N74" i="2"/>
  <c r="L74" i="2"/>
  <c r="J74" i="2"/>
  <c r="H74" i="2"/>
  <c r="F74" i="2"/>
  <c r="D74" i="2"/>
  <c r="W72" i="2"/>
  <c r="T72" i="2"/>
  <c r="Q72" i="2"/>
  <c r="O72" i="2"/>
  <c r="M72" i="2"/>
  <c r="K72" i="2"/>
  <c r="I72" i="2"/>
  <c r="G72" i="2"/>
  <c r="E72" i="2"/>
  <c r="AD71" i="2"/>
  <c r="W71" i="2"/>
  <c r="T71" i="2"/>
  <c r="Q71" i="2"/>
  <c r="O71" i="2"/>
  <c r="M71" i="2"/>
  <c r="K71" i="2"/>
  <c r="I71" i="2"/>
  <c r="G71" i="2"/>
  <c r="E71" i="2"/>
  <c r="AE70" i="2"/>
  <c r="AC70" i="2"/>
  <c r="W70" i="2"/>
  <c r="T70" i="2"/>
  <c r="Q70" i="2"/>
  <c r="O70" i="2"/>
  <c r="M70" i="2"/>
  <c r="K70" i="2"/>
  <c r="I70" i="2"/>
  <c r="G70" i="2"/>
  <c r="E70" i="2"/>
  <c r="AE69" i="2"/>
  <c r="AB69" i="2"/>
  <c r="W69" i="2"/>
  <c r="T69" i="2"/>
  <c r="Q69" i="2"/>
  <c r="O69" i="2"/>
  <c r="M69" i="2"/>
  <c r="K69" i="2"/>
  <c r="I69" i="2"/>
  <c r="G69" i="2"/>
  <c r="E69" i="2"/>
  <c r="AE68" i="2"/>
  <c r="AA68" i="2"/>
  <c r="W68" i="2"/>
  <c r="T68" i="2"/>
  <c r="Q68" i="2"/>
  <c r="O68" i="2"/>
  <c r="M68" i="2"/>
  <c r="K68" i="2"/>
  <c r="I68" i="2"/>
  <c r="G68" i="2"/>
  <c r="E68" i="2"/>
  <c r="AE67" i="2"/>
  <c r="Z67" i="2"/>
  <c r="W67" i="2"/>
  <c r="T67" i="2"/>
  <c r="Q67" i="2"/>
  <c r="O67" i="2"/>
  <c r="M67" i="2"/>
  <c r="K67" i="2"/>
  <c r="I67" i="2"/>
  <c r="G67" i="2"/>
  <c r="E67" i="2"/>
  <c r="AE66" i="2"/>
  <c r="Y66" i="2"/>
  <c r="W66" i="2"/>
  <c r="T66" i="2"/>
  <c r="Q66" i="2"/>
  <c r="O66" i="2"/>
  <c r="M66" i="2"/>
  <c r="K66" i="2"/>
  <c r="I66" i="2"/>
  <c r="G66" i="2"/>
  <c r="E66" i="2"/>
  <c r="AE65" i="2"/>
  <c r="AD65" i="2"/>
  <c r="AE64" i="2"/>
  <c r="AD64" i="2"/>
  <c r="V64" i="2"/>
  <c r="S64" i="2"/>
  <c r="P64" i="2"/>
  <c r="N64" i="2"/>
  <c r="L64" i="2"/>
  <c r="J64" i="2"/>
  <c r="H64" i="2"/>
  <c r="F64" i="2"/>
  <c r="D64" i="2"/>
  <c r="AE63" i="2"/>
  <c r="AD63" i="2"/>
  <c r="V63" i="2"/>
  <c r="S63" i="2"/>
  <c r="P63" i="2"/>
  <c r="N63" i="2"/>
  <c r="L63" i="2"/>
  <c r="J63" i="2"/>
  <c r="H63" i="2"/>
  <c r="F63" i="2"/>
  <c r="D63" i="2"/>
  <c r="AH62" i="2"/>
  <c r="AG62" i="2"/>
  <c r="AF62" i="2"/>
  <c r="AE62" i="2"/>
  <c r="AD62" i="2"/>
  <c r="AC62" i="2"/>
  <c r="AB62" i="2"/>
  <c r="AA62" i="2"/>
  <c r="Z62" i="2"/>
  <c r="Y62" i="2"/>
  <c r="W62" i="2"/>
  <c r="T62" i="2"/>
  <c r="Q62" i="2"/>
  <c r="O62" i="2"/>
  <c r="M62" i="2"/>
  <c r="K62" i="2"/>
  <c r="I62" i="2"/>
  <c r="G62" i="2"/>
  <c r="E62" i="2"/>
  <c r="AH61" i="2"/>
  <c r="AG61" i="2"/>
  <c r="AF61" i="2"/>
  <c r="AE61" i="2"/>
  <c r="AD61" i="2"/>
  <c r="AC61" i="2"/>
  <c r="AB61" i="2"/>
  <c r="AA61" i="2"/>
  <c r="Z61" i="2"/>
  <c r="Y61" i="2"/>
  <c r="W61" i="2"/>
  <c r="T61" i="2"/>
  <c r="Q61" i="2"/>
  <c r="O61" i="2"/>
  <c r="M61" i="2"/>
  <c r="K61" i="2"/>
  <c r="I61" i="2"/>
  <c r="G61" i="2"/>
  <c r="E61" i="2"/>
  <c r="AH60" i="2"/>
  <c r="AG60" i="2"/>
  <c r="AF60" i="2"/>
  <c r="AE60" i="2"/>
  <c r="AD60" i="2"/>
  <c r="AC60" i="2"/>
  <c r="AB60" i="2"/>
  <c r="AA60" i="2"/>
  <c r="Z60" i="2"/>
  <c r="Y60" i="2"/>
  <c r="W60" i="2"/>
  <c r="T60" i="2"/>
  <c r="Q60" i="2"/>
  <c r="O60" i="2"/>
  <c r="M60" i="2"/>
  <c r="K60" i="2"/>
  <c r="I60" i="2"/>
  <c r="G60" i="2"/>
  <c r="E60" i="2"/>
  <c r="AH59" i="2"/>
  <c r="AG59" i="2"/>
  <c r="AF59" i="2"/>
  <c r="AE59" i="2"/>
  <c r="AD59" i="2"/>
  <c r="AC59" i="2"/>
  <c r="AB59" i="2"/>
  <c r="AA59" i="2"/>
  <c r="Z59" i="2"/>
  <c r="Y59" i="2"/>
  <c r="W59" i="2"/>
  <c r="T59" i="2"/>
  <c r="Q59" i="2"/>
  <c r="O59" i="2"/>
  <c r="M59" i="2"/>
  <c r="K59" i="2"/>
  <c r="I59" i="2"/>
  <c r="G59" i="2"/>
  <c r="E59" i="2"/>
  <c r="AH58" i="2"/>
  <c r="AG58" i="2"/>
  <c r="AF58" i="2"/>
  <c r="AE58" i="2"/>
  <c r="AD58" i="2"/>
  <c r="AC58" i="2"/>
  <c r="AB58" i="2"/>
  <c r="AA58" i="2"/>
  <c r="Z58" i="2"/>
  <c r="Y58" i="2"/>
  <c r="W58" i="2"/>
  <c r="T58" i="2"/>
  <c r="Q58" i="2"/>
  <c r="O58" i="2"/>
  <c r="M58" i="2"/>
  <c r="K58" i="2"/>
  <c r="I58" i="2"/>
  <c r="G58" i="2"/>
  <c r="E58" i="2"/>
  <c r="AH57" i="2"/>
  <c r="AG57" i="2"/>
  <c r="AF57" i="2"/>
  <c r="AE57" i="2"/>
  <c r="AD57" i="2"/>
  <c r="AC57" i="2"/>
  <c r="AB57" i="2"/>
  <c r="AA57" i="2"/>
  <c r="Z57" i="2"/>
  <c r="Y57" i="2"/>
  <c r="W57" i="2"/>
  <c r="T57" i="2"/>
  <c r="Q57" i="2"/>
  <c r="O57" i="2"/>
  <c r="M57" i="2"/>
  <c r="K57" i="2"/>
  <c r="I57" i="2"/>
  <c r="G57" i="2"/>
  <c r="E57" i="2"/>
  <c r="AH56" i="2"/>
  <c r="AG56" i="2"/>
  <c r="AF56" i="2"/>
  <c r="AE56" i="2"/>
  <c r="AD56" i="2"/>
  <c r="AC56" i="2"/>
  <c r="AB56" i="2"/>
  <c r="AA56" i="2"/>
  <c r="Z56" i="2"/>
  <c r="Y56" i="2"/>
  <c r="W56" i="2"/>
  <c r="T56" i="2"/>
  <c r="Q56" i="2"/>
  <c r="O56" i="2"/>
  <c r="M56" i="2"/>
  <c r="K56" i="2"/>
  <c r="I56" i="2"/>
  <c r="G56" i="2"/>
  <c r="E56" i="2"/>
  <c r="AH55" i="2"/>
  <c r="AG55" i="2"/>
  <c r="AF55" i="2"/>
  <c r="AE55" i="2"/>
  <c r="AD55" i="2"/>
  <c r="AC55" i="2"/>
  <c r="AB55" i="2"/>
  <c r="AA55" i="2"/>
  <c r="Z55" i="2"/>
  <c r="Y55" i="2"/>
  <c r="W55" i="2"/>
  <c r="T55" i="2"/>
  <c r="Q55" i="2"/>
  <c r="O55" i="2"/>
  <c r="M55" i="2"/>
  <c r="K55" i="2"/>
  <c r="I55" i="2"/>
  <c r="G55" i="2"/>
  <c r="E55" i="2"/>
  <c r="AH54" i="2"/>
  <c r="AG54" i="2"/>
  <c r="AF54" i="2"/>
  <c r="AE54" i="2"/>
  <c r="AD54" i="2"/>
  <c r="AC54" i="2"/>
  <c r="AB54" i="2"/>
  <c r="AA54" i="2"/>
  <c r="Z54" i="2"/>
  <c r="Y54" i="2"/>
  <c r="W54" i="2"/>
  <c r="T54" i="2"/>
  <c r="Q54" i="2"/>
  <c r="O54" i="2"/>
  <c r="M54" i="2"/>
  <c r="K54" i="2"/>
  <c r="I54" i="2"/>
  <c r="G54" i="2"/>
  <c r="E54" i="2"/>
  <c r="AH53" i="2"/>
  <c r="AG53" i="2"/>
  <c r="AF53" i="2"/>
  <c r="AE53" i="2"/>
  <c r="AD53" i="2"/>
  <c r="AC53" i="2"/>
  <c r="AB53" i="2"/>
  <c r="AA53" i="2"/>
  <c r="Z53" i="2"/>
  <c r="Y53" i="2"/>
  <c r="W53" i="2"/>
  <c r="T53" i="2"/>
  <c r="Q53" i="2"/>
  <c r="O53" i="2"/>
  <c r="M53" i="2"/>
  <c r="K53" i="2"/>
  <c r="I53" i="2"/>
  <c r="G53" i="2"/>
  <c r="E53" i="2"/>
  <c r="AH52" i="2"/>
  <c r="AG52" i="2"/>
  <c r="AF52" i="2"/>
  <c r="AE52" i="2"/>
  <c r="AD52" i="2"/>
  <c r="AC52" i="2"/>
  <c r="AB52" i="2"/>
  <c r="AA52" i="2"/>
  <c r="Z52" i="2"/>
  <c r="Y52" i="2"/>
  <c r="W52" i="2"/>
  <c r="T52" i="2"/>
  <c r="Q52" i="2"/>
  <c r="O52" i="2"/>
  <c r="M52" i="2"/>
  <c r="K52" i="2"/>
  <c r="I52" i="2"/>
  <c r="G52" i="2"/>
  <c r="E52" i="2"/>
  <c r="AH51" i="2"/>
  <c r="AG51" i="2"/>
  <c r="AF51" i="2"/>
  <c r="AE51" i="2"/>
  <c r="AD51" i="2"/>
  <c r="AC51" i="2"/>
  <c r="AB51" i="2"/>
  <c r="AA51" i="2"/>
  <c r="Z51" i="2"/>
  <c r="Y51" i="2"/>
  <c r="W51" i="2"/>
  <c r="T51" i="2"/>
  <c r="Q51" i="2"/>
  <c r="O51" i="2"/>
  <c r="M51" i="2"/>
  <c r="K51" i="2"/>
  <c r="I51" i="2"/>
  <c r="G51" i="2"/>
  <c r="E51" i="2"/>
  <c r="AH50" i="2"/>
  <c r="AG50" i="2"/>
  <c r="AF50" i="2"/>
  <c r="AE50" i="2"/>
  <c r="AD50" i="2"/>
  <c r="AC50" i="2"/>
  <c r="AB50" i="2"/>
  <c r="AA50" i="2"/>
  <c r="Z50" i="2"/>
  <c r="Y50" i="2"/>
  <c r="W50" i="2"/>
  <c r="T50" i="2"/>
  <c r="Q50" i="2"/>
  <c r="O50" i="2"/>
  <c r="M50" i="2"/>
  <c r="K50" i="2"/>
  <c r="I50" i="2"/>
  <c r="G50" i="2"/>
  <c r="E50" i="2"/>
  <c r="AH49" i="2"/>
  <c r="AG49" i="2"/>
  <c r="AF49" i="2"/>
  <c r="AE49" i="2"/>
  <c r="AD49" i="2"/>
  <c r="AC49" i="2"/>
  <c r="AB49" i="2"/>
  <c r="AA49" i="2"/>
  <c r="Z49" i="2"/>
  <c r="Y49" i="2"/>
  <c r="W49" i="2"/>
  <c r="T49" i="2"/>
  <c r="Q49" i="2"/>
  <c r="O49" i="2"/>
  <c r="M49" i="2"/>
  <c r="K49" i="2"/>
  <c r="I49" i="2"/>
  <c r="G49" i="2"/>
  <c r="E49" i="2"/>
  <c r="AH48" i="2"/>
  <c r="AG48" i="2"/>
  <c r="AF48" i="2"/>
  <c r="AE48" i="2"/>
  <c r="AD48" i="2"/>
  <c r="AC48" i="2"/>
  <c r="AB48" i="2"/>
  <c r="AA48" i="2"/>
  <c r="Z48" i="2"/>
  <c r="Y48" i="2"/>
  <c r="W48" i="2"/>
  <c r="T48" i="2"/>
  <c r="Q48" i="2"/>
  <c r="O48" i="2"/>
  <c r="M48" i="2"/>
  <c r="K48" i="2"/>
  <c r="I48" i="2"/>
  <c r="G48" i="2"/>
  <c r="E48" i="2"/>
  <c r="AH47" i="2"/>
  <c r="AG47" i="2"/>
  <c r="AF47" i="2"/>
  <c r="AE47" i="2"/>
  <c r="AD47" i="2"/>
  <c r="AC47" i="2"/>
  <c r="AB47" i="2"/>
  <c r="AA47" i="2"/>
  <c r="Z47" i="2"/>
  <c r="Y47" i="2"/>
  <c r="W47" i="2"/>
  <c r="T47" i="2"/>
  <c r="Q47" i="2"/>
  <c r="O47" i="2"/>
  <c r="M47" i="2"/>
  <c r="K47" i="2"/>
  <c r="I47" i="2"/>
  <c r="G47" i="2"/>
  <c r="E47" i="2"/>
  <c r="AH46" i="2"/>
  <c r="AG46" i="2"/>
  <c r="AF46" i="2"/>
  <c r="AE46" i="2"/>
  <c r="AD46" i="2"/>
  <c r="AC46" i="2"/>
  <c r="AB46" i="2"/>
  <c r="AA46" i="2"/>
  <c r="Z46" i="2"/>
  <c r="Y46" i="2"/>
  <c r="W46" i="2"/>
  <c r="T46" i="2"/>
  <c r="Q46" i="2"/>
  <c r="O46" i="2"/>
  <c r="M46" i="2"/>
  <c r="K46" i="2"/>
  <c r="I46" i="2"/>
  <c r="G46" i="2"/>
  <c r="E46" i="2"/>
  <c r="AH45" i="2"/>
  <c r="AG45" i="2"/>
  <c r="AF45" i="2"/>
  <c r="AE45" i="2"/>
  <c r="AD45" i="2"/>
  <c r="AC45" i="2"/>
  <c r="AB45" i="2"/>
  <c r="AA45" i="2"/>
  <c r="Z45" i="2"/>
  <c r="Y45" i="2"/>
  <c r="W45" i="2"/>
  <c r="T45" i="2"/>
  <c r="Q45" i="2"/>
  <c r="O45" i="2"/>
  <c r="M45" i="2"/>
  <c r="K45" i="2"/>
  <c r="I45" i="2"/>
  <c r="G45" i="2"/>
  <c r="E45" i="2"/>
  <c r="AH44" i="2"/>
  <c r="AG44" i="2"/>
  <c r="AF44" i="2"/>
  <c r="AE44" i="2"/>
  <c r="AD44" i="2"/>
  <c r="AC44" i="2"/>
  <c r="AB44" i="2"/>
  <c r="AA44" i="2"/>
  <c r="Z44" i="2"/>
  <c r="Y44" i="2"/>
  <c r="W44" i="2"/>
  <c r="T44" i="2"/>
  <c r="Q44" i="2"/>
  <c r="O44" i="2"/>
  <c r="M44" i="2"/>
  <c r="K44" i="2"/>
  <c r="I44" i="2"/>
  <c r="G44" i="2"/>
  <c r="E44" i="2"/>
  <c r="AH43" i="2"/>
  <c r="AG43" i="2"/>
  <c r="AF43" i="2"/>
  <c r="AE43" i="2"/>
  <c r="AD43" i="2"/>
  <c r="AC43" i="2"/>
  <c r="AB43" i="2"/>
  <c r="AA43" i="2"/>
  <c r="Z43" i="2"/>
  <c r="Y43" i="2"/>
  <c r="W43" i="2"/>
  <c r="T43" i="2"/>
  <c r="Q43" i="2"/>
  <c r="O43" i="2"/>
  <c r="M43" i="2"/>
  <c r="K43" i="2"/>
  <c r="I43" i="2"/>
  <c r="G43" i="2"/>
  <c r="E43" i="2"/>
  <c r="AH42" i="2"/>
  <c r="AG42" i="2"/>
  <c r="AF42" i="2"/>
  <c r="AE42" i="2"/>
  <c r="AD42" i="2"/>
  <c r="AC42" i="2"/>
  <c r="AB42" i="2"/>
  <c r="AA42" i="2"/>
  <c r="Z42" i="2"/>
  <c r="Y42" i="2"/>
  <c r="W42" i="2"/>
  <c r="T42" i="2"/>
  <c r="Q42" i="2"/>
  <c r="O42" i="2"/>
  <c r="M42" i="2"/>
  <c r="K42" i="2"/>
  <c r="I42" i="2"/>
  <c r="G42" i="2"/>
  <c r="E42" i="2"/>
  <c r="AH41" i="2"/>
  <c r="AG41" i="2"/>
  <c r="AF41" i="2"/>
  <c r="AE41" i="2"/>
  <c r="AD41" i="2"/>
  <c r="AC41" i="2"/>
  <c r="AB41" i="2"/>
  <c r="AA41" i="2"/>
  <c r="Z41" i="2"/>
  <c r="Y41" i="2"/>
  <c r="W41" i="2"/>
  <c r="T41" i="2"/>
  <c r="Q41" i="2"/>
  <c r="O41" i="2"/>
  <c r="M41" i="2"/>
  <c r="K41" i="2"/>
  <c r="I41" i="2"/>
  <c r="G41" i="2"/>
  <c r="E41" i="2"/>
  <c r="AH40" i="2"/>
  <c r="AG40" i="2"/>
  <c r="AF40" i="2"/>
  <c r="AE40" i="2"/>
  <c r="AD40" i="2"/>
  <c r="AC40" i="2"/>
  <c r="AB40" i="2"/>
  <c r="AA40" i="2"/>
  <c r="Z40" i="2"/>
  <c r="Y40" i="2"/>
  <c r="W40" i="2"/>
  <c r="T40" i="2"/>
  <c r="Q40" i="2"/>
  <c r="O40" i="2"/>
  <c r="M40" i="2"/>
  <c r="K40" i="2"/>
  <c r="I40" i="2"/>
  <c r="G40" i="2"/>
  <c r="E40" i="2"/>
  <c r="AH39" i="2"/>
  <c r="AG39" i="2"/>
  <c r="AF39" i="2"/>
  <c r="AE39" i="2"/>
  <c r="AD39" i="2"/>
  <c r="AC39" i="2"/>
  <c r="AB39" i="2"/>
  <c r="AA39" i="2"/>
  <c r="Z39" i="2"/>
  <c r="Y39" i="2"/>
  <c r="W39" i="2"/>
  <c r="T39" i="2"/>
  <c r="Q39" i="2"/>
  <c r="O39" i="2"/>
  <c r="M39" i="2"/>
  <c r="K39" i="2"/>
  <c r="I39" i="2"/>
  <c r="G39" i="2"/>
  <c r="E39" i="2"/>
  <c r="AH38" i="2"/>
  <c r="AG38" i="2"/>
  <c r="AF38" i="2"/>
  <c r="AE38" i="2"/>
  <c r="AD38" i="2"/>
  <c r="AC38" i="2"/>
  <c r="AB38" i="2"/>
  <c r="AA38" i="2"/>
  <c r="Z38" i="2"/>
  <c r="Y38" i="2"/>
  <c r="W38" i="2"/>
  <c r="T38" i="2"/>
  <c r="Q38" i="2"/>
  <c r="O38" i="2"/>
  <c r="M38" i="2"/>
  <c r="K38" i="2"/>
  <c r="I38" i="2"/>
  <c r="G38" i="2"/>
  <c r="E38" i="2"/>
  <c r="AH37" i="2"/>
  <c r="AG37" i="2"/>
  <c r="AF37" i="2"/>
  <c r="AE37" i="2"/>
  <c r="AD37" i="2"/>
  <c r="AC37" i="2"/>
  <c r="AB37" i="2"/>
  <c r="AA37" i="2"/>
  <c r="Z37" i="2"/>
  <c r="Y37" i="2"/>
  <c r="W37" i="2"/>
  <c r="T37" i="2"/>
  <c r="Q37" i="2"/>
  <c r="O37" i="2"/>
  <c r="M37" i="2"/>
  <c r="K37" i="2"/>
  <c r="I37" i="2"/>
  <c r="G37" i="2"/>
  <c r="E37" i="2"/>
  <c r="AH36" i="2"/>
  <c r="AG36" i="2"/>
  <c r="AF36" i="2"/>
  <c r="AE36" i="2"/>
  <c r="AD36" i="2"/>
  <c r="AC36" i="2"/>
  <c r="AB36" i="2"/>
  <c r="AA36" i="2"/>
  <c r="Z36" i="2"/>
  <c r="Y36" i="2"/>
  <c r="W36" i="2"/>
  <c r="T36" i="2"/>
  <c r="Q36" i="2"/>
  <c r="O36" i="2"/>
  <c r="M36" i="2"/>
  <c r="K36" i="2"/>
  <c r="I36" i="2"/>
  <c r="G36" i="2"/>
  <c r="E36" i="2"/>
  <c r="AH35" i="2"/>
  <c r="AG35" i="2"/>
  <c r="AF35" i="2"/>
  <c r="AE35" i="2"/>
  <c r="AD35" i="2"/>
  <c r="AC35" i="2"/>
  <c r="AB35" i="2"/>
  <c r="AA35" i="2"/>
  <c r="Z35" i="2"/>
  <c r="Y35" i="2"/>
  <c r="W35" i="2"/>
  <c r="T35" i="2"/>
  <c r="Q35" i="2"/>
  <c r="O35" i="2"/>
  <c r="M35" i="2"/>
  <c r="K35" i="2"/>
  <c r="I35" i="2"/>
  <c r="G35" i="2"/>
  <c r="E35" i="2"/>
  <c r="AH34" i="2"/>
  <c r="AG34" i="2"/>
  <c r="AF34" i="2"/>
  <c r="AE34" i="2"/>
  <c r="AD34" i="2"/>
  <c r="AC34" i="2"/>
  <c r="AB34" i="2"/>
  <c r="AA34" i="2"/>
  <c r="Z34" i="2"/>
  <c r="Y34" i="2"/>
  <c r="W34" i="2"/>
  <c r="T34" i="2"/>
  <c r="Q34" i="2"/>
  <c r="O34" i="2"/>
  <c r="M34" i="2"/>
  <c r="K34" i="2"/>
  <c r="I34" i="2"/>
  <c r="G34" i="2"/>
  <c r="E34" i="2"/>
  <c r="AH33" i="2"/>
  <c r="AG33" i="2"/>
  <c r="AF33" i="2"/>
  <c r="AE33" i="2"/>
  <c r="AD33" i="2"/>
  <c r="AC33" i="2"/>
  <c r="AB33" i="2"/>
  <c r="AA33" i="2"/>
  <c r="Z33" i="2"/>
  <c r="Y33" i="2"/>
  <c r="W33" i="2"/>
  <c r="T33" i="2"/>
  <c r="Q33" i="2"/>
  <c r="O33" i="2"/>
  <c r="M33" i="2"/>
  <c r="K33" i="2"/>
  <c r="I33" i="2"/>
  <c r="G33" i="2"/>
  <c r="E33" i="2"/>
  <c r="AH32" i="2"/>
  <c r="AG32" i="2"/>
  <c r="AF32" i="2"/>
  <c r="AE32" i="2"/>
  <c r="AD32" i="2"/>
  <c r="AC32" i="2"/>
  <c r="AB32" i="2"/>
  <c r="AA32" i="2"/>
  <c r="Z32" i="2"/>
  <c r="Y32" i="2"/>
  <c r="W32" i="2"/>
  <c r="T32" i="2"/>
  <c r="Q32" i="2"/>
  <c r="O32" i="2"/>
  <c r="M32" i="2"/>
  <c r="K32" i="2"/>
  <c r="I32" i="2"/>
  <c r="G32" i="2"/>
  <c r="E32" i="2"/>
  <c r="AH31" i="2"/>
  <c r="AG31" i="2"/>
  <c r="AF31" i="2"/>
  <c r="AE31" i="2"/>
  <c r="AD31" i="2"/>
  <c r="AC31" i="2"/>
  <c r="AB31" i="2"/>
  <c r="AA31" i="2"/>
  <c r="Z31" i="2"/>
  <c r="Y31" i="2"/>
  <c r="W31" i="2"/>
  <c r="T31" i="2"/>
  <c r="Q31" i="2"/>
  <c r="O31" i="2"/>
  <c r="M31" i="2"/>
  <c r="K31" i="2"/>
  <c r="I31" i="2"/>
  <c r="G31" i="2"/>
  <c r="E31" i="2"/>
  <c r="AH30" i="2"/>
  <c r="AG30" i="2"/>
  <c r="AF30" i="2"/>
  <c r="AE30" i="2"/>
  <c r="AD30" i="2"/>
  <c r="AC30" i="2"/>
  <c r="AB30" i="2"/>
  <c r="AA30" i="2"/>
  <c r="Z30" i="2"/>
  <c r="Y30" i="2"/>
  <c r="W30" i="2"/>
  <c r="T30" i="2"/>
  <c r="Q30" i="2"/>
  <c r="O30" i="2"/>
  <c r="M30" i="2"/>
  <c r="K30" i="2"/>
  <c r="I30" i="2"/>
  <c r="G30" i="2"/>
  <c r="E30" i="2"/>
  <c r="AH29" i="2"/>
  <c r="AG29" i="2"/>
  <c r="AF29" i="2"/>
  <c r="AE29" i="2"/>
  <c r="AD29" i="2"/>
  <c r="AC29" i="2"/>
  <c r="AB29" i="2"/>
  <c r="AA29" i="2"/>
  <c r="Z29" i="2"/>
  <c r="Y29" i="2"/>
  <c r="W29" i="2"/>
  <c r="T29" i="2"/>
  <c r="Q29" i="2"/>
  <c r="O29" i="2"/>
  <c r="M29" i="2"/>
  <c r="K29" i="2"/>
  <c r="I29" i="2"/>
  <c r="G29" i="2"/>
  <c r="E29" i="2"/>
  <c r="AH28" i="2"/>
  <c r="AG28" i="2"/>
  <c r="AF28" i="2"/>
  <c r="AE28" i="2"/>
  <c r="AD28" i="2"/>
  <c r="AC28" i="2"/>
  <c r="AB28" i="2"/>
  <c r="AA28" i="2"/>
  <c r="Z28" i="2"/>
  <c r="Y28" i="2"/>
  <c r="W28" i="2"/>
  <c r="T28" i="2"/>
  <c r="Q28" i="2"/>
  <c r="O28" i="2"/>
  <c r="M28" i="2"/>
  <c r="K28" i="2"/>
  <c r="I28" i="2"/>
  <c r="G28" i="2"/>
  <c r="E28" i="2"/>
  <c r="AH27" i="2"/>
  <c r="AG27" i="2"/>
  <c r="AF27" i="2"/>
  <c r="AE27" i="2"/>
  <c r="AD27" i="2"/>
  <c r="AC27" i="2"/>
  <c r="AB27" i="2"/>
  <c r="AA27" i="2"/>
  <c r="Z27" i="2"/>
  <c r="Y27" i="2"/>
  <c r="W27" i="2"/>
  <c r="T27" i="2"/>
  <c r="Q27" i="2"/>
  <c r="O27" i="2"/>
  <c r="M27" i="2"/>
  <c r="K27" i="2"/>
  <c r="I27" i="2"/>
  <c r="G27" i="2"/>
  <c r="E27" i="2"/>
  <c r="AH26" i="2"/>
  <c r="AG26" i="2"/>
  <c r="AF26" i="2"/>
  <c r="AE26" i="2"/>
  <c r="AD26" i="2"/>
  <c r="AC26" i="2"/>
  <c r="AB26" i="2"/>
  <c r="AA26" i="2"/>
  <c r="Z26" i="2"/>
  <c r="Y26" i="2"/>
  <c r="W26" i="2"/>
  <c r="T26" i="2"/>
  <c r="Q26" i="2"/>
  <c r="O26" i="2"/>
  <c r="M26" i="2"/>
  <c r="K26" i="2"/>
  <c r="I26" i="2"/>
  <c r="G26" i="2"/>
  <c r="E26" i="2"/>
  <c r="AH25" i="2"/>
  <c r="AG25" i="2"/>
  <c r="AF25" i="2"/>
  <c r="AE25" i="2"/>
  <c r="AD25" i="2"/>
  <c r="AC25" i="2"/>
  <c r="AB25" i="2"/>
  <c r="AA25" i="2"/>
  <c r="Z25" i="2"/>
  <c r="Y25" i="2"/>
  <c r="W25" i="2"/>
  <c r="T25" i="2"/>
  <c r="Q25" i="2"/>
  <c r="O25" i="2"/>
  <c r="M25" i="2"/>
  <c r="K25" i="2"/>
  <c r="I25" i="2"/>
  <c r="G25" i="2"/>
  <c r="E25" i="2"/>
  <c r="AH24" i="2"/>
  <c r="AG24" i="2"/>
  <c r="AF24" i="2"/>
  <c r="AE24" i="2"/>
  <c r="AD24" i="2"/>
  <c r="AC24" i="2"/>
  <c r="AB24" i="2"/>
  <c r="AA24" i="2"/>
  <c r="Z24" i="2"/>
  <c r="Y24" i="2"/>
  <c r="W24" i="2"/>
  <c r="T24" i="2"/>
  <c r="Q24" i="2"/>
  <c r="O24" i="2"/>
  <c r="M24" i="2"/>
  <c r="K24" i="2"/>
  <c r="I24" i="2"/>
  <c r="G24" i="2"/>
  <c r="E24" i="2"/>
  <c r="AH23" i="2"/>
  <c r="AG23" i="2"/>
  <c r="AF23" i="2"/>
  <c r="AE23" i="2"/>
  <c r="AD23" i="2"/>
  <c r="AC23" i="2"/>
  <c r="AB23" i="2"/>
  <c r="AA23" i="2"/>
  <c r="Z23" i="2"/>
  <c r="Y23" i="2"/>
  <c r="W23" i="2"/>
  <c r="T23" i="2"/>
  <c r="Q23" i="2"/>
  <c r="O23" i="2"/>
  <c r="M23" i="2"/>
  <c r="K23" i="2"/>
  <c r="I23" i="2"/>
  <c r="G23" i="2"/>
  <c r="E23" i="2"/>
  <c r="AH22" i="2"/>
  <c r="AG22" i="2"/>
  <c r="AF22" i="2"/>
  <c r="AE22" i="2"/>
  <c r="AD22" i="2"/>
  <c r="AC22" i="2"/>
  <c r="AB22" i="2"/>
  <c r="AA22" i="2"/>
  <c r="Z22" i="2"/>
  <c r="Y22" i="2"/>
  <c r="W22" i="2"/>
  <c r="T22" i="2"/>
  <c r="Q22" i="2"/>
  <c r="O22" i="2"/>
  <c r="M22" i="2"/>
  <c r="K22" i="2"/>
  <c r="I22" i="2"/>
  <c r="G22" i="2"/>
  <c r="E22" i="2"/>
  <c r="AH21" i="2"/>
  <c r="AG21" i="2"/>
  <c r="AF21" i="2"/>
  <c r="AE21" i="2"/>
  <c r="AD21" i="2"/>
  <c r="AC21" i="2"/>
  <c r="AB21" i="2"/>
  <c r="AA21" i="2"/>
  <c r="Z21" i="2"/>
  <c r="Y21" i="2"/>
  <c r="W21" i="2"/>
  <c r="T21" i="2"/>
  <c r="Q21" i="2"/>
  <c r="O21" i="2"/>
  <c r="M21" i="2"/>
  <c r="K21" i="2"/>
  <c r="I21" i="2"/>
  <c r="G21" i="2"/>
  <c r="E21" i="2"/>
  <c r="AH20" i="2"/>
  <c r="AG20" i="2"/>
  <c r="AF20" i="2"/>
  <c r="AE20" i="2"/>
  <c r="AD20" i="2"/>
  <c r="AC20" i="2"/>
  <c r="AB20" i="2"/>
  <c r="AA20" i="2"/>
  <c r="Z20" i="2"/>
  <c r="Y20" i="2"/>
  <c r="W20" i="2"/>
  <c r="T20" i="2"/>
  <c r="Q20" i="2"/>
  <c r="O20" i="2"/>
  <c r="M20" i="2"/>
  <c r="K20" i="2"/>
  <c r="I20" i="2"/>
  <c r="G20" i="2"/>
  <c r="E20" i="2"/>
  <c r="AH19" i="2"/>
  <c r="AG19" i="2"/>
  <c r="AF19" i="2"/>
  <c r="AE19" i="2"/>
  <c r="AD19" i="2"/>
  <c r="AC19" i="2"/>
  <c r="AB19" i="2"/>
  <c r="AA19" i="2"/>
  <c r="Z19" i="2"/>
  <c r="Y19" i="2"/>
  <c r="W19" i="2"/>
  <c r="T19" i="2"/>
  <c r="Q19" i="2"/>
  <c r="O19" i="2"/>
  <c r="M19" i="2"/>
  <c r="K19" i="2"/>
  <c r="I19" i="2"/>
  <c r="G19" i="2"/>
  <c r="E19" i="2"/>
  <c r="AH18" i="2"/>
  <c r="AG18" i="2"/>
  <c r="AF18" i="2"/>
  <c r="AE18" i="2"/>
  <c r="AD18" i="2"/>
  <c r="AC18" i="2"/>
  <c r="AB18" i="2"/>
  <c r="AA18" i="2"/>
  <c r="Z18" i="2"/>
  <c r="Y18" i="2"/>
  <c r="W18" i="2"/>
  <c r="T18" i="2"/>
  <c r="Q18" i="2"/>
  <c r="O18" i="2"/>
  <c r="M18" i="2"/>
  <c r="K18" i="2"/>
  <c r="I18" i="2"/>
  <c r="G18" i="2"/>
  <c r="E18" i="2"/>
  <c r="AH17" i="2"/>
  <c r="AG17" i="2"/>
  <c r="AF17" i="2"/>
  <c r="AE17" i="2"/>
  <c r="AD17" i="2"/>
  <c r="AC17" i="2"/>
  <c r="AB17" i="2"/>
  <c r="AA17" i="2"/>
  <c r="Z17" i="2"/>
  <c r="Y17" i="2"/>
  <c r="W17" i="2"/>
  <c r="T17" i="2"/>
  <c r="Q17" i="2"/>
  <c r="O17" i="2"/>
  <c r="M17" i="2"/>
  <c r="K17" i="2"/>
  <c r="I17" i="2"/>
  <c r="G17" i="2"/>
  <c r="E17" i="2"/>
  <c r="AH16" i="2"/>
  <c r="AG16" i="2"/>
  <c r="AF16" i="2"/>
  <c r="AE16" i="2"/>
  <c r="AD16" i="2"/>
  <c r="AC16" i="2"/>
  <c r="AB16" i="2"/>
  <c r="AA16" i="2"/>
  <c r="Z16" i="2"/>
  <c r="Y16" i="2"/>
  <c r="W16" i="2"/>
  <c r="T16" i="2"/>
  <c r="Q16" i="2"/>
  <c r="O16" i="2"/>
  <c r="M16" i="2"/>
  <c r="K16" i="2"/>
  <c r="I16" i="2"/>
  <c r="G16" i="2"/>
  <c r="E16" i="2"/>
  <c r="AH15" i="2"/>
  <c r="AG15" i="2"/>
  <c r="AF15" i="2"/>
  <c r="AE15" i="2"/>
  <c r="AD15" i="2"/>
  <c r="AC15" i="2"/>
  <c r="AB15" i="2"/>
  <c r="AA15" i="2"/>
  <c r="Z15" i="2"/>
  <c r="Y15" i="2"/>
  <c r="W15" i="2"/>
  <c r="T15" i="2"/>
  <c r="Q15" i="2"/>
  <c r="O15" i="2"/>
  <c r="M15" i="2"/>
  <c r="K15" i="2"/>
  <c r="I15" i="2"/>
  <c r="G15" i="2"/>
  <c r="E15" i="2"/>
  <c r="AH14" i="2"/>
  <c r="AG14" i="2"/>
  <c r="AF14" i="2"/>
  <c r="AE14" i="2"/>
  <c r="AD14" i="2"/>
  <c r="AC14" i="2"/>
  <c r="AB14" i="2"/>
  <c r="AA14" i="2"/>
  <c r="Z14" i="2"/>
  <c r="Y14" i="2"/>
  <c r="W14" i="2"/>
  <c r="T14" i="2"/>
  <c r="Q14" i="2"/>
  <c r="O14" i="2"/>
  <c r="M14" i="2"/>
  <c r="K14" i="2"/>
  <c r="I14" i="2"/>
  <c r="G14" i="2"/>
  <c r="E14" i="2"/>
  <c r="AH13" i="2"/>
  <c r="AG13" i="2"/>
  <c r="AF13" i="2"/>
  <c r="AE13" i="2"/>
  <c r="AD13" i="2"/>
  <c r="AC13" i="2"/>
  <c r="AB13" i="2"/>
  <c r="AA13" i="2"/>
  <c r="Z13" i="2"/>
  <c r="Y13" i="2"/>
  <c r="W13" i="2"/>
  <c r="T13" i="2"/>
  <c r="Q13" i="2"/>
  <c r="O13" i="2"/>
  <c r="M13" i="2"/>
  <c r="K13" i="2"/>
  <c r="I13" i="2"/>
  <c r="G13" i="2"/>
  <c r="E13" i="2"/>
  <c r="AH12" i="2"/>
  <c r="AG12" i="2"/>
  <c r="AF12" i="2"/>
  <c r="AE12" i="2"/>
  <c r="AD12" i="2"/>
  <c r="AC12" i="2"/>
  <c r="AB12" i="2"/>
  <c r="AA12" i="2"/>
  <c r="Z12" i="2"/>
  <c r="Y12" i="2"/>
  <c r="W12" i="2"/>
  <c r="T12" i="2"/>
  <c r="Q12" i="2"/>
  <c r="O12" i="2"/>
  <c r="M12" i="2"/>
  <c r="K12" i="2"/>
  <c r="I12" i="2"/>
  <c r="G12" i="2"/>
  <c r="E12" i="2"/>
  <c r="AH11" i="2"/>
  <c r="AG11" i="2"/>
  <c r="AF11" i="2"/>
  <c r="AE11" i="2"/>
  <c r="AD11" i="2"/>
  <c r="AC11" i="2"/>
  <c r="AB11" i="2"/>
  <c r="AA11" i="2"/>
  <c r="Z11" i="2"/>
  <c r="Y11" i="2"/>
  <c r="W11" i="2"/>
  <c r="T11" i="2"/>
  <c r="Q11" i="2"/>
  <c r="O11" i="2"/>
  <c r="M11" i="2"/>
  <c r="K11" i="2"/>
  <c r="I11" i="2"/>
  <c r="G11" i="2"/>
  <c r="E11" i="2"/>
  <c r="AH10" i="2"/>
  <c r="AG10" i="2"/>
  <c r="AF10" i="2"/>
  <c r="AE10" i="2"/>
  <c r="AD10" i="2"/>
  <c r="AC10" i="2"/>
  <c r="AB10" i="2"/>
  <c r="AA10" i="2"/>
  <c r="Z10" i="2"/>
  <c r="Y10" i="2"/>
  <c r="W10" i="2"/>
  <c r="T10" i="2"/>
  <c r="Q10" i="2"/>
  <c r="O10" i="2"/>
  <c r="M10" i="2"/>
  <c r="K10" i="2"/>
  <c r="I10" i="2"/>
  <c r="G10" i="2"/>
  <c r="E10" i="2"/>
  <c r="AH9" i="2"/>
  <c r="AG9" i="2"/>
  <c r="AF9" i="2"/>
  <c r="AE9" i="2"/>
  <c r="AD9" i="2"/>
  <c r="AC9" i="2"/>
  <c r="AB9" i="2"/>
  <c r="AA9" i="2"/>
  <c r="Z9" i="2"/>
  <c r="Y9" i="2"/>
  <c r="W9" i="2"/>
  <c r="T9" i="2"/>
  <c r="Q9" i="2"/>
  <c r="O9" i="2"/>
  <c r="M9" i="2"/>
  <c r="K9" i="2"/>
  <c r="I9" i="2"/>
  <c r="G9" i="2"/>
  <c r="E9" i="2"/>
  <c r="AH8" i="2"/>
  <c r="AG8" i="2"/>
  <c r="AF8" i="2"/>
  <c r="AE8" i="2"/>
  <c r="AD8" i="2"/>
  <c r="AC8" i="2"/>
  <c r="AB8" i="2"/>
  <c r="AA8" i="2"/>
  <c r="Z8" i="2"/>
  <c r="Y8" i="2"/>
  <c r="W8" i="2"/>
  <c r="T8" i="2"/>
  <c r="Q8" i="2"/>
  <c r="O8" i="2"/>
  <c r="M8" i="2"/>
  <c r="K8" i="2"/>
  <c r="I8" i="2"/>
  <c r="G8" i="2"/>
  <c r="E8" i="2"/>
  <c r="V77" i="11"/>
  <c r="S77" i="11"/>
  <c r="P77" i="11"/>
  <c r="N77" i="11"/>
  <c r="L77" i="11"/>
  <c r="J77" i="11"/>
  <c r="H77" i="11"/>
  <c r="F77" i="11"/>
  <c r="D77" i="11"/>
  <c r="V76" i="11"/>
  <c r="S76" i="11"/>
  <c r="P76" i="11"/>
  <c r="N76" i="11"/>
  <c r="L76" i="11"/>
  <c r="J76" i="11"/>
  <c r="H76" i="11"/>
  <c r="F76" i="11"/>
  <c r="D76" i="11"/>
  <c r="V75" i="11"/>
  <c r="S75" i="11"/>
  <c r="P75" i="11"/>
  <c r="N75" i="11"/>
  <c r="L75" i="11"/>
  <c r="J75" i="11"/>
  <c r="H75" i="11"/>
  <c r="F75" i="11"/>
  <c r="D75" i="11"/>
  <c r="V74" i="11"/>
  <c r="S74" i="11"/>
  <c r="P74" i="11"/>
  <c r="N74" i="11"/>
  <c r="L74" i="11"/>
  <c r="J74" i="11"/>
  <c r="H74" i="11"/>
  <c r="F74" i="11"/>
  <c r="D74" i="11"/>
  <c r="W72" i="11"/>
  <c r="T72" i="11"/>
  <c r="Q72" i="11"/>
  <c r="O72" i="11"/>
  <c r="M72" i="11"/>
  <c r="K72" i="11"/>
  <c r="I72" i="11"/>
  <c r="G72" i="11"/>
  <c r="E72" i="11"/>
  <c r="AD71" i="11"/>
  <c r="W71" i="11"/>
  <c r="T71" i="11"/>
  <c r="Q71" i="11"/>
  <c r="O71" i="11"/>
  <c r="M71" i="11"/>
  <c r="K71" i="11"/>
  <c r="I71" i="11"/>
  <c r="G71" i="11"/>
  <c r="E71" i="11"/>
  <c r="AE70" i="11"/>
  <c r="AC70" i="11"/>
  <c r="W70" i="11"/>
  <c r="T70" i="11"/>
  <c r="Q70" i="11"/>
  <c r="O70" i="11"/>
  <c r="M70" i="11"/>
  <c r="K70" i="11"/>
  <c r="I70" i="11"/>
  <c r="G70" i="11"/>
  <c r="E70" i="11"/>
  <c r="AE69" i="11"/>
  <c r="AB69" i="11"/>
  <c r="W69" i="11"/>
  <c r="T69" i="11"/>
  <c r="Q69" i="11"/>
  <c r="O69" i="11"/>
  <c r="M69" i="11"/>
  <c r="K69" i="11"/>
  <c r="I69" i="11"/>
  <c r="G69" i="11"/>
  <c r="E69" i="11"/>
  <c r="AE68" i="11"/>
  <c r="AA68" i="11"/>
  <c r="W68" i="11"/>
  <c r="T68" i="11"/>
  <c r="Q68" i="11"/>
  <c r="O68" i="11"/>
  <c r="M68" i="11"/>
  <c r="K68" i="11"/>
  <c r="I68" i="11"/>
  <c r="G68" i="11"/>
  <c r="E68" i="11"/>
  <c r="AE67" i="11"/>
  <c r="Z67" i="11"/>
  <c r="W67" i="11"/>
  <c r="T67" i="11"/>
  <c r="Q67" i="11"/>
  <c r="O67" i="11"/>
  <c r="M67" i="11"/>
  <c r="K67" i="11"/>
  <c r="I67" i="11"/>
  <c r="G67" i="11"/>
  <c r="E67" i="11"/>
  <c r="AE66" i="11"/>
  <c r="Y66" i="11"/>
  <c r="W66" i="11"/>
  <c r="T66" i="11"/>
  <c r="Q66" i="11"/>
  <c r="O66" i="11"/>
  <c r="M66" i="11"/>
  <c r="K66" i="11"/>
  <c r="I66" i="11"/>
  <c r="G66" i="11"/>
  <c r="E66" i="11"/>
  <c r="AE65" i="11"/>
  <c r="AD65" i="11"/>
  <c r="AE64" i="11"/>
  <c r="AD64" i="11"/>
  <c r="V64" i="11"/>
  <c r="S64" i="11"/>
  <c r="P64" i="11"/>
  <c r="N64" i="11"/>
  <c r="L64" i="11"/>
  <c r="J64" i="11"/>
  <c r="H64" i="11"/>
  <c r="F64" i="11"/>
  <c r="D64" i="11"/>
  <c r="AE63" i="11"/>
  <c r="AD63" i="11"/>
  <c r="V63" i="11"/>
  <c r="S63" i="11"/>
  <c r="P63" i="11"/>
  <c r="N63" i="11"/>
  <c r="L63" i="11"/>
  <c r="J63" i="11"/>
  <c r="H63" i="11"/>
  <c r="F63" i="11"/>
  <c r="D63" i="11"/>
  <c r="AH62" i="11"/>
  <c r="AG62" i="11"/>
  <c r="AF62" i="11"/>
  <c r="AE62" i="11"/>
  <c r="AD62" i="11"/>
  <c r="AC62" i="11"/>
  <c r="AB62" i="11"/>
  <c r="AA62" i="11"/>
  <c r="Z62" i="11"/>
  <c r="Y62" i="11"/>
  <c r="W62" i="11"/>
  <c r="T62" i="11"/>
  <c r="Q62" i="11"/>
  <c r="O62" i="11"/>
  <c r="M62" i="11"/>
  <c r="K62" i="11"/>
  <c r="I62" i="11"/>
  <c r="G62" i="11"/>
  <c r="E62" i="11"/>
  <c r="AH61" i="11"/>
  <c r="AG61" i="11"/>
  <c r="AF61" i="11"/>
  <c r="AE61" i="11"/>
  <c r="AD61" i="11"/>
  <c r="AC61" i="11"/>
  <c r="AB61" i="11"/>
  <c r="AA61" i="11"/>
  <c r="Z61" i="11"/>
  <c r="Y61" i="11"/>
  <c r="W61" i="11"/>
  <c r="T61" i="11"/>
  <c r="Q61" i="11"/>
  <c r="O61" i="11"/>
  <c r="M61" i="11"/>
  <c r="K61" i="11"/>
  <c r="I61" i="11"/>
  <c r="G61" i="11"/>
  <c r="E61" i="11"/>
  <c r="AH60" i="11"/>
  <c r="AG60" i="11"/>
  <c r="AF60" i="11"/>
  <c r="AE60" i="11"/>
  <c r="AD60" i="11"/>
  <c r="AC60" i="11"/>
  <c r="AB60" i="11"/>
  <c r="AA60" i="11"/>
  <c r="Z60" i="11"/>
  <c r="Y60" i="11"/>
  <c r="W60" i="11"/>
  <c r="T60" i="11"/>
  <c r="Q60" i="11"/>
  <c r="O60" i="11"/>
  <c r="M60" i="11"/>
  <c r="K60" i="11"/>
  <c r="I60" i="11"/>
  <c r="G60" i="11"/>
  <c r="E60" i="11"/>
  <c r="AH59" i="11"/>
  <c r="AG59" i="11"/>
  <c r="AF59" i="11"/>
  <c r="AE59" i="11"/>
  <c r="AD59" i="11"/>
  <c r="AC59" i="11"/>
  <c r="AB59" i="11"/>
  <c r="AA59" i="11"/>
  <c r="Z59" i="11"/>
  <c r="Y59" i="11"/>
  <c r="W59" i="11"/>
  <c r="T59" i="11"/>
  <c r="Q59" i="11"/>
  <c r="O59" i="11"/>
  <c r="M59" i="11"/>
  <c r="K59" i="11"/>
  <c r="I59" i="11"/>
  <c r="G59" i="11"/>
  <c r="E59" i="11"/>
  <c r="AH58" i="11"/>
  <c r="AG58" i="11"/>
  <c r="AF58" i="11"/>
  <c r="AE58" i="11"/>
  <c r="AD58" i="11"/>
  <c r="AC58" i="11"/>
  <c r="AB58" i="11"/>
  <c r="AA58" i="11"/>
  <c r="Z58" i="11"/>
  <c r="Y58" i="11"/>
  <c r="W58" i="11"/>
  <c r="T58" i="11"/>
  <c r="Q58" i="11"/>
  <c r="O58" i="11"/>
  <c r="M58" i="11"/>
  <c r="K58" i="11"/>
  <c r="I58" i="11"/>
  <c r="G58" i="11"/>
  <c r="E58" i="11"/>
  <c r="AH57" i="11"/>
  <c r="AG57" i="11"/>
  <c r="AF57" i="11"/>
  <c r="AE57" i="11"/>
  <c r="AD57" i="11"/>
  <c r="AC57" i="11"/>
  <c r="AB57" i="11"/>
  <c r="AA57" i="11"/>
  <c r="Z57" i="11"/>
  <c r="Y57" i="11"/>
  <c r="W57" i="11"/>
  <c r="T57" i="11"/>
  <c r="Q57" i="11"/>
  <c r="O57" i="11"/>
  <c r="M57" i="11"/>
  <c r="K57" i="11"/>
  <c r="I57" i="11"/>
  <c r="G57" i="11"/>
  <c r="E57" i="11"/>
  <c r="AH56" i="11"/>
  <c r="AG56" i="11"/>
  <c r="AF56" i="11"/>
  <c r="AE56" i="11"/>
  <c r="AD56" i="11"/>
  <c r="AC56" i="11"/>
  <c r="AB56" i="11"/>
  <c r="AA56" i="11"/>
  <c r="Z56" i="11"/>
  <c r="Y56" i="11"/>
  <c r="W56" i="11"/>
  <c r="T56" i="11"/>
  <c r="Q56" i="11"/>
  <c r="O56" i="11"/>
  <c r="M56" i="11"/>
  <c r="K56" i="11"/>
  <c r="I56" i="11"/>
  <c r="G56" i="11"/>
  <c r="E56" i="11"/>
  <c r="AH55" i="11"/>
  <c r="AG55" i="11"/>
  <c r="AF55" i="11"/>
  <c r="AE55" i="11"/>
  <c r="AD55" i="11"/>
  <c r="AC55" i="11"/>
  <c r="AB55" i="11"/>
  <c r="AA55" i="11"/>
  <c r="Z55" i="11"/>
  <c r="Y55" i="11"/>
  <c r="W55" i="11"/>
  <c r="T55" i="11"/>
  <c r="Q55" i="11"/>
  <c r="O55" i="11"/>
  <c r="M55" i="11"/>
  <c r="K55" i="11"/>
  <c r="I55" i="11"/>
  <c r="G55" i="11"/>
  <c r="E55" i="11"/>
  <c r="AH54" i="11"/>
  <c r="AG54" i="11"/>
  <c r="AF54" i="11"/>
  <c r="AE54" i="11"/>
  <c r="AD54" i="11"/>
  <c r="AC54" i="11"/>
  <c r="AB54" i="11"/>
  <c r="AA54" i="11"/>
  <c r="Z54" i="11"/>
  <c r="Y54" i="11"/>
  <c r="W54" i="11"/>
  <c r="T54" i="11"/>
  <c r="Q54" i="11"/>
  <c r="O54" i="11"/>
  <c r="M54" i="11"/>
  <c r="K54" i="11"/>
  <c r="I54" i="11"/>
  <c r="G54" i="11"/>
  <c r="E54" i="11"/>
  <c r="AH53" i="11"/>
  <c r="AG53" i="11"/>
  <c r="AF53" i="11"/>
  <c r="AE53" i="11"/>
  <c r="AD53" i="11"/>
  <c r="AC53" i="11"/>
  <c r="AB53" i="11"/>
  <c r="AA53" i="11"/>
  <c r="Z53" i="11"/>
  <c r="Y53" i="11"/>
  <c r="W53" i="11"/>
  <c r="T53" i="11"/>
  <c r="Q53" i="11"/>
  <c r="O53" i="11"/>
  <c r="M53" i="11"/>
  <c r="K53" i="11"/>
  <c r="I53" i="11"/>
  <c r="G53" i="11"/>
  <c r="E53" i="11"/>
  <c r="AH52" i="11"/>
  <c r="AG52" i="11"/>
  <c r="AF52" i="11"/>
  <c r="AE52" i="11"/>
  <c r="AD52" i="11"/>
  <c r="AC52" i="11"/>
  <c r="AB52" i="11"/>
  <c r="AA52" i="11"/>
  <c r="Z52" i="11"/>
  <c r="Y52" i="11"/>
  <c r="W52" i="11"/>
  <c r="T52" i="11"/>
  <c r="Q52" i="11"/>
  <c r="O52" i="11"/>
  <c r="M52" i="11"/>
  <c r="K52" i="11"/>
  <c r="I52" i="11"/>
  <c r="G52" i="11"/>
  <c r="E52" i="11"/>
  <c r="AH51" i="11"/>
  <c r="AG51" i="11"/>
  <c r="AF51" i="11"/>
  <c r="AE51" i="11"/>
  <c r="AD51" i="11"/>
  <c r="AC51" i="11"/>
  <c r="AB51" i="11"/>
  <c r="AA51" i="11"/>
  <c r="Z51" i="11"/>
  <c r="Y51" i="11"/>
  <c r="W51" i="11"/>
  <c r="T51" i="11"/>
  <c r="Q51" i="11"/>
  <c r="O51" i="11"/>
  <c r="M51" i="11"/>
  <c r="K51" i="11"/>
  <c r="I51" i="11"/>
  <c r="G51" i="11"/>
  <c r="E51" i="11"/>
  <c r="AH50" i="11"/>
  <c r="AG50" i="11"/>
  <c r="AF50" i="11"/>
  <c r="AE50" i="11"/>
  <c r="AD50" i="11"/>
  <c r="AC50" i="11"/>
  <c r="AB50" i="11"/>
  <c r="AA50" i="11"/>
  <c r="Z50" i="11"/>
  <c r="Y50" i="11"/>
  <c r="W50" i="11"/>
  <c r="T50" i="11"/>
  <c r="Q50" i="11"/>
  <c r="O50" i="11"/>
  <c r="M50" i="11"/>
  <c r="K50" i="11"/>
  <c r="I50" i="11"/>
  <c r="G50" i="11"/>
  <c r="E50" i="11"/>
  <c r="AH49" i="11"/>
  <c r="AG49" i="11"/>
  <c r="AF49" i="11"/>
  <c r="AE49" i="11"/>
  <c r="AD49" i="11"/>
  <c r="AC49" i="11"/>
  <c r="AB49" i="11"/>
  <c r="AA49" i="11"/>
  <c r="Z49" i="11"/>
  <c r="Y49" i="11"/>
  <c r="W49" i="11"/>
  <c r="T49" i="11"/>
  <c r="Q49" i="11"/>
  <c r="O49" i="11"/>
  <c r="M49" i="11"/>
  <c r="K49" i="11"/>
  <c r="I49" i="11"/>
  <c r="G49" i="11"/>
  <c r="E49" i="11"/>
  <c r="AH48" i="11"/>
  <c r="AG48" i="11"/>
  <c r="AF48" i="11"/>
  <c r="AE48" i="11"/>
  <c r="AD48" i="11"/>
  <c r="AC48" i="11"/>
  <c r="AB48" i="11"/>
  <c r="AA48" i="11"/>
  <c r="Z48" i="11"/>
  <c r="Y48" i="11"/>
  <c r="W48" i="11"/>
  <c r="T48" i="11"/>
  <c r="Q48" i="11"/>
  <c r="O48" i="11"/>
  <c r="M48" i="11"/>
  <c r="K48" i="11"/>
  <c r="I48" i="11"/>
  <c r="G48" i="11"/>
  <c r="E48" i="11"/>
  <c r="AH47" i="11"/>
  <c r="AG47" i="11"/>
  <c r="AF47" i="11"/>
  <c r="AE47" i="11"/>
  <c r="AD47" i="11"/>
  <c r="AC47" i="11"/>
  <c r="AB47" i="11"/>
  <c r="AA47" i="11"/>
  <c r="Z47" i="11"/>
  <c r="Y47" i="11"/>
  <c r="W47" i="11"/>
  <c r="T47" i="11"/>
  <c r="Q47" i="11"/>
  <c r="O47" i="11"/>
  <c r="M47" i="11"/>
  <c r="K47" i="11"/>
  <c r="I47" i="11"/>
  <c r="G47" i="11"/>
  <c r="E47" i="11"/>
  <c r="AH46" i="11"/>
  <c r="AG46" i="11"/>
  <c r="AF46" i="11"/>
  <c r="AE46" i="11"/>
  <c r="AD46" i="11"/>
  <c r="AC46" i="11"/>
  <c r="AB46" i="11"/>
  <c r="AA46" i="11"/>
  <c r="Z46" i="11"/>
  <c r="Y46" i="11"/>
  <c r="W46" i="11"/>
  <c r="T46" i="11"/>
  <c r="Q46" i="11"/>
  <c r="O46" i="11"/>
  <c r="M46" i="11"/>
  <c r="K46" i="11"/>
  <c r="I46" i="11"/>
  <c r="G46" i="11"/>
  <c r="E46" i="11"/>
  <c r="AH45" i="11"/>
  <c r="AG45" i="11"/>
  <c r="AF45" i="11"/>
  <c r="AE45" i="11"/>
  <c r="AD45" i="11"/>
  <c r="AC45" i="11"/>
  <c r="AB45" i="11"/>
  <c r="AA45" i="11"/>
  <c r="Z45" i="11"/>
  <c r="Y45" i="11"/>
  <c r="W45" i="11"/>
  <c r="T45" i="11"/>
  <c r="Q45" i="11"/>
  <c r="O45" i="11"/>
  <c r="M45" i="11"/>
  <c r="K45" i="11"/>
  <c r="I45" i="11"/>
  <c r="G45" i="11"/>
  <c r="E45" i="11"/>
  <c r="AH44" i="11"/>
  <c r="AG44" i="11"/>
  <c r="AF44" i="11"/>
  <c r="AE44" i="11"/>
  <c r="AD44" i="11"/>
  <c r="AC44" i="11"/>
  <c r="AB44" i="11"/>
  <c r="AA44" i="11"/>
  <c r="Z44" i="11"/>
  <c r="Y44" i="11"/>
  <c r="W44" i="11"/>
  <c r="T44" i="11"/>
  <c r="Q44" i="11"/>
  <c r="O44" i="11"/>
  <c r="M44" i="11"/>
  <c r="K44" i="11"/>
  <c r="I44" i="11"/>
  <c r="G44" i="11"/>
  <c r="E44" i="11"/>
  <c r="AH43" i="11"/>
  <c r="AG43" i="11"/>
  <c r="AF43" i="11"/>
  <c r="AE43" i="11"/>
  <c r="AD43" i="11"/>
  <c r="AC43" i="11"/>
  <c r="AB43" i="11"/>
  <c r="AA43" i="11"/>
  <c r="Z43" i="11"/>
  <c r="Y43" i="11"/>
  <c r="W43" i="11"/>
  <c r="T43" i="11"/>
  <c r="Q43" i="11"/>
  <c r="O43" i="11"/>
  <c r="M43" i="11"/>
  <c r="K43" i="11"/>
  <c r="I43" i="11"/>
  <c r="G43" i="11"/>
  <c r="E43" i="11"/>
  <c r="AH42" i="11"/>
  <c r="AG42" i="11"/>
  <c r="AF42" i="11"/>
  <c r="AE42" i="11"/>
  <c r="AD42" i="11"/>
  <c r="AC42" i="11"/>
  <c r="AB42" i="11"/>
  <c r="AA42" i="11"/>
  <c r="Z42" i="11"/>
  <c r="Y42" i="11"/>
  <c r="W42" i="11"/>
  <c r="T42" i="11"/>
  <c r="Q42" i="11"/>
  <c r="O42" i="11"/>
  <c r="M42" i="11"/>
  <c r="K42" i="11"/>
  <c r="I42" i="11"/>
  <c r="G42" i="11"/>
  <c r="E42" i="11"/>
  <c r="AH41" i="11"/>
  <c r="AG41" i="11"/>
  <c r="AF41" i="11"/>
  <c r="AE41" i="11"/>
  <c r="AD41" i="11"/>
  <c r="AC41" i="11"/>
  <c r="AB41" i="11"/>
  <c r="AA41" i="11"/>
  <c r="Z41" i="11"/>
  <c r="Y41" i="11"/>
  <c r="W41" i="11"/>
  <c r="T41" i="11"/>
  <c r="Q41" i="11"/>
  <c r="O41" i="11"/>
  <c r="M41" i="11"/>
  <c r="K41" i="11"/>
  <c r="I41" i="11"/>
  <c r="G41" i="11"/>
  <c r="E41" i="11"/>
  <c r="AH40" i="11"/>
  <c r="AG40" i="11"/>
  <c r="AF40" i="11"/>
  <c r="AE40" i="11"/>
  <c r="AD40" i="11"/>
  <c r="AC40" i="11"/>
  <c r="AB40" i="11"/>
  <c r="AA40" i="11"/>
  <c r="Z40" i="11"/>
  <c r="Y40" i="11"/>
  <c r="W40" i="11"/>
  <c r="T40" i="11"/>
  <c r="Q40" i="11"/>
  <c r="O40" i="11"/>
  <c r="M40" i="11"/>
  <c r="K40" i="11"/>
  <c r="I40" i="11"/>
  <c r="G40" i="11"/>
  <c r="E40" i="11"/>
  <c r="AH39" i="11"/>
  <c r="AG39" i="11"/>
  <c r="AF39" i="11"/>
  <c r="AE39" i="11"/>
  <c r="AD39" i="11"/>
  <c r="AC39" i="11"/>
  <c r="AB39" i="11"/>
  <c r="AA39" i="11"/>
  <c r="Z39" i="11"/>
  <c r="Y39" i="11"/>
  <c r="W39" i="11"/>
  <c r="T39" i="11"/>
  <c r="Q39" i="11"/>
  <c r="O39" i="11"/>
  <c r="M39" i="11"/>
  <c r="K39" i="11"/>
  <c r="I39" i="11"/>
  <c r="G39" i="11"/>
  <c r="E39" i="11"/>
  <c r="AH38" i="11"/>
  <c r="AG38" i="11"/>
  <c r="AF38" i="11"/>
  <c r="AE38" i="11"/>
  <c r="AD38" i="11"/>
  <c r="AC38" i="11"/>
  <c r="AB38" i="11"/>
  <c r="AA38" i="11"/>
  <c r="Z38" i="11"/>
  <c r="Y38" i="11"/>
  <c r="W38" i="11"/>
  <c r="T38" i="11"/>
  <c r="Q38" i="11"/>
  <c r="O38" i="11"/>
  <c r="M38" i="11"/>
  <c r="K38" i="11"/>
  <c r="I38" i="11"/>
  <c r="G38" i="11"/>
  <c r="E38" i="11"/>
  <c r="AH37" i="11"/>
  <c r="AG37" i="11"/>
  <c r="AF37" i="11"/>
  <c r="AE37" i="11"/>
  <c r="AD37" i="11"/>
  <c r="AC37" i="11"/>
  <c r="AB37" i="11"/>
  <c r="AA37" i="11"/>
  <c r="Z37" i="11"/>
  <c r="Y37" i="11"/>
  <c r="W37" i="11"/>
  <c r="T37" i="11"/>
  <c r="Q37" i="11"/>
  <c r="O37" i="11"/>
  <c r="M37" i="11"/>
  <c r="K37" i="11"/>
  <c r="I37" i="11"/>
  <c r="G37" i="11"/>
  <c r="E37" i="11"/>
  <c r="AH36" i="11"/>
  <c r="AG36" i="11"/>
  <c r="AF36" i="11"/>
  <c r="AE36" i="11"/>
  <c r="AD36" i="11"/>
  <c r="AC36" i="11"/>
  <c r="AB36" i="11"/>
  <c r="AA36" i="11"/>
  <c r="Z36" i="11"/>
  <c r="Y36" i="11"/>
  <c r="W36" i="11"/>
  <c r="T36" i="11"/>
  <c r="Q36" i="11"/>
  <c r="O36" i="11"/>
  <c r="M36" i="11"/>
  <c r="K36" i="11"/>
  <c r="I36" i="11"/>
  <c r="G36" i="11"/>
  <c r="E36" i="11"/>
  <c r="AH35" i="11"/>
  <c r="AG35" i="11"/>
  <c r="AF35" i="11"/>
  <c r="AE35" i="11"/>
  <c r="AD35" i="11"/>
  <c r="AC35" i="11"/>
  <c r="AB35" i="11"/>
  <c r="AA35" i="11"/>
  <c r="Z35" i="11"/>
  <c r="Y35" i="11"/>
  <c r="W35" i="11"/>
  <c r="T35" i="11"/>
  <c r="Q35" i="11"/>
  <c r="O35" i="11"/>
  <c r="M35" i="11"/>
  <c r="K35" i="11"/>
  <c r="I35" i="11"/>
  <c r="G35" i="11"/>
  <c r="E35" i="11"/>
  <c r="AH34" i="11"/>
  <c r="AG34" i="11"/>
  <c r="AF34" i="11"/>
  <c r="AE34" i="11"/>
  <c r="AD34" i="11"/>
  <c r="AC34" i="11"/>
  <c r="AB34" i="11"/>
  <c r="AA34" i="11"/>
  <c r="Z34" i="11"/>
  <c r="Y34" i="11"/>
  <c r="W34" i="11"/>
  <c r="T34" i="11"/>
  <c r="Q34" i="11"/>
  <c r="O34" i="11"/>
  <c r="M34" i="11"/>
  <c r="K34" i="11"/>
  <c r="I34" i="11"/>
  <c r="G34" i="11"/>
  <c r="E34" i="11"/>
  <c r="AH33" i="11"/>
  <c r="AG33" i="11"/>
  <c r="AF33" i="11"/>
  <c r="AE33" i="11"/>
  <c r="AD33" i="11"/>
  <c r="AC33" i="11"/>
  <c r="AB33" i="11"/>
  <c r="AA33" i="11"/>
  <c r="Z33" i="11"/>
  <c r="Y33" i="11"/>
  <c r="W33" i="11"/>
  <c r="T33" i="11"/>
  <c r="Q33" i="11"/>
  <c r="O33" i="11"/>
  <c r="M33" i="11"/>
  <c r="K33" i="11"/>
  <c r="I33" i="11"/>
  <c r="G33" i="11"/>
  <c r="E33" i="11"/>
  <c r="AH32" i="11"/>
  <c r="AG32" i="11"/>
  <c r="AF32" i="11"/>
  <c r="AE32" i="11"/>
  <c r="AD32" i="11"/>
  <c r="AC32" i="11"/>
  <c r="AB32" i="11"/>
  <c r="AA32" i="11"/>
  <c r="Z32" i="11"/>
  <c r="Y32" i="11"/>
  <c r="W32" i="11"/>
  <c r="T32" i="11"/>
  <c r="Q32" i="11"/>
  <c r="O32" i="11"/>
  <c r="M32" i="11"/>
  <c r="K32" i="11"/>
  <c r="I32" i="11"/>
  <c r="G32" i="11"/>
  <c r="E32" i="11"/>
  <c r="AH31" i="11"/>
  <c r="AG31" i="11"/>
  <c r="AF31" i="11"/>
  <c r="AE31" i="11"/>
  <c r="AD31" i="11"/>
  <c r="AC31" i="11"/>
  <c r="AB31" i="11"/>
  <c r="AA31" i="11"/>
  <c r="Z31" i="11"/>
  <c r="Y31" i="11"/>
  <c r="W31" i="11"/>
  <c r="T31" i="11"/>
  <c r="Q31" i="11"/>
  <c r="O31" i="11"/>
  <c r="M31" i="11"/>
  <c r="K31" i="11"/>
  <c r="I31" i="11"/>
  <c r="G31" i="11"/>
  <c r="E31" i="11"/>
  <c r="AH30" i="11"/>
  <c r="AG30" i="11"/>
  <c r="AF30" i="11"/>
  <c r="AE30" i="11"/>
  <c r="AD30" i="11"/>
  <c r="AC30" i="11"/>
  <c r="AB30" i="11"/>
  <c r="AA30" i="11"/>
  <c r="Z30" i="11"/>
  <c r="Y30" i="11"/>
  <c r="W30" i="11"/>
  <c r="T30" i="11"/>
  <c r="Q30" i="11"/>
  <c r="O30" i="11"/>
  <c r="M30" i="11"/>
  <c r="K30" i="11"/>
  <c r="I30" i="11"/>
  <c r="G30" i="11"/>
  <c r="E30" i="11"/>
  <c r="AH29" i="11"/>
  <c r="AG29" i="11"/>
  <c r="AF29" i="11"/>
  <c r="AE29" i="11"/>
  <c r="AD29" i="11"/>
  <c r="AC29" i="11"/>
  <c r="AB29" i="11"/>
  <c r="AA29" i="11"/>
  <c r="Z29" i="11"/>
  <c r="Y29" i="11"/>
  <c r="W29" i="11"/>
  <c r="T29" i="11"/>
  <c r="Q29" i="11"/>
  <c r="O29" i="11"/>
  <c r="M29" i="11"/>
  <c r="K29" i="11"/>
  <c r="I29" i="11"/>
  <c r="G29" i="11"/>
  <c r="E29" i="11"/>
  <c r="AH28" i="11"/>
  <c r="AG28" i="11"/>
  <c r="AF28" i="11"/>
  <c r="AE28" i="11"/>
  <c r="AD28" i="11"/>
  <c r="AC28" i="11"/>
  <c r="AB28" i="11"/>
  <c r="AA28" i="11"/>
  <c r="Z28" i="11"/>
  <c r="Y28" i="11"/>
  <c r="W28" i="11"/>
  <c r="T28" i="11"/>
  <c r="Q28" i="11"/>
  <c r="O28" i="11"/>
  <c r="M28" i="11"/>
  <c r="K28" i="11"/>
  <c r="I28" i="11"/>
  <c r="G28" i="11"/>
  <c r="E28" i="11"/>
  <c r="AH27" i="11"/>
  <c r="AG27" i="11"/>
  <c r="AF27" i="11"/>
  <c r="AE27" i="11"/>
  <c r="AD27" i="11"/>
  <c r="AC27" i="11"/>
  <c r="AB27" i="11"/>
  <c r="AA27" i="11"/>
  <c r="Z27" i="11"/>
  <c r="Y27" i="11"/>
  <c r="W27" i="11"/>
  <c r="T27" i="11"/>
  <c r="Q27" i="11"/>
  <c r="O27" i="11"/>
  <c r="M27" i="11"/>
  <c r="K27" i="11"/>
  <c r="I27" i="11"/>
  <c r="G27" i="11"/>
  <c r="E27" i="11"/>
  <c r="AH26" i="11"/>
  <c r="AG26" i="11"/>
  <c r="AF26" i="11"/>
  <c r="AE26" i="11"/>
  <c r="AD26" i="11"/>
  <c r="AC26" i="11"/>
  <c r="AB26" i="11"/>
  <c r="AA26" i="11"/>
  <c r="Z26" i="11"/>
  <c r="Y26" i="11"/>
  <c r="W26" i="11"/>
  <c r="T26" i="11"/>
  <c r="Q26" i="11"/>
  <c r="O26" i="11"/>
  <c r="M26" i="11"/>
  <c r="K26" i="11"/>
  <c r="I26" i="11"/>
  <c r="G26" i="11"/>
  <c r="E26" i="11"/>
  <c r="AH25" i="11"/>
  <c r="AG25" i="11"/>
  <c r="AF25" i="11"/>
  <c r="AE25" i="11"/>
  <c r="AD25" i="11"/>
  <c r="AC25" i="11"/>
  <c r="AB25" i="11"/>
  <c r="AA25" i="11"/>
  <c r="Z25" i="11"/>
  <c r="Y25" i="11"/>
  <c r="W25" i="11"/>
  <c r="T25" i="11"/>
  <c r="Q25" i="11"/>
  <c r="O25" i="11"/>
  <c r="M25" i="11"/>
  <c r="K25" i="11"/>
  <c r="I25" i="11"/>
  <c r="G25" i="11"/>
  <c r="E25" i="11"/>
  <c r="AH24" i="11"/>
  <c r="AG24" i="11"/>
  <c r="AF24" i="11"/>
  <c r="AE24" i="11"/>
  <c r="AD24" i="11"/>
  <c r="AC24" i="11"/>
  <c r="AB24" i="11"/>
  <c r="AA24" i="11"/>
  <c r="Z24" i="11"/>
  <c r="Y24" i="11"/>
  <c r="W24" i="11"/>
  <c r="T24" i="11"/>
  <c r="Q24" i="11"/>
  <c r="O24" i="11"/>
  <c r="M24" i="11"/>
  <c r="K24" i="11"/>
  <c r="I24" i="11"/>
  <c r="G24" i="11"/>
  <c r="E24" i="11"/>
  <c r="AH23" i="11"/>
  <c r="AG23" i="11"/>
  <c r="AF23" i="11"/>
  <c r="AE23" i="11"/>
  <c r="AD23" i="11"/>
  <c r="AC23" i="11"/>
  <c r="AB23" i="11"/>
  <c r="AA23" i="11"/>
  <c r="Z23" i="11"/>
  <c r="Y23" i="11"/>
  <c r="W23" i="11"/>
  <c r="T23" i="11"/>
  <c r="Q23" i="11"/>
  <c r="O23" i="11"/>
  <c r="M23" i="11"/>
  <c r="K23" i="11"/>
  <c r="I23" i="11"/>
  <c r="G23" i="11"/>
  <c r="E23" i="11"/>
  <c r="AH22" i="11"/>
  <c r="AG22" i="11"/>
  <c r="AF22" i="11"/>
  <c r="AE22" i="11"/>
  <c r="AD22" i="11"/>
  <c r="AC22" i="11"/>
  <c r="AB22" i="11"/>
  <c r="AA22" i="11"/>
  <c r="Z22" i="11"/>
  <c r="Y22" i="11"/>
  <c r="W22" i="11"/>
  <c r="T22" i="11"/>
  <c r="Q22" i="11"/>
  <c r="O22" i="11"/>
  <c r="M22" i="11"/>
  <c r="K22" i="11"/>
  <c r="I22" i="11"/>
  <c r="G22" i="11"/>
  <c r="E22" i="11"/>
  <c r="AH21" i="11"/>
  <c r="AG21" i="11"/>
  <c r="AF21" i="11"/>
  <c r="AE21" i="11"/>
  <c r="AD21" i="11"/>
  <c r="AC21" i="11"/>
  <c r="AB21" i="11"/>
  <c r="AA21" i="11"/>
  <c r="Z21" i="11"/>
  <c r="Y21" i="11"/>
  <c r="W21" i="11"/>
  <c r="T21" i="11"/>
  <c r="Q21" i="11"/>
  <c r="O21" i="11"/>
  <c r="M21" i="11"/>
  <c r="K21" i="11"/>
  <c r="I21" i="11"/>
  <c r="G21" i="11"/>
  <c r="E21" i="11"/>
  <c r="AH20" i="11"/>
  <c r="AG20" i="11"/>
  <c r="AF20" i="11"/>
  <c r="AE20" i="11"/>
  <c r="AD20" i="11"/>
  <c r="AC20" i="11"/>
  <c r="AB20" i="11"/>
  <c r="AA20" i="11"/>
  <c r="Z20" i="11"/>
  <c r="Y20" i="11"/>
  <c r="W20" i="11"/>
  <c r="T20" i="11"/>
  <c r="Q20" i="11"/>
  <c r="O20" i="11"/>
  <c r="M20" i="11"/>
  <c r="K20" i="11"/>
  <c r="I20" i="11"/>
  <c r="G20" i="11"/>
  <c r="E20" i="11"/>
  <c r="AH19" i="11"/>
  <c r="AG19" i="11"/>
  <c r="AF19" i="11"/>
  <c r="AE19" i="11"/>
  <c r="AD19" i="11"/>
  <c r="AC19" i="11"/>
  <c r="AB19" i="11"/>
  <c r="AA19" i="11"/>
  <c r="Z19" i="11"/>
  <c r="Y19" i="11"/>
  <c r="W19" i="11"/>
  <c r="T19" i="11"/>
  <c r="Q19" i="11"/>
  <c r="O19" i="11"/>
  <c r="M19" i="11"/>
  <c r="K19" i="11"/>
  <c r="I19" i="11"/>
  <c r="G19" i="11"/>
  <c r="E19" i="11"/>
  <c r="AH18" i="11"/>
  <c r="AG18" i="11"/>
  <c r="AF18" i="11"/>
  <c r="AE18" i="11"/>
  <c r="AD18" i="11"/>
  <c r="AC18" i="11"/>
  <c r="AB18" i="11"/>
  <c r="AA18" i="11"/>
  <c r="Z18" i="11"/>
  <c r="Y18" i="11"/>
  <c r="W18" i="11"/>
  <c r="T18" i="11"/>
  <c r="Q18" i="11"/>
  <c r="O18" i="11"/>
  <c r="M18" i="11"/>
  <c r="K18" i="11"/>
  <c r="I18" i="11"/>
  <c r="G18" i="11"/>
  <c r="E18" i="11"/>
  <c r="AH17" i="11"/>
  <c r="AG17" i="11"/>
  <c r="AF17" i="11"/>
  <c r="AE17" i="11"/>
  <c r="AD17" i="11"/>
  <c r="AC17" i="11"/>
  <c r="AB17" i="11"/>
  <c r="AA17" i="11"/>
  <c r="Z17" i="11"/>
  <c r="Y17" i="11"/>
  <c r="W17" i="11"/>
  <c r="T17" i="11"/>
  <c r="Q17" i="11"/>
  <c r="O17" i="11"/>
  <c r="M17" i="11"/>
  <c r="K17" i="11"/>
  <c r="I17" i="11"/>
  <c r="G17" i="11"/>
  <c r="E17" i="11"/>
  <c r="AH16" i="11"/>
  <c r="AG16" i="11"/>
  <c r="AF16" i="11"/>
  <c r="AE16" i="11"/>
  <c r="AD16" i="11"/>
  <c r="AC16" i="11"/>
  <c r="AB16" i="11"/>
  <c r="AA16" i="11"/>
  <c r="Z16" i="11"/>
  <c r="Y16" i="11"/>
  <c r="W16" i="11"/>
  <c r="T16" i="11"/>
  <c r="Q16" i="11"/>
  <c r="O16" i="11"/>
  <c r="M16" i="11"/>
  <c r="K16" i="11"/>
  <c r="I16" i="11"/>
  <c r="G16" i="11"/>
  <c r="E16" i="11"/>
  <c r="AH15" i="11"/>
  <c r="AG15" i="11"/>
  <c r="AF15" i="11"/>
  <c r="AE15" i="11"/>
  <c r="AD15" i="11"/>
  <c r="AC15" i="11"/>
  <c r="AB15" i="11"/>
  <c r="AA15" i="11"/>
  <c r="Z15" i="11"/>
  <c r="Y15" i="11"/>
  <c r="W15" i="11"/>
  <c r="T15" i="11"/>
  <c r="Q15" i="11"/>
  <c r="O15" i="11"/>
  <c r="M15" i="11"/>
  <c r="K15" i="11"/>
  <c r="I15" i="11"/>
  <c r="G15" i="11"/>
  <c r="E15" i="11"/>
  <c r="AH14" i="11"/>
  <c r="AG14" i="11"/>
  <c r="AF14" i="11"/>
  <c r="AE14" i="11"/>
  <c r="AD14" i="11"/>
  <c r="AC14" i="11"/>
  <c r="AB14" i="11"/>
  <c r="AA14" i="11"/>
  <c r="Z14" i="11"/>
  <c r="Y14" i="11"/>
  <c r="W14" i="11"/>
  <c r="T14" i="11"/>
  <c r="Q14" i="11"/>
  <c r="O14" i="11"/>
  <c r="M14" i="11"/>
  <c r="K14" i="11"/>
  <c r="I14" i="11"/>
  <c r="G14" i="11"/>
  <c r="E14" i="11"/>
  <c r="AH13" i="11"/>
  <c r="AG13" i="11"/>
  <c r="AF13" i="11"/>
  <c r="AE13" i="11"/>
  <c r="AD13" i="11"/>
  <c r="AC13" i="11"/>
  <c r="AB13" i="11"/>
  <c r="AA13" i="11"/>
  <c r="Z13" i="11"/>
  <c r="Y13" i="11"/>
  <c r="W13" i="11"/>
  <c r="T13" i="11"/>
  <c r="Q13" i="11"/>
  <c r="O13" i="11"/>
  <c r="M13" i="11"/>
  <c r="K13" i="11"/>
  <c r="I13" i="11"/>
  <c r="G13" i="11"/>
  <c r="E13" i="11"/>
  <c r="AH12" i="11"/>
  <c r="AG12" i="11"/>
  <c r="AF12" i="11"/>
  <c r="AE12" i="11"/>
  <c r="AD12" i="11"/>
  <c r="AC12" i="11"/>
  <c r="AB12" i="11"/>
  <c r="AA12" i="11"/>
  <c r="Z12" i="11"/>
  <c r="Y12" i="11"/>
  <c r="W12" i="11"/>
  <c r="T12" i="11"/>
  <c r="Q12" i="11"/>
  <c r="O12" i="11"/>
  <c r="M12" i="11"/>
  <c r="K12" i="11"/>
  <c r="I12" i="11"/>
  <c r="G12" i="11"/>
  <c r="E12" i="11"/>
  <c r="AH11" i="11"/>
  <c r="AG11" i="11"/>
  <c r="AF11" i="11"/>
  <c r="AE11" i="11"/>
  <c r="AD11" i="11"/>
  <c r="AC11" i="11"/>
  <c r="AB11" i="11"/>
  <c r="AA11" i="11"/>
  <c r="Z11" i="11"/>
  <c r="Y11" i="11"/>
  <c r="W11" i="11"/>
  <c r="T11" i="11"/>
  <c r="Q11" i="11"/>
  <c r="O11" i="11"/>
  <c r="M11" i="11"/>
  <c r="K11" i="11"/>
  <c r="I11" i="11"/>
  <c r="G11" i="11"/>
  <c r="E11" i="11"/>
  <c r="AH10" i="11"/>
  <c r="AG10" i="11"/>
  <c r="AF10" i="11"/>
  <c r="AE10" i="11"/>
  <c r="AD10" i="11"/>
  <c r="AC10" i="11"/>
  <c r="AB10" i="11"/>
  <c r="AA10" i="11"/>
  <c r="Z10" i="11"/>
  <c r="Y10" i="11"/>
  <c r="W10" i="11"/>
  <c r="T10" i="11"/>
  <c r="Q10" i="11"/>
  <c r="O10" i="11"/>
  <c r="M10" i="11"/>
  <c r="K10" i="11"/>
  <c r="I10" i="11"/>
  <c r="G10" i="11"/>
  <c r="E10" i="11"/>
  <c r="AH9" i="11"/>
  <c r="AG9" i="11"/>
  <c r="AF9" i="11"/>
  <c r="AE9" i="11"/>
  <c r="AD9" i="11"/>
  <c r="AC9" i="11"/>
  <c r="AB9" i="11"/>
  <c r="AA9" i="11"/>
  <c r="Z9" i="11"/>
  <c r="Y9" i="11"/>
  <c r="W9" i="11"/>
  <c r="T9" i="11"/>
  <c r="Q9" i="11"/>
  <c r="O9" i="11"/>
  <c r="M9" i="11"/>
  <c r="K9" i="11"/>
  <c r="I9" i="11"/>
  <c r="G9" i="11"/>
  <c r="E9" i="11"/>
  <c r="AH8" i="11"/>
  <c r="AG8" i="11"/>
  <c r="AF8" i="11"/>
  <c r="AE8" i="11"/>
  <c r="AD8" i="11"/>
  <c r="AC8" i="11"/>
  <c r="AB8" i="11"/>
  <c r="AA8" i="11"/>
  <c r="Z8" i="11"/>
  <c r="Y8" i="11"/>
  <c r="W8" i="11"/>
  <c r="T8" i="11"/>
  <c r="Q8" i="11"/>
  <c r="O8" i="11"/>
  <c r="M8" i="11"/>
  <c r="K8" i="11"/>
  <c r="I8" i="11"/>
  <c r="G8" i="11"/>
  <c r="E8" i="11"/>
</calcChain>
</file>

<file path=xl/sharedStrings.xml><?xml version="1.0" encoding="utf-8"?>
<sst xmlns="http://schemas.openxmlformats.org/spreadsheetml/2006/main" count="2026" uniqueCount="190">
  <si>
    <t>Student Achievement Levels of Grade 10 - 11</t>
  </si>
  <si>
    <t>Name of the School</t>
  </si>
  <si>
    <t>Zone</t>
  </si>
  <si>
    <t>Division</t>
  </si>
  <si>
    <t>Grade &amp; Class</t>
  </si>
  <si>
    <t>Year</t>
  </si>
  <si>
    <t>Term</t>
  </si>
  <si>
    <t>Student ID</t>
  </si>
  <si>
    <t>Subjects</t>
  </si>
  <si>
    <t>Mathematics</t>
  </si>
  <si>
    <t>Science</t>
  </si>
  <si>
    <t>First Language</t>
  </si>
  <si>
    <t>English</t>
  </si>
  <si>
    <t>Religion</t>
  </si>
  <si>
    <t>History</t>
  </si>
  <si>
    <t>Basket Subject I</t>
  </si>
  <si>
    <t>Basket Subject II</t>
  </si>
  <si>
    <t>Basket Subject III</t>
  </si>
  <si>
    <t>Student's Grade Total</t>
  </si>
  <si>
    <t>Pass=P /Fail=F</t>
  </si>
  <si>
    <t>Student's Group</t>
  </si>
  <si>
    <t>Student's Total</t>
  </si>
  <si>
    <t>Student's Average</t>
  </si>
  <si>
    <t>Student's Position</t>
  </si>
  <si>
    <t>Student's Name</t>
  </si>
  <si>
    <t>M</t>
  </si>
  <si>
    <t>G</t>
  </si>
  <si>
    <t>X</t>
  </si>
  <si>
    <t>A</t>
  </si>
  <si>
    <t>B</t>
  </si>
  <si>
    <t>C</t>
  </si>
  <si>
    <t>S</t>
  </si>
  <si>
    <t>W</t>
  </si>
  <si>
    <t>Total</t>
  </si>
  <si>
    <t>Total 'ab's</t>
  </si>
  <si>
    <t>Subject Average</t>
  </si>
  <si>
    <t>Total 'P's</t>
  </si>
  <si>
    <t>Total 'F's</t>
  </si>
  <si>
    <t>Total 'Q1's</t>
  </si>
  <si>
    <t>Grades Total for Subjects</t>
  </si>
  <si>
    <t>A - 75</t>
  </si>
  <si>
    <t>Total 'Q2's</t>
  </si>
  <si>
    <t>B - 65</t>
  </si>
  <si>
    <t>Total 'R1's</t>
  </si>
  <si>
    <t>C - 50</t>
  </si>
  <si>
    <t>Total 'R2's</t>
  </si>
  <si>
    <t>S - 40</t>
  </si>
  <si>
    <t>AB</t>
  </si>
  <si>
    <t>30 - 39</t>
  </si>
  <si>
    <t>M - Marks</t>
  </si>
  <si>
    <t>G - Grade</t>
  </si>
  <si>
    <t>20 - 29</t>
  </si>
  <si>
    <t>10 - 19</t>
  </si>
  <si>
    <t>P</t>
  </si>
  <si>
    <t>6/3 or above with mathematics &amp; first language</t>
  </si>
  <si>
    <t>0 - 09</t>
  </si>
  <si>
    <t>Q1</t>
  </si>
  <si>
    <t>Need 1 credit pass (C) to reach level 'P'</t>
  </si>
  <si>
    <t>Q2</t>
  </si>
  <si>
    <t>Need 1 ordinary pass (S) to reach level 'P'</t>
  </si>
  <si>
    <t>Basket Subject Codes</t>
  </si>
  <si>
    <t>R1</t>
  </si>
  <si>
    <t>Having &gt; or = to 35 for 5 or more subjects</t>
  </si>
  <si>
    <t>R2</t>
  </si>
  <si>
    <t xml:space="preserve">Having &gt; or = to 20 for 5 or more subjects </t>
  </si>
  <si>
    <t>X01</t>
  </si>
  <si>
    <t>Geography</t>
  </si>
  <si>
    <t>X09</t>
  </si>
  <si>
    <t>Art</t>
  </si>
  <si>
    <t>X17</t>
  </si>
  <si>
    <t>ICT</t>
  </si>
  <si>
    <t>F</t>
  </si>
  <si>
    <t>Lower than 'R2' level</t>
  </si>
  <si>
    <t>X02</t>
  </si>
  <si>
    <t>Citizenship Education</t>
  </si>
  <si>
    <t>X10</t>
  </si>
  <si>
    <t>Western Music</t>
  </si>
  <si>
    <t>X18</t>
  </si>
  <si>
    <t>Health &amp; Physical Education</t>
  </si>
  <si>
    <t>Date -</t>
  </si>
  <si>
    <t>………………………………</t>
  </si>
  <si>
    <t>X03</t>
  </si>
  <si>
    <t>Entrepreneurial Education</t>
  </si>
  <si>
    <t>X11</t>
  </si>
  <si>
    <t>Eastern Music</t>
  </si>
  <si>
    <t>X19</t>
  </si>
  <si>
    <t>Agriculture &amp; Food Technology</t>
  </si>
  <si>
    <t>X04</t>
  </si>
  <si>
    <t>Business Studies &amp; Accounts</t>
  </si>
  <si>
    <t>X12</t>
  </si>
  <si>
    <t>Dancing</t>
  </si>
  <si>
    <t>X20</t>
  </si>
  <si>
    <t>Home Economics</t>
  </si>
  <si>
    <t>Class Teacher's Signature -</t>
  </si>
  <si>
    <t>X05</t>
  </si>
  <si>
    <t>X13</t>
  </si>
  <si>
    <t>Drama &amp; Theatre</t>
  </si>
  <si>
    <t>X21</t>
  </si>
  <si>
    <t>Art &amp; Craft</t>
  </si>
  <si>
    <t>X06</t>
  </si>
  <si>
    <t>X14</t>
  </si>
  <si>
    <t>English Literature</t>
  </si>
  <si>
    <t>X22</t>
  </si>
  <si>
    <t>Communication &amp; Media Studies</t>
  </si>
  <si>
    <t>Principal's Signature &amp; Rubber Stamp -</t>
  </si>
  <si>
    <t>X07</t>
  </si>
  <si>
    <t>X15</t>
  </si>
  <si>
    <t>X23</t>
  </si>
  <si>
    <t>Design &amp; Construction Technology</t>
  </si>
  <si>
    <t>X08</t>
  </si>
  <si>
    <t>X16</t>
  </si>
  <si>
    <t>X24</t>
  </si>
  <si>
    <t>Created by : Education Development Section, Kelaniya Zonal Education Office</t>
  </si>
  <si>
    <t>11 - G</t>
  </si>
  <si>
    <t>Ishan Oshada</t>
  </si>
  <si>
    <t>Himal Lochana</t>
  </si>
  <si>
    <t>Sanula Lakvin</t>
  </si>
  <si>
    <t>Dumindu Anjana</t>
  </si>
  <si>
    <t>Lakshara Nimesh</t>
  </si>
  <si>
    <t>Maleesha Nethamal</t>
  </si>
  <si>
    <t>Nisal Pansilu</t>
  </si>
  <si>
    <t>Tharusha Nethmina</t>
  </si>
  <si>
    <t>Hasindu Lochana</t>
  </si>
  <si>
    <t>Saranga Nilupul</t>
  </si>
  <si>
    <t>Kavindu Dulanjana</t>
  </si>
  <si>
    <t>Akila Dilhara</t>
  </si>
  <si>
    <t>Kaviru Gimsara</t>
  </si>
  <si>
    <t>Pasan Pramoth</t>
  </si>
  <si>
    <t>Matheesha Wasantha</t>
  </si>
  <si>
    <t>Sahas Yasiru</t>
  </si>
  <si>
    <t>Durash Neerada</t>
  </si>
  <si>
    <t>Ashen Rashmika</t>
  </si>
  <si>
    <t>Ab</t>
  </si>
  <si>
    <t>Naditha Pawan</t>
  </si>
  <si>
    <t>Yumeth Rinsada</t>
  </si>
  <si>
    <t>Kaveesha Sanjana</t>
  </si>
  <si>
    <t>Wathsara Ashen</t>
  </si>
  <si>
    <t>Rachith Tharusha</t>
  </si>
  <si>
    <t>Malith Prabash</t>
  </si>
  <si>
    <t>Bodhitha Aminda</t>
  </si>
  <si>
    <t>Dishan Vishmitha</t>
  </si>
  <si>
    <t>Sithuki Sehasna</t>
  </si>
  <si>
    <t>Theshani Sanithma</t>
  </si>
  <si>
    <t>Pooja Sandamini</t>
  </si>
  <si>
    <t>Lakshika Sewwandi</t>
  </si>
  <si>
    <t>Sithmi Devduni</t>
  </si>
  <si>
    <t>Chamathka Shavindi</t>
  </si>
  <si>
    <t>Chenuli Thihansa</t>
  </si>
  <si>
    <t>Wathsala Heshani</t>
  </si>
  <si>
    <t>Oshini Bimaya</t>
  </si>
  <si>
    <t>Tharushi Adeesha</t>
  </si>
  <si>
    <t>Sawandana Denethmi</t>
  </si>
  <si>
    <t>Vishmi Divyangi</t>
  </si>
  <si>
    <t>Himasha Sanduni</t>
  </si>
  <si>
    <t>Sithara Kavindi</t>
  </si>
  <si>
    <t>Rashmini Chamodya</t>
  </si>
  <si>
    <t>Ashini Oshadi</t>
  </si>
  <si>
    <t>Nihansi Pasanya</t>
  </si>
  <si>
    <t>Imandi Kanithya</t>
  </si>
  <si>
    <t>Uththara Nishadi</t>
  </si>
  <si>
    <t>Chamodya Kavindi</t>
  </si>
  <si>
    <t>Grade Summary of Student Achievement Levels (Grade 10 -11)</t>
  </si>
  <si>
    <t>Grade</t>
  </si>
  <si>
    <t>Class</t>
  </si>
  <si>
    <t>D</t>
  </si>
  <si>
    <t>E</t>
  </si>
  <si>
    <t>H</t>
  </si>
  <si>
    <t>I</t>
  </si>
  <si>
    <t>J</t>
  </si>
  <si>
    <t>%</t>
  </si>
  <si>
    <t>No. of Students</t>
  </si>
  <si>
    <t>Pass</t>
  </si>
  <si>
    <t>Fail</t>
  </si>
  <si>
    <t>Student Groups</t>
  </si>
  <si>
    <t>Target</t>
  </si>
  <si>
    <t>(P+Q1+Q2+R1+R2)</t>
  </si>
  <si>
    <t>Subject Target</t>
  </si>
  <si>
    <t>Basket  Subject I</t>
  </si>
  <si>
    <t>Basket  Subject II</t>
  </si>
  <si>
    <t>Basket  Subject III</t>
  </si>
  <si>
    <r>
      <rPr>
        <b/>
        <sz val="11"/>
        <color theme="1"/>
        <rFont val="Times New Roman"/>
        <charset val="134"/>
      </rPr>
      <t xml:space="preserve"> </t>
    </r>
    <r>
      <rPr>
        <b/>
        <sz val="11"/>
        <color theme="1"/>
        <rFont val="Iskoola Pota"/>
        <charset val="134"/>
      </rPr>
      <t>⋆ Target is calculated by using the number of students who has obtained the marks more than or equal to 20.</t>
    </r>
  </si>
  <si>
    <t>……………………………..</t>
  </si>
  <si>
    <t>Date</t>
  </si>
  <si>
    <t>Sectional Head's Signature</t>
  </si>
  <si>
    <t>Principal's Signature &amp; Rubber Stamp</t>
  </si>
  <si>
    <t>Gradings</t>
  </si>
  <si>
    <t>No. of std.</t>
  </si>
  <si>
    <t>Grade Target</t>
  </si>
  <si>
    <r>
      <rPr>
        <b/>
        <sz val="11"/>
        <color theme="1"/>
        <rFont val="Times New Roman"/>
        <charset val="134"/>
      </rPr>
      <t xml:space="preserve"> </t>
    </r>
    <r>
      <rPr>
        <b/>
        <sz val="11"/>
        <color theme="1"/>
        <rFont val="Iskoola Pota"/>
        <charset val="134"/>
      </rPr>
      <t>⋆</t>
    </r>
  </si>
  <si>
    <t>Target is calculated by using the number of students who has obtained the marks more than or equal to 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</si>
</sst>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9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sz val="9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b/>
      <sz val="9"/>
      <name val="Times New Roman"/>
      <charset val="134"/>
    </font>
    <font>
      <sz val="12"/>
      <color theme="1"/>
      <name val="Times New Roman"/>
      <charset val="134"/>
    </font>
    <font>
      <b/>
      <sz val="9"/>
      <color theme="1"/>
      <name val="Times New Roman"/>
      <charset val="134"/>
    </font>
    <font>
      <sz val="16"/>
      <name val="Times New Roman"/>
      <charset val="134"/>
    </font>
    <font>
      <sz val="14"/>
      <name val="Times New Roman"/>
      <charset val="134"/>
    </font>
    <font>
      <b/>
      <sz val="13"/>
      <name val="Times New Roman"/>
      <charset val="134"/>
    </font>
    <font>
      <sz val="13"/>
      <name val="Times New Roman"/>
      <charset val="134"/>
    </font>
    <font>
      <b/>
      <sz val="12"/>
      <name val="Times New Roman"/>
      <charset val="134"/>
    </font>
    <font>
      <b/>
      <sz val="8"/>
      <name val="Times New Roman"/>
      <charset val="134"/>
    </font>
    <font>
      <sz val="13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3"/>
      <color theme="1"/>
      <name val="Times New Roman"/>
      <charset val="134"/>
    </font>
    <font>
      <sz val="8"/>
      <color theme="1"/>
      <name val="Times New Roman"/>
      <charset val="134"/>
    </font>
    <font>
      <sz val="11"/>
      <color theme="0"/>
      <name val="Times New Roman"/>
      <charset val="134"/>
    </font>
    <font>
      <b/>
      <sz val="9"/>
      <color theme="0"/>
      <name val="Times New Roman"/>
      <charset val="134"/>
    </font>
    <font>
      <sz val="9"/>
      <color theme="0"/>
      <name val="Times New Roman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Iskoola Pota"/>
      <charset val="134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3ED76"/>
        <bgColor indexed="64"/>
      </patternFill>
    </fill>
    <fill>
      <patternFill patternType="solid">
        <fgColor rgb="FF217BFF"/>
        <bgColor indexed="64"/>
      </patternFill>
    </fill>
    <fill>
      <patternFill patternType="solid">
        <fgColor rgb="FFB0D3FA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E593FF"/>
        <bgColor indexed="64"/>
      </patternFill>
    </fill>
    <fill>
      <patternFill patternType="solid">
        <fgColor rgb="FFCC7650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9" fontId="28" fillId="0" borderId="0" applyFont="0" applyFill="0" applyBorder="0" applyAlignment="0" applyProtection="0"/>
  </cellStyleXfs>
  <cellXfs count="50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8" fillId="2" borderId="11" xfId="0" applyFont="1" applyFill="1" applyBorder="1" applyAlignment="1" applyProtection="1">
      <alignment horizontal="left" vertical="center"/>
      <protection hidden="1"/>
    </xf>
    <xf numFmtId="0" fontId="9" fillId="2" borderId="12" xfId="0" applyFont="1" applyFill="1" applyBorder="1" applyAlignment="1" applyProtection="1">
      <alignment vertical="center"/>
      <protection hidden="1"/>
    </xf>
    <xf numFmtId="0" fontId="9" fillId="2" borderId="13" xfId="0" applyFont="1" applyFill="1" applyBorder="1" applyAlignment="1" applyProtection="1">
      <alignment vertic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8" fillId="2" borderId="14" xfId="0" applyFont="1" applyFill="1" applyBorder="1" applyAlignment="1" applyProtection="1">
      <alignment horizontal="left"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0" fontId="2" fillId="2" borderId="16" xfId="0" applyFont="1" applyFill="1" applyBorder="1" applyAlignment="1" applyProtection="1">
      <alignment vertical="center"/>
      <protection hidden="1"/>
    </xf>
    <xf numFmtId="0" fontId="8" fillId="0" borderId="14" xfId="0" applyFont="1" applyBorder="1" applyAlignment="1" applyProtection="1">
      <alignment horizontal="left" vertical="center"/>
      <protection hidden="1"/>
    </xf>
    <xf numFmtId="0" fontId="2" fillId="0" borderId="15" xfId="0" applyFont="1" applyBorder="1" applyAlignment="1" applyProtection="1">
      <alignment vertical="center"/>
      <protection hidden="1"/>
    </xf>
    <xf numFmtId="0" fontId="2" fillId="0" borderId="16" xfId="0" applyFont="1" applyBorder="1" applyAlignment="1" applyProtection="1">
      <alignment vertical="center"/>
      <protection hidden="1"/>
    </xf>
    <xf numFmtId="49" fontId="8" fillId="2" borderId="14" xfId="0" applyNumberFormat="1" applyFont="1" applyFill="1" applyBorder="1" applyAlignment="1" applyProtection="1">
      <alignment horizontal="center" vertical="center"/>
      <protection hidden="1"/>
    </xf>
    <xf numFmtId="49" fontId="8" fillId="0" borderId="14" xfId="0" applyNumberFormat="1" applyFont="1" applyBorder="1" applyAlignment="1" applyProtection="1">
      <alignment horizontal="center" vertical="center"/>
      <protection hidden="1"/>
    </xf>
    <xf numFmtId="49" fontId="8" fillId="0" borderId="18" xfId="0" applyNumberFormat="1" applyFont="1" applyBorder="1" applyAlignment="1" applyProtection="1">
      <alignment horizontal="center" vertical="center"/>
      <protection hidden="1"/>
    </xf>
    <xf numFmtId="0" fontId="2" fillId="0" borderId="19" xfId="0" applyFont="1" applyBorder="1" applyAlignment="1" applyProtection="1">
      <alignment vertical="center"/>
      <protection hidden="1"/>
    </xf>
    <xf numFmtId="0" fontId="2" fillId="0" borderId="20" xfId="0" applyFont="1" applyBorder="1" applyAlignment="1" applyProtection="1">
      <alignment vertical="center"/>
      <protection hidden="1"/>
    </xf>
    <xf numFmtId="49" fontId="11" fillId="3" borderId="11" xfId="0" applyNumberFormat="1" applyFont="1" applyFill="1" applyBorder="1" applyAlignment="1" applyProtection="1">
      <alignment horizontal="left" vertical="center"/>
      <protection hidden="1"/>
    </xf>
    <xf numFmtId="0" fontId="12" fillId="3" borderId="12" xfId="0" applyFont="1" applyFill="1" applyBorder="1" applyProtection="1">
      <protection hidden="1"/>
    </xf>
    <xf numFmtId="0" fontId="12" fillId="3" borderId="13" xfId="0" applyFont="1" applyFill="1" applyBorder="1" applyProtection="1">
      <protection hidden="1"/>
    </xf>
    <xf numFmtId="49" fontId="11" fillId="3" borderId="18" xfId="0" applyNumberFormat="1" applyFont="1" applyFill="1" applyBorder="1" applyAlignment="1" applyProtection="1">
      <alignment horizontal="left" vertical="center"/>
      <protection hidden="1"/>
    </xf>
    <xf numFmtId="2" fontId="12" fillId="3" borderId="21" xfId="1" applyNumberFormat="1" applyFont="1" applyFill="1" applyBorder="1" applyAlignment="1" applyProtection="1">
      <protection hidden="1"/>
    </xf>
    <xf numFmtId="2" fontId="12" fillId="3" borderId="22" xfId="1" applyNumberFormat="1" applyFont="1" applyFill="1" applyBorder="1" applyAlignment="1" applyProtection="1">
      <protection hidden="1"/>
    </xf>
    <xf numFmtId="0" fontId="8" fillId="2" borderId="23" xfId="0" applyFont="1" applyFill="1" applyBorder="1" applyAlignment="1" applyProtection="1">
      <alignment horizontal="left" vertical="center"/>
      <protection hidden="1"/>
    </xf>
    <xf numFmtId="0" fontId="8" fillId="2" borderId="24" xfId="0" applyFont="1" applyFill="1" applyBorder="1" applyAlignment="1" applyProtection="1">
      <alignment horizontal="left" vertical="center"/>
      <protection hidden="1"/>
    </xf>
    <xf numFmtId="0" fontId="8" fillId="0" borderId="24" xfId="0" applyFont="1" applyBorder="1" applyAlignment="1" applyProtection="1">
      <alignment horizontal="left" vertical="center"/>
      <protection hidden="1"/>
    </xf>
    <xf numFmtId="49" fontId="8" fillId="2" borderId="24" xfId="0" applyNumberFormat="1" applyFont="1" applyFill="1" applyBorder="1" applyAlignment="1" applyProtection="1">
      <alignment horizontal="center" vertical="center"/>
      <protection hidden="1"/>
    </xf>
    <xf numFmtId="49" fontId="8" fillId="0" borderId="24" xfId="0" applyNumberFormat="1" applyFont="1" applyBorder="1" applyAlignment="1" applyProtection="1">
      <alignment horizontal="center" vertical="center"/>
      <protection hidden="1"/>
    </xf>
    <xf numFmtId="49" fontId="8" fillId="0" borderId="25" xfId="0" applyNumberFormat="1" applyFont="1" applyBorder="1" applyAlignment="1" applyProtection="1">
      <alignment horizontal="center" vertical="center"/>
      <protection hidden="1"/>
    </xf>
    <xf numFmtId="49" fontId="11" fillId="3" borderId="6" xfId="0" applyNumberFormat="1" applyFont="1" applyFill="1" applyBorder="1" applyAlignment="1" applyProtection="1">
      <alignment horizontal="left" vertical="center"/>
      <protection hidden="1"/>
    </xf>
    <xf numFmtId="49" fontId="11" fillId="3" borderId="9" xfId="0" applyNumberFormat="1" applyFont="1" applyFill="1" applyBorder="1" applyAlignment="1" applyProtection="1">
      <alignment horizontal="left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2" fillId="2" borderId="28" xfId="0" applyFont="1" applyFill="1" applyBorder="1" applyAlignment="1" applyProtection="1">
      <alignment vertical="center"/>
      <protection hidden="1"/>
    </xf>
    <xf numFmtId="0" fontId="2" fillId="2" borderId="12" xfId="0" applyFont="1" applyFill="1" applyBorder="1" applyAlignment="1" applyProtection="1">
      <alignment vertical="center"/>
      <protection hidden="1"/>
    </xf>
    <xf numFmtId="0" fontId="2" fillId="2" borderId="29" xfId="0" applyFont="1" applyFill="1" applyBorder="1" applyAlignment="1" applyProtection="1">
      <alignment vertical="center"/>
      <protection hidden="1"/>
    </xf>
    <xf numFmtId="0" fontId="2" fillId="0" borderId="29" xfId="0" applyFont="1" applyBorder="1" applyAlignment="1" applyProtection="1">
      <alignment vertical="center"/>
      <protection hidden="1"/>
    </xf>
    <xf numFmtId="0" fontId="2" fillId="0" borderId="30" xfId="0" applyFont="1" applyBorder="1" applyAlignment="1" applyProtection="1">
      <alignment vertical="center"/>
      <protection hidden="1"/>
    </xf>
    <xf numFmtId="0" fontId="12" fillId="3" borderId="31" xfId="0" applyFont="1" applyFill="1" applyBorder="1" applyProtection="1">
      <protection hidden="1"/>
    </xf>
    <xf numFmtId="2" fontId="12" fillId="3" borderId="32" xfId="1" applyNumberFormat="1" applyFont="1" applyFill="1" applyBorder="1" applyAlignment="1" applyProtection="1"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12" fillId="3" borderId="28" xfId="0" applyFont="1" applyFill="1" applyBorder="1" applyProtection="1">
      <protection hidden="1"/>
    </xf>
    <xf numFmtId="0" fontId="12" fillId="3" borderId="33" xfId="0" applyFont="1" applyFill="1" applyBorder="1" applyProtection="1">
      <protection hidden="1"/>
    </xf>
    <xf numFmtId="2" fontId="12" fillId="3" borderId="34" xfId="1" applyNumberFormat="1" applyFont="1" applyFill="1" applyBorder="1" applyAlignment="1" applyProtection="1">
      <protection hidden="1"/>
    </xf>
    <xf numFmtId="2" fontId="12" fillId="3" borderId="35" xfId="1" applyNumberFormat="1" applyFont="1" applyFill="1" applyBorder="1" applyAlignment="1" applyProtection="1">
      <protection hidden="1"/>
    </xf>
    <xf numFmtId="49" fontId="11" fillId="3" borderId="25" xfId="0" applyNumberFormat="1" applyFont="1" applyFill="1" applyBorder="1" applyAlignment="1" applyProtection="1">
      <alignment horizontal="left" vertical="center"/>
      <protection hidden="1"/>
    </xf>
    <xf numFmtId="2" fontId="12" fillId="3" borderId="19" xfId="1" applyNumberFormat="1" applyFont="1" applyFill="1" applyBorder="1" applyAlignment="1" applyProtection="1">
      <protection hidden="1"/>
    </xf>
    <xf numFmtId="2" fontId="12" fillId="3" borderId="20" xfId="1" applyNumberFormat="1" applyFont="1" applyFill="1" applyBorder="1" applyAlignment="1" applyProtection="1">
      <protection hidden="1"/>
    </xf>
    <xf numFmtId="1" fontId="12" fillId="0" borderId="1" xfId="1" applyNumberFormat="1" applyFont="1" applyFill="1" applyBorder="1" applyAlignment="1" applyProtection="1">
      <protection hidden="1"/>
    </xf>
    <xf numFmtId="1" fontId="12" fillId="0" borderId="2" xfId="1" applyNumberFormat="1" applyFont="1" applyFill="1" applyBorder="1" applyAlignment="1" applyProtection="1">
      <protection hidden="1"/>
    </xf>
    <xf numFmtId="2" fontId="12" fillId="3" borderId="38" xfId="1" applyNumberFormat="1" applyFont="1" applyFill="1" applyBorder="1" applyAlignment="1" applyProtection="1">
      <protection hidden="1"/>
    </xf>
    <xf numFmtId="1" fontId="12" fillId="0" borderId="39" xfId="1" applyNumberFormat="1" applyFont="1" applyFill="1" applyBorder="1" applyAlignment="1" applyProtection="1">
      <protection hidden="1"/>
    </xf>
    <xf numFmtId="2" fontId="12" fillId="3" borderId="30" xfId="1" applyNumberFormat="1" applyFont="1" applyFill="1" applyBorder="1" applyAlignment="1" applyProtection="1">
      <protection hidden="1"/>
    </xf>
    <xf numFmtId="2" fontId="12" fillId="3" borderId="40" xfId="1" applyNumberFormat="1" applyFont="1" applyFill="1" applyBorder="1" applyAlignment="1" applyProtection="1">
      <protection hidden="1"/>
    </xf>
    <xf numFmtId="1" fontId="12" fillId="0" borderId="3" xfId="1" applyNumberFormat="1" applyFont="1" applyFill="1" applyBorder="1" applyAlignment="1" applyProtection="1">
      <protection hidden="1"/>
    </xf>
    <xf numFmtId="1" fontId="12" fillId="0" borderId="41" xfId="1" applyNumberFormat="1" applyFont="1" applyFill="1" applyBorder="1" applyAlignment="1" applyProtection="1">
      <protection hidden="1"/>
    </xf>
    <xf numFmtId="0" fontId="10" fillId="2" borderId="11" xfId="0" applyFont="1" applyFill="1" applyBorder="1" applyAlignment="1" applyProtection="1">
      <alignment horizontal="left"/>
      <protection hidden="1"/>
    </xf>
    <xf numFmtId="0" fontId="14" fillId="2" borderId="12" xfId="0" applyFont="1" applyFill="1" applyBorder="1" applyProtection="1">
      <protection hidden="1"/>
    </xf>
    <xf numFmtId="0" fontId="14" fillId="2" borderId="13" xfId="0" applyFont="1" applyFill="1" applyBorder="1" applyProtection="1">
      <protection hidden="1"/>
    </xf>
    <xf numFmtId="0" fontId="3" fillId="2" borderId="18" xfId="0" applyFont="1" applyFill="1" applyBorder="1" applyAlignment="1" applyProtection="1">
      <alignment horizontal="left"/>
      <protection hidden="1"/>
    </xf>
    <xf numFmtId="2" fontId="14" fillId="2" borderId="21" xfId="0" applyNumberFormat="1" applyFont="1" applyFill="1" applyBorder="1" applyProtection="1">
      <protection hidden="1"/>
    </xf>
    <xf numFmtId="2" fontId="14" fillId="2" borderId="22" xfId="0" applyNumberFormat="1" applyFont="1" applyFill="1" applyBorder="1" applyProtection="1">
      <protection hidden="1"/>
    </xf>
    <xf numFmtId="0" fontId="3" fillId="0" borderId="0" xfId="0" applyFont="1" applyProtection="1">
      <protection hidden="1"/>
    </xf>
    <xf numFmtId="0" fontId="1" fillId="0" borderId="0" xfId="0" applyFont="1" applyProtection="1">
      <protection hidden="1"/>
    </xf>
    <xf numFmtId="0" fontId="3" fillId="0" borderId="0" xfId="0" applyFont="1" applyAlignment="1" applyProtection="1">
      <alignment horizontal="right" vertical="center"/>
      <protection hidden="1"/>
    </xf>
    <xf numFmtId="0" fontId="10" fillId="0" borderId="6" xfId="0" applyFont="1" applyBorder="1" applyAlignment="1" applyProtection="1">
      <alignment horizontal="left"/>
      <protection hidden="1"/>
    </xf>
    <xf numFmtId="0" fontId="10" fillId="0" borderId="24" xfId="0" applyFont="1" applyBorder="1" applyAlignment="1" applyProtection="1">
      <alignment horizontal="left"/>
      <protection hidden="1"/>
    </xf>
    <xf numFmtId="0" fontId="10" fillId="0" borderId="9" xfId="0" applyFont="1" applyBorder="1" applyAlignment="1" applyProtection="1">
      <alignment horizontal="left"/>
      <protection hidden="1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14" fillId="2" borderId="31" xfId="0" applyFont="1" applyFill="1" applyBorder="1" applyProtection="1">
      <protection hidden="1"/>
    </xf>
    <xf numFmtId="2" fontId="14" fillId="2" borderId="32" xfId="0" applyNumberFormat="1" applyFont="1" applyFill="1" applyBorder="1" applyProtection="1">
      <protection hidden="1"/>
    </xf>
    <xf numFmtId="0" fontId="14" fillId="2" borderId="28" xfId="0" applyFont="1" applyFill="1" applyBorder="1" applyProtection="1">
      <protection hidden="1"/>
    </xf>
    <xf numFmtId="0" fontId="14" fillId="2" borderId="33" xfId="0" applyFont="1" applyFill="1" applyBorder="1" applyProtection="1">
      <protection hidden="1"/>
    </xf>
    <xf numFmtId="2" fontId="14" fillId="2" borderId="34" xfId="0" applyNumberFormat="1" applyFont="1" applyFill="1" applyBorder="1" applyProtection="1">
      <protection hidden="1"/>
    </xf>
    <xf numFmtId="2" fontId="14" fillId="2" borderId="35" xfId="0" applyNumberFormat="1" applyFont="1" applyFill="1" applyBorder="1" applyProtection="1">
      <protection hidden="1"/>
    </xf>
    <xf numFmtId="0" fontId="15" fillId="0" borderId="0" xfId="0" applyFont="1" applyProtection="1">
      <protection hidden="1"/>
    </xf>
    <xf numFmtId="0" fontId="16" fillId="0" borderId="0" xfId="0" applyFont="1" applyProtection="1">
      <protection hidden="1"/>
    </xf>
    <xf numFmtId="0" fontId="8" fillId="0" borderId="0" xfId="0" applyFont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7" fillId="0" borderId="50" xfId="0" applyFont="1" applyBorder="1" applyAlignment="1" applyProtection="1">
      <alignment horizontal="center"/>
      <protection hidden="1"/>
    </xf>
    <xf numFmtId="0" fontId="17" fillId="0" borderId="37" xfId="0" applyFont="1" applyBorder="1" applyAlignment="1" applyProtection="1">
      <alignment horizontal="center"/>
      <protection hidden="1"/>
    </xf>
    <xf numFmtId="0" fontId="11" fillId="2" borderId="6" xfId="0" applyFont="1" applyFill="1" applyBorder="1" applyProtection="1">
      <protection hidden="1"/>
    </xf>
    <xf numFmtId="0" fontId="11" fillId="2" borderId="51" xfId="0" applyFont="1" applyFill="1" applyBorder="1" applyProtection="1">
      <protection hidden="1"/>
    </xf>
    <xf numFmtId="0" fontId="11" fillId="2" borderId="23" xfId="0" applyFont="1" applyFill="1" applyBorder="1" applyProtection="1">
      <protection hidden="1"/>
    </xf>
    <xf numFmtId="0" fontId="11" fillId="2" borderId="24" xfId="0" applyFont="1" applyFill="1" applyBorder="1" applyProtection="1">
      <protection hidden="1"/>
    </xf>
    <xf numFmtId="0" fontId="11" fillId="2" borderId="52" xfId="0" applyFont="1" applyFill="1" applyBorder="1" applyProtection="1">
      <protection hidden="1"/>
    </xf>
    <xf numFmtId="0" fontId="8" fillId="0" borderId="25" xfId="0" applyFont="1" applyBorder="1" applyProtection="1">
      <protection hidden="1"/>
    </xf>
    <xf numFmtId="0" fontId="8" fillId="0" borderId="53" xfId="0" applyFont="1" applyBorder="1" applyProtection="1">
      <protection hidden="1"/>
    </xf>
    <xf numFmtId="0" fontId="11" fillId="0" borderId="50" xfId="0" applyFont="1" applyBorder="1" applyProtection="1">
      <protection hidden="1"/>
    </xf>
    <xf numFmtId="0" fontId="8" fillId="0" borderId="55" xfId="0" applyFont="1" applyBorder="1" applyProtection="1">
      <protection hidden="1"/>
    </xf>
    <xf numFmtId="0" fontId="8" fillId="0" borderId="24" xfId="0" applyFont="1" applyBorder="1" applyProtection="1">
      <protection hidden="1"/>
    </xf>
    <xf numFmtId="0" fontId="8" fillId="0" borderId="52" xfId="0" applyFont="1" applyBorder="1" applyProtection="1">
      <protection hidden="1"/>
    </xf>
    <xf numFmtId="0" fontId="8" fillId="2" borderId="14" xfId="0" applyFont="1" applyFill="1" applyBorder="1" applyProtection="1">
      <protection hidden="1"/>
    </xf>
    <xf numFmtId="0" fontId="8" fillId="2" borderId="24" xfId="0" applyFont="1" applyFill="1" applyBorder="1" applyProtection="1">
      <protection hidden="1"/>
    </xf>
    <xf numFmtId="0" fontId="8" fillId="2" borderId="52" xfId="0" applyFont="1" applyFill="1" applyBorder="1" applyProtection="1">
      <protection hidden="1"/>
    </xf>
    <xf numFmtId="0" fontId="8" fillId="0" borderId="47" xfId="0" applyFont="1" applyBorder="1" applyProtection="1">
      <protection hidden="1"/>
    </xf>
    <xf numFmtId="0" fontId="19" fillId="3" borderId="54" xfId="0" applyFont="1" applyFill="1" applyBorder="1" applyAlignment="1" applyProtection="1">
      <alignment vertical="center" wrapText="1"/>
      <protection hidden="1"/>
    </xf>
    <xf numFmtId="0" fontId="11" fillId="3" borderId="46" xfId="0" applyFont="1" applyFill="1" applyBorder="1" applyProtection="1">
      <protection hidden="1"/>
    </xf>
    <xf numFmtId="0" fontId="11" fillId="3" borderId="36" xfId="0" applyFont="1" applyFill="1" applyBorder="1" applyProtection="1">
      <protection hidden="1"/>
    </xf>
    <xf numFmtId="0" fontId="11" fillId="3" borderId="50" xfId="0" applyFont="1" applyFill="1" applyBorder="1" applyProtection="1">
      <protection hidden="1"/>
    </xf>
    <xf numFmtId="0" fontId="11" fillId="3" borderId="37" xfId="0" applyFont="1" applyFill="1" applyBorder="1" applyProtection="1">
      <protection hidden="1"/>
    </xf>
    <xf numFmtId="0" fontId="20" fillId="3" borderId="57" xfId="0" applyFont="1" applyFill="1" applyBorder="1" applyAlignment="1" applyProtection="1">
      <alignment vertical="center" wrapText="1"/>
      <protection hidden="1"/>
    </xf>
    <xf numFmtId="0" fontId="19" fillId="3" borderId="46" xfId="0" applyFont="1" applyFill="1" applyBorder="1" applyAlignment="1" applyProtection="1">
      <alignment vertical="center" wrapText="1"/>
      <protection hidden="1"/>
    </xf>
    <xf numFmtId="2" fontId="11" fillId="3" borderId="47" xfId="0" applyNumberFormat="1" applyFont="1" applyFill="1" applyBorder="1" applyProtection="1">
      <protection hidden="1"/>
    </xf>
    <xf numFmtId="0" fontId="8" fillId="2" borderId="58" xfId="0" applyFont="1" applyFill="1" applyBorder="1" applyProtection="1">
      <protection hidden="1"/>
    </xf>
    <xf numFmtId="0" fontId="8" fillId="2" borderId="51" xfId="0" applyFont="1" applyFill="1" applyBorder="1" applyProtection="1">
      <protection hidden="1"/>
    </xf>
    <xf numFmtId="0" fontId="8" fillId="2" borderId="23" xfId="0" applyFont="1" applyFill="1" applyBorder="1" applyProtection="1">
      <protection hidden="1"/>
    </xf>
    <xf numFmtId="0" fontId="8" fillId="2" borderId="59" xfId="0" applyFont="1" applyFill="1" applyBorder="1" applyProtection="1">
      <protection hidden="1"/>
    </xf>
    <xf numFmtId="0" fontId="8" fillId="0" borderId="60" xfId="0" applyFont="1" applyBorder="1" applyProtection="1">
      <protection hidden="1"/>
    </xf>
    <xf numFmtId="49" fontId="8" fillId="2" borderId="6" xfId="0" applyNumberFormat="1" applyFont="1" applyFill="1" applyBorder="1" applyAlignment="1" applyProtection="1">
      <alignment horizontal="right"/>
      <protection hidden="1"/>
    </xf>
    <xf numFmtId="0" fontId="8" fillId="2" borderId="61" xfId="0" applyFont="1" applyFill="1" applyBorder="1" applyProtection="1">
      <protection hidden="1"/>
    </xf>
    <xf numFmtId="0" fontId="8" fillId="2" borderId="6" xfId="0" applyFont="1" applyFill="1" applyBorder="1" applyProtection="1">
      <protection hidden="1"/>
    </xf>
    <xf numFmtId="49" fontId="8" fillId="2" borderId="24" xfId="0" applyNumberFormat="1" applyFont="1" applyFill="1" applyBorder="1" applyAlignment="1" applyProtection="1">
      <alignment horizontal="right"/>
      <protection hidden="1"/>
    </xf>
    <xf numFmtId="49" fontId="8" fillId="0" borderId="24" xfId="0" applyNumberFormat="1" applyFont="1" applyBorder="1" applyAlignment="1" applyProtection="1">
      <alignment horizontal="right"/>
      <protection hidden="1"/>
    </xf>
    <xf numFmtId="49" fontId="8" fillId="0" borderId="9" xfId="0" applyNumberFormat="1" applyFont="1" applyBorder="1" applyAlignment="1" applyProtection="1">
      <alignment horizontal="right"/>
      <protection hidden="1"/>
    </xf>
    <xf numFmtId="0" fontId="8" fillId="0" borderId="62" xfId="0" applyFont="1" applyBorder="1" applyProtection="1">
      <protection hidden="1"/>
    </xf>
    <xf numFmtId="0" fontId="8" fillId="0" borderId="9" xfId="0" applyFont="1" applyBorder="1" applyProtection="1">
      <protection hidden="1"/>
    </xf>
    <xf numFmtId="0" fontId="11" fillId="3" borderId="63" xfId="0" applyFont="1" applyFill="1" applyBorder="1" applyProtection="1">
      <protection hidden="1"/>
    </xf>
    <xf numFmtId="0" fontId="11" fillId="3" borderId="10" xfId="0" applyFont="1" applyFill="1" applyBorder="1" applyProtection="1">
      <protection hidden="1"/>
    </xf>
    <xf numFmtId="0" fontId="11" fillId="3" borderId="64" xfId="0" applyFont="1" applyFill="1" applyBorder="1" applyProtection="1">
      <protection hidden="1"/>
    </xf>
    <xf numFmtId="2" fontId="11" fillId="3" borderId="18" xfId="0" applyNumberFormat="1" applyFont="1" applyFill="1" applyBorder="1" applyProtection="1">
      <protection hidden="1"/>
    </xf>
    <xf numFmtId="0" fontId="11" fillId="3" borderId="58" xfId="0" applyFont="1" applyFill="1" applyBorder="1" applyProtection="1">
      <protection hidden="1"/>
    </xf>
    <xf numFmtId="0" fontId="11" fillId="3" borderId="11" xfId="0" applyFont="1" applyFill="1" applyBorder="1" applyProtection="1">
      <protection hidden="1"/>
    </xf>
    <xf numFmtId="2" fontId="11" fillId="3" borderId="9" xfId="0" applyNumberFormat="1" applyFont="1" applyFill="1" applyBorder="1" applyProtection="1">
      <protection hidden="1"/>
    </xf>
    <xf numFmtId="2" fontId="11" fillId="3" borderId="62" xfId="0" applyNumberFormat="1" applyFont="1" applyFill="1" applyBorder="1" applyProtection="1">
      <protection hidden="1"/>
    </xf>
    <xf numFmtId="49" fontId="8" fillId="0" borderId="25" xfId="0" applyNumberFormat="1" applyFont="1" applyBorder="1" applyAlignment="1" applyProtection="1">
      <alignment horizontal="right"/>
      <protection hidden="1"/>
    </xf>
    <xf numFmtId="0" fontId="17" fillId="0" borderId="36" xfId="0" applyFont="1" applyBorder="1" applyProtection="1">
      <protection hidden="1"/>
    </xf>
    <xf numFmtId="0" fontId="17" fillId="0" borderId="47" xfId="0" applyFont="1" applyBorder="1" applyProtection="1">
      <protection hidden="1"/>
    </xf>
    <xf numFmtId="0" fontId="17" fillId="0" borderId="36" xfId="0" applyFont="1" applyBorder="1" applyAlignment="1" applyProtection="1">
      <alignment horizontal="center"/>
      <protection hidden="1"/>
    </xf>
    <xf numFmtId="0" fontId="11" fillId="2" borderId="11" xfId="0" applyFont="1" applyFill="1" applyBorder="1" applyProtection="1">
      <protection hidden="1"/>
    </xf>
    <xf numFmtId="2" fontId="11" fillId="2" borderId="6" xfId="0" applyNumberFormat="1" applyFont="1" applyFill="1" applyBorder="1" applyProtection="1">
      <protection hidden="1"/>
    </xf>
    <xf numFmtId="0" fontId="11" fillId="2" borderId="14" xfId="0" applyFont="1" applyFill="1" applyBorder="1" applyProtection="1">
      <protection hidden="1"/>
    </xf>
    <xf numFmtId="2" fontId="11" fillId="2" borderId="24" xfId="0" applyNumberFormat="1" applyFont="1" applyFill="1" applyBorder="1" applyProtection="1">
      <protection hidden="1"/>
    </xf>
    <xf numFmtId="0" fontId="8" fillId="0" borderId="17" xfId="0" applyFont="1" applyBorder="1" applyProtection="1">
      <protection hidden="1"/>
    </xf>
    <xf numFmtId="2" fontId="8" fillId="0" borderId="25" xfId="0" applyNumberFormat="1" applyFont="1" applyBorder="1" applyProtection="1">
      <protection hidden="1"/>
    </xf>
    <xf numFmtId="0" fontId="11" fillId="0" borderId="36" xfId="0" applyFont="1" applyBorder="1" applyProtection="1">
      <protection hidden="1"/>
    </xf>
    <xf numFmtId="2" fontId="11" fillId="0" borderId="50" xfId="0" applyNumberFormat="1" applyFont="1" applyBorder="1" applyProtection="1">
      <protection hidden="1"/>
    </xf>
    <xf numFmtId="2" fontId="8" fillId="0" borderId="59" xfId="0" applyNumberFormat="1" applyFont="1" applyBorder="1" applyProtection="1">
      <protection hidden="1"/>
    </xf>
    <xf numFmtId="2" fontId="8" fillId="2" borderId="59" xfId="0" applyNumberFormat="1" applyFont="1" applyFill="1" applyBorder="1" applyProtection="1">
      <protection hidden="1"/>
    </xf>
    <xf numFmtId="2" fontId="11" fillId="3" borderId="50" xfId="0" applyNumberFormat="1" applyFont="1" applyFill="1" applyBorder="1" applyProtection="1">
      <protection hidden="1"/>
    </xf>
    <xf numFmtId="2" fontId="11" fillId="3" borderId="57" xfId="0" applyNumberFormat="1" applyFont="1" applyFill="1" applyBorder="1" applyProtection="1">
      <protection hidden="1"/>
    </xf>
    <xf numFmtId="0" fontId="8" fillId="2" borderId="10" xfId="0" applyFont="1" applyFill="1" applyBorder="1" applyProtection="1">
      <protection hidden="1"/>
    </xf>
    <xf numFmtId="2" fontId="8" fillId="2" borderId="23" xfId="0" applyNumberFormat="1" applyFont="1" applyFill="1" applyBorder="1" applyProtection="1">
      <protection hidden="1"/>
    </xf>
    <xf numFmtId="2" fontId="8" fillId="2" borderId="24" xfId="0" applyNumberFormat="1" applyFont="1" applyFill="1" applyBorder="1" applyProtection="1">
      <protection hidden="1"/>
    </xf>
    <xf numFmtId="0" fontId="8" fillId="2" borderId="11" xfId="0" applyFont="1" applyFill="1" applyBorder="1" applyProtection="1">
      <protection hidden="1"/>
    </xf>
    <xf numFmtId="2" fontId="8" fillId="2" borderId="6" xfId="0" applyNumberFormat="1" applyFont="1" applyFill="1" applyBorder="1" applyProtection="1">
      <protection hidden="1"/>
    </xf>
    <xf numFmtId="0" fontId="8" fillId="0" borderId="14" xfId="0" applyFont="1" applyBorder="1" applyProtection="1">
      <protection hidden="1"/>
    </xf>
    <xf numFmtId="2" fontId="8" fillId="0" borderId="24" xfId="0" applyNumberFormat="1" applyFont="1" applyBorder="1" applyProtection="1">
      <protection hidden="1"/>
    </xf>
    <xf numFmtId="0" fontId="8" fillId="0" borderId="18" xfId="0" applyFont="1" applyBorder="1" applyProtection="1">
      <protection hidden="1"/>
    </xf>
    <xf numFmtId="2" fontId="8" fillId="0" borderId="9" xfId="0" applyNumberFormat="1" applyFont="1" applyBorder="1" applyProtection="1">
      <protection hidden="1"/>
    </xf>
    <xf numFmtId="0" fontId="11" fillId="3" borderId="6" xfId="0" applyFont="1" applyFill="1" applyBorder="1" applyProtection="1">
      <protection hidden="1"/>
    </xf>
    <xf numFmtId="2" fontId="11" fillId="3" borderId="23" xfId="0" applyNumberFormat="1" applyFont="1" applyFill="1" applyBorder="1" applyProtection="1">
      <protection hidden="1"/>
    </xf>
    <xf numFmtId="2" fontId="11" fillId="3" borderId="6" xfId="0" applyNumberFormat="1" applyFont="1" applyFill="1" applyBorder="1" applyProtection="1">
      <protection hidden="1"/>
    </xf>
    <xf numFmtId="0" fontId="11" fillId="3" borderId="23" xfId="0" applyFont="1" applyFill="1" applyBorder="1" applyProtection="1">
      <protection hidden="1"/>
    </xf>
    <xf numFmtId="0" fontId="11" fillId="3" borderId="9" xfId="0" applyFont="1" applyFill="1" applyBorder="1" applyProtection="1"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wrapText="1"/>
      <protection hidden="1"/>
    </xf>
    <xf numFmtId="0" fontId="8" fillId="0" borderId="0" xfId="0" applyFont="1" applyAlignment="1" applyProtection="1">
      <alignment wrapText="1"/>
      <protection hidden="1"/>
    </xf>
    <xf numFmtId="0" fontId="21" fillId="0" borderId="0" xfId="0" applyFont="1" applyProtection="1">
      <protection locked="0" hidden="1"/>
    </xf>
    <xf numFmtId="0" fontId="7" fillId="0" borderId="0" xfId="0" applyFont="1" applyProtection="1">
      <protection locked="0" hidden="1"/>
    </xf>
    <xf numFmtId="0" fontId="1" fillId="0" borderId="0" xfId="0" applyFont="1" applyProtection="1">
      <protection locked="0" hidden="1"/>
    </xf>
    <xf numFmtId="0" fontId="1" fillId="0" borderId="0" xfId="0" applyFont="1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wrapText="1"/>
      <protection locked="0" hidden="1"/>
    </xf>
    <xf numFmtId="0" fontId="1" fillId="0" borderId="0" xfId="0" applyFont="1" applyAlignment="1" applyProtection="1">
      <alignment horizontal="right"/>
      <protection locked="0" hidden="1"/>
    </xf>
    <xf numFmtId="0" fontId="3" fillId="0" borderId="45" xfId="0" applyFont="1" applyBorder="1" applyAlignment="1" applyProtection="1">
      <alignment horizontal="center"/>
      <protection hidden="1"/>
    </xf>
    <xf numFmtId="0" fontId="3" fillId="0" borderId="34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textRotation="255"/>
      <protection hidden="1"/>
    </xf>
    <xf numFmtId="0" fontId="1" fillId="0" borderId="34" xfId="0" applyFont="1" applyBorder="1" applyAlignment="1" applyProtection="1">
      <alignment textRotation="255"/>
      <protection hidden="1"/>
    </xf>
    <xf numFmtId="0" fontId="7" fillId="0" borderId="65" xfId="0" applyFont="1" applyBorder="1" applyProtection="1">
      <protection hidden="1"/>
    </xf>
    <xf numFmtId="49" fontId="24" fillId="0" borderId="43" xfId="0" applyNumberFormat="1" applyFont="1" applyBorder="1" applyAlignment="1" applyProtection="1">
      <alignment horizontal="center"/>
      <protection locked="0" hidden="1"/>
    </xf>
    <xf numFmtId="49" fontId="7" fillId="0" borderId="45" xfId="0" applyNumberFormat="1" applyFont="1" applyBorder="1" applyProtection="1">
      <protection locked="0" hidden="1"/>
    </xf>
    <xf numFmtId="0" fontId="7" fillId="0" borderId="16" xfId="0" applyFont="1" applyBorder="1" applyAlignment="1" applyProtection="1">
      <alignment horizontal="right" vertical="center"/>
      <protection locked="0"/>
    </xf>
    <xf numFmtId="0" fontId="7" fillId="4" borderId="45" xfId="0" applyFont="1" applyFill="1" applyBorder="1" applyAlignment="1" applyProtection="1">
      <alignment horizontal="center"/>
      <protection hidden="1"/>
    </xf>
    <xf numFmtId="0" fontId="7" fillId="0" borderId="15" xfId="0" applyFont="1" applyBorder="1" applyProtection="1">
      <protection hidden="1"/>
    </xf>
    <xf numFmtId="49" fontId="7" fillId="0" borderId="29" xfId="0" applyNumberFormat="1" applyFont="1" applyBorder="1" applyProtection="1">
      <protection locked="0" hidden="1"/>
    </xf>
    <xf numFmtId="0" fontId="1" fillId="0" borderId="32" xfId="0" applyFont="1" applyBorder="1" applyAlignment="1" applyProtection="1">
      <alignment textRotation="255"/>
      <protection hidden="1"/>
    </xf>
    <xf numFmtId="0" fontId="7" fillId="4" borderId="28" xfId="0" applyFont="1" applyFill="1" applyBorder="1" applyAlignment="1" applyProtection="1">
      <alignment horizontal="center"/>
      <protection hidden="1"/>
    </xf>
    <xf numFmtId="0" fontId="7" fillId="4" borderId="67" xfId="0" applyFont="1" applyFill="1" applyBorder="1" applyAlignment="1" applyProtection="1">
      <alignment horizontal="center"/>
      <protection hidden="1"/>
    </xf>
    <xf numFmtId="0" fontId="1" fillId="0" borderId="22" xfId="0" applyFont="1" applyBorder="1" applyAlignment="1" applyProtection="1">
      <alignment textRotation="255"/>
      <protection hidden="1"/>
    </xf>
    <xf numFmtId="0" fontId="25" fillId="5" borderId="32" xfId="0" applyFont="1" applyFill="1" applyBorder="1" applyAlignment="1" applyProtection="1">
      <alignment textRotation="255"/>
      <protection hidden="1"/>
    </xf>
    <xf numFmtId="0" fontId="25" fillId="5" borderId="34" xfId="0" applyFont="1" applyFill="1" applyBorder="1" applyAlignment="1" applyProtection="1">
      <alignment textRotation="255"/>
      <protection hidden="1"/>
    </xf>
    <xf numFmtId="0" fontId="7" fillId="4" borderId="13" xfId="0" applyFont="1" applyFill="1" applyBorder="1" applyAlignment="1" applyProtection="1">
      <alignment horizontal="center"/>
      <protection hidden="1"/>
    </xf>
    <xf numFmtId="0" fontId="24" fillId="0" borderId="28" xfId="0" applyFont="1" applyBorder="1" applyAlignment="1" applyProtection="1">
      <alignment horizontal="right"/>
      <protection locked="0" hidden="1"/>
    </xf>
    <xf numFmtId="0" fontId="24" fillId="0" borderId="28" xfId="0" applyFont="1" applyBorder="1" applyProtection="1">
      <protection locked="0" hidden="1"/>
    </xf>
    <xf numFmtId="0" fontId="7" fillId="4" borderId="16" xfId="0" applyFont="1" applyFill="1" applyBorder="1" applyAlignment="1" applyProtection="1">
      <alignment horizontal="center"/>
      <protection hidden="1"/>
    </xf>
    <xf numFmtId="0" fontId="24" fillId="0" borderId="29" xfId="0" applyFont="1" applyBorder="1" applyAlignment="1" applyProtection="1">
      <alignment horizontal="right"/>
      <protection locked="0" hidden="1"/>
    </xf>
    <xf numFmtId="0" fontId="24" fillId="0" borderId="29" xfId="0" applyFont="1" applyBorder="1" applyProtection="1">
      <protection locked="0" hidden="1"/>
    </xf>
    <xf numFmtId="0" fontId="7" fillId="4" borderId="22" xfId="0" applyFont="1" applyFill="1" applyBorder="1" applyAlignment="1" applyProtection="1">
      <alignment horizontal="center"/>
      <protection hidden="1"/>
    </xf>
    <xf numFmtId="0" fontId="24" fillId="0" borderId="34" xfId="0" applyFont="1" applyBorder="1" applyAlignment="1" applyProtection="1">
      <alignment horizontal="right"/>
      <protection locked="0" hidden="1"/>
    </xf>
    <xf numFmtId="0" fontId="24" fillId="0" borderId="34" xfId="0" applyFont="1" applyBorder="1" applyProtection="1">
      <protection locked="0" hidden="1"/>
    </xf>
    <xf numFmtId="0" fontId="7" fillId="5" borderId="28" xfId="0" applyFont="1" applyFill="1" applyBorder="1" applyAlignment="1" applyProtection="1">
      <alignment horizontal="right"/>
      <protection hidden="1"/>
    </xf>
    <xf numFmtId="0" fontId="7" fillId="5" borderId="51" xfId="0" applyFont="1" applyFill="1" applyBorder="1" applyAlignment="1" applyProtection="1">
      <alignment horizontal="right"/>
      <protection hidden="1"/>
    </xf>
    <xf numFmtId="0" fontId="7" fillId="5" borderId="34" xfId="0" applyFont="1" applyFill="1" applyBorder="1" applyAlignment="1" applyProtection="1">
      <alignment horizontal="right"/>
      <protection hidden="1"/>
    </xf>
    <xf numFmtId="0" fontId="7" fillId="5" borderId="62" xfId="0" applyFont="1" applyFill="1" applyBorder="1" applyAlignment="1" applyProtection="1">
      <alignment horizontal="right"/>
      <protection hidden="1"/>
    </xf>
    <xf numFmtId="0" fontId="1" fillId="0" borderId="35" xfId="0" applyFont="1" applyBorder="1" applyAlignment="1" applyProtection="1">
      <alignment horizontal="center" textRotation="255"/>
      <protection hidden="1"/>
    </xf>
    <xf numFmtId="0" fontId="1" fillId="0" borderId="22" xfId="0" applyFont="1" applyBorder="1" applyAlignment="1" applyProtection="1">
      <alignment horizontal="center" textRotation="255"/>
      <protection hidden="1"/>
    </xf>
    <xf numFmtId="0" fontId="1" fillId="0" borderId="34" xfId="0" applyFont="1" applyBorder="1" applyAlignment="1" applyProtection="1">
      <alignment horizontal="center" textRotation="255"/>
      <protection hidden="1"/>
    </xf>
    <xf numFmtId="0" fontId="7" fillId="2" borderId="42" xfId="0" applyFont="1" applyFill="1" applyBorder="1" applyAlignment="1" applyProtection="1">
      <alignment horizontal="center"/>
      <protection hidden="1"/>
    </xf>
    <xf numFmtId="0" fontId="7" fillId="2" borderId="43" xfId="0" applyFont="1" applyFill="1" applyBorder="1" applyAlignment="1" applyProtection="1">
      <alignment horizontal="center"/>
      <protection hidden="1"/>
    </xf>
    <xf numFmtId="0" fontId="7" fillId="2" borderId="45" xfId="0" applyFont="1" applyFill="1" applyBorder="1" applyAlignment="1" applyProtection="1">
      <alignment horizontal="center"/>
      <protection hidden="1"/>
    </xf>
    <xf numFmtId="0" fontId="7" fillId="2" borderId="24" xfId="0" applyFont="1" applyFill="1" applyBorder="1" applyAlignment="1" applyProtection="1">
      <alignment horizontal="center" wrapText="1"/>
      <protection hidden="1"/>
    </xf>
    <xf numFmtId="0" fontId="7" fillId="2" borderId="10" xfId="0" applyFont="1" applyFill="1" applyBorder="1" applyAlignment="1" applyProtection="1">
      <alignment horizontal="center" wrapText="1"/>
      <protection hidden="1"/>
    </xf>
    <xf numFmtId="0" fontId="7" fillId="2" borderId="65" xfId="0" applyFont="1" applyFill="1" applyBorder="1" applyAlignment="1" applyProtection="1">
      <alignment horizontal="right"/>
      <protection hidden="1"/>
    </xf>
    <xf numFmtId="0" fontId="7" fillId="2" borderId="71" xfId="0" applyFont="1" applyFill="1" applyBorder="1" applyAlignment="1" applyProtection="1">
      <alignment horizontal="center"/>
      <protection hidden="1"/>
    </xf>
    <xf numFmtId="0" fontId="7" fillId="2" borderId="72" xfId="0" applyFont="1" applyFill="1" applyBorder="1" applyAlignment="1" applyProtection="1">
      <alignment horizontal="center"/>
      <protection hidden="1"/>
    </xf>
    <xf numFmtId="0" fontId="7" fillId="2" borderId="73" xfId="0" applyFont="1" applyFill="1" applyBorder="1" applyAlignment="1" applyProtection="1">
      <alignment horizontal="center"/>
      <protection hidden="1"/>
    </xf>
    <xf numFmtId="0" fontId="7" fillId="2" borderId="25" xfId="0" applyFont="1" applyFill="1" applyBorder="1" applyAlignment="1" applyProtection="1">
      <alignment horizontal="center" vertical="center" wrapText="1"/>
      <protection hidden="1"/>
    </xf>
    <xf numFmtId="0" fontId="7" fillId="2" borderId="74" xfId="0" applyFont="1" applyFill="1" applyBorder="1" applyAlignment="1" applyProtection="1">
      <alignment horizontal="center" vertical="center" wrapText="1"/>
      <protection hidden="1"/>
    </xf>
    <xf numFmtId="0" fontId="7" fillId="2" borderId="75" xfId="0" applyFont="1" applyFill="1" applyBorder="1" applyAlignment="1" applyProtection="1">
      <alignment horizontal="right"/>
      <protection hidden="1"/>
    </xf>
    <xf numFmtId="0" fontId="7" fillId="2" borderId="11" xfId="0" applyFont="1" applyFill="1" applyBorder="1" applyAlignment="1" applyProtection="1">
      <alignment horizontal="center" wrapText="1"/>
      <protection hidden="1"/>
    </xf>
    <xf numFmtId="0" fontId="7" fillId="2" borderId="14" xfId="0" applyFont="1" applyFill="1" applyBorder="1" applyAlignment="1" applyProtection="1">
      <alignment horizontal="center" wrapText="1"/>
      <protection hidden="1"/>
    </xf>
    <xf numFmtId="2" fontId="7" fillId="2" borderId="43" xfId="0" applyNumberFormat="1" applyFont="1" applyFill="1" applyBorder="1" applyAlignment="1" applyProtection="1">
      <alignment horizontal="right"/>
      <protection hidden="1"/>
    </xf>
    <xf numFmtId="2" fontId="7" fillId="2" borderId="72" xfId="0" applyNumberFormat="1" applyFont="1" applyFill="1" applyBorder="1" applyAlignment="1" applyProtection="1">
      <alignment horizontal="right"/>
      <protection hidden="1"/>
    </xf>
    <xf numFmtId="0" fontId="7" fillId="0" borderId="0" xfId="0" applyFont="1" applyProtection="1">
      <protection hidden="1"/>
    </xf>
    <xf numFmtId="0" fontId="7" fillId="5" borderId="75" xfId="0" applyFont="1" applyFill="1" applyBorder="1" applyAlignment="1" applyProtection="1">
      <alignment horizontal="center"/>
      <protection hidden="1"/>
    </xf>
    <xf numFmtId="0" fontId="7" fillId="5" borderId="72" xfId="0" applyFont="1" applyFill="1" applyBorder="1" applyAlignment="1" applyProtection="1">
      <alignment horizontal="center"/>
      <protection hidden="1"/>
    </xf>
    <xf numFmtId="0" fontId="7" fillId="5" borderId="73" xfId="0" applyFont="1" applyFill="1" applyBorder="1" applyAlignment="1" applyProtection="1">
      <alignment horizontal="center"/>
      <protection hidden="1"/>
    </xf>
    <xf numFmtId="0" fontId="7" fillId="5" borderId="75" xfId="0" applyFont="1" applyFill="1" applyBorder="1" applyAlignment="1" applyProtection="1">
      <alignment horizontal="right"/>
      <protection hidden="1"/>
    </xf>
    <xf numFmtId="0" fontId="7" fillId="5" borderId="77" xfId="0" applyFont="1" applyFill="1" applyBorder="1" applyAlignment="1" applyProtection="1">
      <alignment horizontal="right"/>
      <protection hidden="1"/>
    </xf>
    <xf numFmtId="0" fontId="7" fillId="5" borderId="71" xfId="0" applyFont="1" applyFill="1" applyBorder="1" applyAlignment="1" applyProtection="1">
      <alignment horizontal="right"/>
      <protection hidden="1"/>
    </xf>
    <xf numFmtId="0" fontId="7" fillId="0" borderId="16" xfId="0" applyFont="1" applyBorder="1" applyProtection="1">
      <protection hidden="1"/>
    </xf>
    <xf numFmtId="0" fontId="7" fillId="5" borderId="16" xfId="0" applyFont="1" applyFill="1" applyBorder="1" applyAlignment="1" applyProtection="1">
      <alignment horizontal="center"/>
      <protection hidden="1"/>
    </xf>
    <xf numFmtId="0" fontId="7" fillId="0" borderId="20" xfId="0" applyFont="1" applyBorder="1" applyProtection="1">
      <protection hidden="1"/>
    </xf>
    <xf numFmtId="0" fontId="7" fillId="5" borderId="20" xfId="0" applyFont="1" applyFill="1" applyBorder="1" applyAlignment="1" applyProtection="1">
      <alignment horizontal="center"/>
      <protection hidden="1"/>
    </xf>
    <xf numFmtId="0" fontId="7" fillId="2" borderId="20" xfId="0" applyFont="1" applyFill="1" applyBorder="1" applyAlignment="1" applyProtection="1">
      <alignment horizontal="center"/>
      <protection hidden="1"/>
    </xf>
    <xf numFmtId="0" fontId="7" fillId="5" borderId="2" xfId="0" applyFont="1" applyFill="1" applyBorder="1" applyAlignment="1" applyProtection="1">
      <alignment horizontal="center"/>
      <protection hidden="1"/>
    </xf>
    <xf numFmtId="0" fontId="7" fillId="2" borderId="2" xfId="0" applyFont="1" applyFill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49" fontId="7" fillId="6" borderId="12" xfId="0" applyNumberFormat="1" applyFont="1" applyFill="1" applyBorder="1" applyProtection="1">
      <protection hidden="1"/>
    </xf>
    <xf numFmtId="0" fontId="7" fillId="2" borderId="13" xfId="0" applyFont="1" applyFill="1" applyBorder="1" applyAlignment="1" applyProtection="1">
      <alignment horizontal="center"/>
      <protection hidden="1"/>
    </xf>
    <xf numFmtId="0" fontId="7" fillId="5" borderId="13" xfId="0" applyFont="1" applyFill="1" applyBorder="1" applyAlignment="1" applyProtection="1">
      <alignment horizontal="center"/>
      <protection hidden="1"/>
    </xf>
    <xf numFmtId="49" fontId="7" fillId="7" borderId="15" xfId="0" applyNumberFormat="1" applyFont="1" applyFill="1" applyBorder="1" applyProtection="1">
      <protection hidden="1"/>
    </xf>
    <xf numFmtId="0" fontId="7" fillId="2" borderId="16" xfId="0" applyFont="1" applyFill="1" applyBorder="1" applyAlignment="1" applyProtection="1">
      <alignment horizontal="center"/>
      <protection hidden="1"/>
    </xf>
    <xf numFmtId="49" fontId="7" fillId="8" borderId="15" xfId="0" applyNumberFormat="1" applyFont="1" applyFill="1" applyBorder="1" applyProtection="1">
      <protection hidden="1"/>
    </xf>
    <xf numFmtId="49" fontId="7" fillId="9" borderId="21" xfId="0" applyNumberFormat="1" applyFont="1" applyFill="1" applyBorder="1" applyProtection="1">
      <protection hidden="1"/>
    </xf>
    <xf numFmtId="0" fontId="7" fillId="2" borderId="5" xfId="0" applyFont="1" applyFill="1" applyBorder="1" applyAlignment="1" applyProtection="1">
      <alignment horizontal="center"/>
      <protection hidden="1"/>
    </xf>
    <xf numFmtId="0" fontId="7" fillId="5" borderId="22" xfId="0" applyFont="1" applyFill="1" applyBorder="1" applyAlignment="1" applyProtection="1">
      <alignment horizontal="center"/>
      <protection hidden="1"/>
    </xf>
    <xf numFmtId="49" fontId="24" fillId="0" borderId="0" xfId="0" applyNumberFormat="1" applyFont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0" fontId="26" fillId="5" borderId="50" xfId="0" applyFont="1" applyFill="1" applyBorder="1" applyAlignment="1" applyProtection="1">
      <alignment horizontal="center" wrapText="1"/>
      <protection hidden="1"/>
    </xf>
    <xf numFmtId="0" fontId="2" fillId="0" borderId="65" xfId="0" applyFont="1" applyBorder="1" applyAlignment="1" applyProtection="1">
      <alignment horizontal="center"/>
      <protection hidden="1"/>
    </xf>
    <xf numFmtId="0" fontId="2" fillId="0" borderId="45" xfId="0" applyFont="1" applyBorder="1" applyProtection="1"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29" xfId="0" applyFont="1" applyBorder="1" applyProtection="1">
      <protection hidden="1"/>
    </xf>
    <xf numFmtId="49" fontId="2" fillId="0" borderId="29" xfId="0" applyNumberFormat="1" applyFont="1" applyBorder="1" applyProtection="1">
      <protection locked="0" hidden="1"/>
    </xf>
    <xf numFmtId="0" fontId="2" fillId="0" borderId="29" xfId="0" applyFont="1" applyBorder="1" applyProtection="1">
      <protection locked="0" hidden="1"/>
    </xf>
    <xf numFmtId="0" fontId="2" fillId="0" borderId="21" xfId="0" applyFont="1" applyBorder="1" applyAlignment="1" applyProtection="1">
      <alignment horizontal="center"/>
      <protection hidden="1"/>
    </xf>
    <xf numFmtId="0" fontId="2" fillId="0" borderId="34" xfId="0" applyFont="1" applyBorder="1" applyProtection="1">
      <protection locked="0" hidden="1"/>
    </xf>
    <xf numFmtId="0" fontId="7" fillId="5" borderId="72" xfId="0" applyFont="1" applyFill="1" applyBorder="1" applyAlignment="1" applyProtection="1">
      <alignment horizontal="right"/>
      <protection hidden="1"/>
    </xf>
    <xf numFmtId="0" fontId="7" fillId="5" borderId="0" xfId="0" applyFont="1" applyFill="1" applyAlignment="1" applyProtection="1">
      <alignment horizontal="right"/>
      <protection hidden="1"/>
    </xf>
    <xf numFmtId="0" fontId="7" fillId="5" borderId="7" xfId="0" applyFont="1" applyFill="1" applyBorder="1" applyAlignment="1" applyProtection="1">
      <alignment horizontal="right"/>
      <protection hidden="1"/>
    </xf>
    <xf numFmtId="0" fontId="7" fillId="5" borderId="70" xfId="0" applyFont="1" applyFill="1" applyBorder="1" applyAlignment="1" applyProtection="1">
      <alignment horizontal="right"/>
      <protection hidden="1"/>
    </xf>
    <xf numFmtId="0" fontId="7" fillId="5" borderId="78" xfId="0" applyFont="1" applyFill="1" applyBorder="1" applyAlignment="1" applyProtection="1">
      <alignment horizontal="right"/>
      <protection hidden="1"/>
    </xf>
    <xf numFmtId="0" fontId="7" fillId="5" borderId="76" xfId="0" applyFont="1" applyFill="1" applyBorder="1" applyAlignment="1" applyProtection="1">
      <alignment horizontal="center"/>
      <protection hidden="1"/>
    </xf>
    <xf numFmtId="0" fontId="7" fillId="5" borderId="15" xfId="0" applyFont="1" applyFill="1" applyBorder="1" applyAlignment="1" applyProtection="1">
      <alignment horizontal="center"/>
      <protection hidden="1"/>
    </xf>
    <xf numFmtId="0" fontId="7" fillId="5" borderId="63" xfId="0" applyFont="1" applyFill="1" applyBorder="1" applyAlignment="1" applyProtection="1">
      <alignment horizontal="center"/>
      <protection hidden="1"/>
    </xf>
    <xf numFmtId="0" fontId="7" fillId="5" borderId="59" xfId="0" applyFont="1" applyFill="1" applyBorder="1" applyAlignment="1" applyProtection="1">
      <alignment horizontal="center"/>
      <protection hidden="1"/>
    </xf>
    <xf numFmtId="0" fontId="7" fillId="5" borderId="19" xfId="0" applyFont="1" applyFill="1" applyBorder="1" applyAlignment="1" applyProtection="1">
      <alignment horizontal="center"/>
      <protection hidden="1"/>
    </xf>
    <xf numFmtId="0" fontId="7" fillId="5" borderId="60" xfId="0" applyFont="1" applyFill="1" applyBorder="1" applyAlignment="1" applyProtection="1">
      <alignment horizontal="center"/>
      <protection hidden="1"/>
    </xf>
    <xf numFmtId="0" fontId="7" fillId="5" borderId="38" xfId="0" applyFont="1" applyFill="1" applyBorder="1" applyAlignment="1" applyProtection="1">
      <alignment horizontal="center"/>
      <protection hidden="1"/>
    </xf>
    <xf numFmtId="0" fontId="7" fillId="5" borderId="54" xfId="0" applyFont="1" applyFill="1" applyBorder="1" applyAlignment="1" applyProtection="1">
      <alignment horizontal="center"/>
      <protection hidden="1"/>
    </xf>
    <xf numFmtId="0" fontId="7" fillId="2" borderId="40" xfId="0" applyFont="1" applyFill="1" applyBorder="1" applyAlignment="1" applyProtection="1">
      <alignment horizontal="center"/>
      <protection hidden="1"/>
    </xf>
    <xf numFmtId="0" fontId="7" fillId="5" borderId="79" xfId="0" applyFont="1" applyFill="1" applyBorder="1" applyAlignment="1" applyProtection="1">
      <alignment horizontal="center"/>
      <protection hidden="1"/>
    </xf>
    <xf numFmtId="0" fontId="7" fillId="5" borderId="39" xfId="0" applyFont="1" applyFill="1" applyBorder="1" applyAlignment="1" applyProtection="1">
      <alignment horizontal="center"/>
      <protection hidden="1"/>
    </xf>
    <xf numFmtId="0" fontId="7" fillId="5" borderId="50" xfId="0" applyFont="1" applyFill="1" applyBorder="1" applyAlignment="1" applyProtection="1">
      <alignment horizontal="center"/>
      <protection hidden="1"/>
    </xf>
    <xf numFmtId="0" fontId="7" fillId="2" borderId="37" xfId="0" applyFont="1" applyFill="1" applyBorder="1" applyAlignment="1" applyProtection="1">
      <alignment horizontal="center"/>
      <protection hidden="1"/>
    </xf>
    <xf numFmtId="0" fontId="7" fillId="5" borderId="46" xfId="0" applyFont="1" applyFill="1" applyBorder="1" applyAlignment="1" applyProtection="1">
      <alignment horizontal="center"/>
      <protection hidden="1"/>
    </xf>
    <xf numFmtId="0" fontId="7" fillId="2" borderId="31" xfId="0" applyFont="1" applyFill="1" applyBorder="1" applyAlignment="1" applyProtection="1">
      <alignment horizontal="center"/>
      <protection hidden="1"/>
    </xf>
    <xf numFmtId="0" fontId="7" fillId="5" borderId="6" xfId="0" applyFont="1" applyFill="1" applyBorder="1" applyAlignment="1" applyProtection="1">
      <alignment horizontal="center"/>
      <protection hidden="1"/>
    </xf>
    <xf numFmtId="0" fontId="7" fillId="5" borderId="78" xfId="0" applyFont="1" applyFill="1" applyBorder="1" applyAlignment="1" applyProtection="1">
      <alignment horizontal="center"/>
      <protection hidden="1"/>
    </xf>
    <xf numFmtId="0" fontId="7" fillId="2" borderId="76" xfId="0" applyFont="1" applyFill="1" applyBorder="1" applyAlignment="1" applyProtection="1">
      <alignment horizontal="center"/>
      <protection hidden="1"/>
    </xf>
    <xf numFmtId="0" fontId="7" fillId="5" borderId="24" xfId="0" applyFont="1" applyFill="1" applyBorder="1" applyAlignment="1" applyProtection="1">
      <alignment horizontal="center"/>
      <protection hidden="1"/>
    </xf>
    <xf numFmtId="0" fontId="7" fillId="2" borderId="26" xfId="0" applyFont="1" applyFill="1" applyBorder="1" applyAlignment="1" applyProtection="1">
      <alignment horizontal="center"/>
      <protection hidden="1"/>
    </xf>
    <xf numFmtId="0" fontId="7" fillId="5" borderId="9" xfId="0" applyFont="1" applyFill="1" applyBorder="1" applyAlignment="1" applyProtection="1">
      <alignment horizontal="center"/>
      <protection hidden="1"/>
    </xf>
    <xf numFmtId="0" fontId="7" fillId="5" borderId="49" xfId="0" applyFont="1" applyFill="1" applyBorder="1" applyAlignment="1" applyProtection="1">
      <alignment horizontal="center"/>
      <protection hidden="1"/>
    </xf>
    <xf numFmtId="0" fontId="7" fillId="2" borderId="18" xfId="0" applyFont="1" applyFill="1" applyBorder="1" applyAlignment="1" applyProtection="1">
      <alignment horizontal="center" wrapText="1"/>
      <protection hidden="1"/>
    </xf>
    <xf numFmtId="0" fontId="7" fillId="5" borderId="43" xfId="0" applyFont="1" applyFill="1" applyBorder="1" applyAlignment="1" applyProtection="1">
      <alignment horizontal="center"/>
      <protection hidden="1"/>
    </xf>
    <xf numFmtId="0" fontId="7" fillId="5" borderId="66" xfId="0" applyFont="1" applyFill="1" applyBorder="1" applyAlignment="1" applyProtection="1">
      <alignment horizontal="center" wrapText="1"/>
      <protection hidden="1"/>
    </xf>
    <xf numFmtId="0" fontId="7" fillId="5" borderId="44" xfId="0" applyFont="1" applyFill="1" applyBorder="1" applyAlignment="1" applyProtection="1">
      <alignment horizontal="center"/>
      <protection hidden="1"/>
    </xf>
    <xf numFmtId="0" fontId="7" fillId="5" borderId="76" xfId="0" applyFont="1" applyFill="1" applyBorder="1" applyAlignment="1" applyProtection="1">
      <alignment horizontal="center" wrapText="1"/>
      <protection hidden="1"/>
    </xf>
    <xf numFmtId="0" fontId="7" fillId="5" borderId="0" xfId="0" applyFont="1" applyFill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 wrapText="1"/>
      <protection hidden="1"/>
    </xf>
    <xf numFmtId="0" fontId="7" fillId="5" borderId="0" xfId="0" applyFont="1" applyFill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right"/>
      <protection hidden="1"/>
    </xf>
    <xf numFmtId="0" fontId="24" fillId="10" borderId="76" xfId="0" applyFont="1" applyFill="1" applyBorder="1" applyProtection="1">
      <protection hidden="1"/>
    </xf>
    <xf numFmtId="0" fontId="24" fillId="11" borderId="76" xfId="0" applyFont="1" applyFill="1" applyBorder="1" applyProtection="1">
      <protection hidden="1"/>
    </xf>
    <xf numFmtId="0" fontId="24" fillId="12" borderId="76" xfId="0" applyFont="1" applyFill="1" applyBorder="1" applyProtection="1">
      <protection hidden="1"/>
    </xf>
    <xf numFmtId="0" fontId="24" fillId="13" borderId="76" xfId="0" applyFont="1" applyFill="1" applyBorder="1" applyProtection="1">
      <protection hidden="1"/>
    </xf>
    <xf numFmtId="0" fontId="24" fillId="14" borderId="76" xfId="0" applyFont="1" applyFill="1" applyBorder="1" applyProtection="1">
      <protection hidden="1"/>
    </xf>
    <xf numFmtId="0" fontId="24" fillId="15" borderId="76" xfId="0" applyFont="1" applyFill="1" applyBorder="1" applyProtection="1">
      <protection hidden="1"/>
    </xf>
    <xf numFmtId="49" fontId="7" fillId="0" borderId="0" xfId="0" applyNumberFormat="1" applyFont="1" applyProtection="1">
      <protection hidden="1"/>
    </xf>
    <xf numFmtId="0" fontId="7" fillId="0" borderId="0" xfId="0" applyFont="1" applyAlignment="1" applyProtection="1">
      <alignment horizontal="right"/>
      <protection locked="0" hidden="1"/>
    </xf>
    <xf numFmtId="0" fontId="7" fillId="0" borderId="0" xfId="0" applyFont="1" applyAlignment="1" applyProtection="1">
      <alignment horizontal="center"/>
      <protection locked="0" hidden="1"/>
    </xf>
    <xf numFmtId="0" fontId="7" fillId="0" borderId="0" xfId="0" applyFont="1" applyAlignment="1" applyProtection="1">
      <alignment horizontal="center" wrapText="1"/>
      <protection locked="0" hidden="1"/>
    </xf>
    <xf numFmtId="0" fontId="7" fillId="5" borderId="51" xfId="0" applyFont="1" applyFill="1" applyBorder="1" applyAlignment="1" applyProtection="1">
      <alignment horizontal="center"/>
      <protection hidden="1"/>
    </xf>
    <xf numFmtId="0" fontId="7" fillId="5" borderId="52" xfId="0" applyFont="1" applyFill="1" applyBorder="1" applyAlignment="1" applyProtection="1">
      <alignment horizontal="center"/>
      <protection hidden="1"/>
    </xf>
    <xf numFmtId="0" fontId="7" fillId="5" borderId="53" xfId="0" applyFont="1" applyFill="1" applyBorder="1" applyAlignment="1" applyProtection="1">
      <alignment horizontal="center"/>
      <protection hidden="1"/>
    </xf>
    <xf numFmtId="0" fontId="7" fillId="5" borderId="37" xfId="0" applyFont="1" applyFill="1" applyBorder="1" applyAlignment="1" applyProtection="1">
      <alignment horizontal="center"/>
      <protection hidden="1"/>
    </xf>
    <xf numFmtId="0" fontId="7" fillId="5" borderId="12" xfId="0" applyFont="1" applyFill="1" applyBorder="1" applyAlignment="1" applyProtection="1">
      <alignment horizontal="center"/>
      <protection hidden="1"/>
    </xf>
    <xf numFmtId="0" fontId="7" fillId="5" borderId="58" xfId="0" applyFont="1" applyFill="1" applyBorder="1" applyAlignment="1" applyProtection="1">
      <alignment horizontal="center"/>
      <protection hidden="1"/>
    </xf>
    <xf numFmtId="0" fontId="22" fillId="0" borderId="48" xfId="0" applyFont="1" applyBorder="1" applyAlignment="1" applyProtection="1">
      <alignment horizont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3" fillId="2" borderId="50" xfId="0" applyFont="1" applyFill="1" applyBorder="1" applyAlignment="1" applyProtection="1">
      <alignment horizontal="left" vertical="center"/>
      <protection hidden="1"/>
    </xf>
    <xf numFmtId="0" fontId="13" fillId="0" borderId="36" xfId="0" applyFont="1" applyBorder="1" applyAlignment="1" applyProtection="1">
      <alignment horizontal="left" vertical="center"/>
      <protection locked="0" hidden="1"/>
    </xf>
    <xf numFmtId="0" fontId="13" fillId="0" borderId="37" xfId="0" applyFont="1" applyBorder="1" applyAlignment="1" applyProtection="1">
      <alignment horizontal="left" vertical="center"/>
      <protection locked="0" hidden="1"/>
    </xf>
    <xf numFmtId="0" fontId="23" fillId="2" borderId="1" xfId="0" applyFont="1" applyFill="1" applyBorder="1" applyAlignment="1" applyProtection="1">
      <alignment horizontal="center" vertical="center"/>
      <protection hidden="1"/>
    </xf>
    <xf numFmtId="0" fontId="23" fillId="2" borderId="2" xfId="0" applyFont="1" applyFill="1" applyBorder="1" applyAlignment="1" applyProtection="1">
      <alignment horizontal="center" vertical="center"/>
      <protection hidden="1"/>
    </xf>
    <xf numFmtId="0" fontId="23" fillId="2" borderId="3" xfId="0" applyFont="1" applyFill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locked="0" hidden="1"/>
    </xf>
    <xf numFmtId="0" fontId="13" fillId="0" borderId="8" xfId="0" applyFont="1" applyBorder="1" applyAlignment="1" applyProtection="1">
      <alignment horizontal="center" vertical="center"/>
      <protection locked="0" hidden="1"/>
    </xf>
    <xf numFmtId="0" fontId="13" fillId="0" borderId="27" xfId="0" applyFont="1" applyBorder="1" applyAlignment="1" applyProtection="1">
      <alignment horizontal="center" vertical="center"/>
      <protection locked="0" hidden="1"/>
    </xf>
    <xf numFmtId="0" fontId="23" fillId="2" borderId="69" xfId="0" applyFont="1" applyFill="1" applyBorder="1" applyAlignment="1" applyProtection="1">
      <alignment horizontal="center" vertical="center"/>
      <protection hidden="1"/>
    </xf>
    <xf numFmtId="0" fontId="23" fillId="2" borderId="8" xfId="0" applyFont="1" applyFill="1" applyBorder="1" applyAlignment="1" applyProtection="1">
      <alignment horizontal="center" vertical="center"/>
      <protection hidden="1"/>
    </xf>
    <xf numFmtId="0" fontId="23" fillId="2" borderId="70" xfId="0" applyFont="1" applyFill="1" applyBorder="1" applyAlignment="1" applyProtection="1">
      <alignment horizontal="center" vertical="center"/>
      <protection hidden="1"/>
    </xf>
    <xf numFmtId="0" fontId="13" fillId="0" borderId="50" xfId="0" applyFont="1" applyBorder="1" applyAlignment="1" applyProtection="1">
      <alignment horizontal="center" vertical="center"/>
      <protection locked="0" hidden="1"/>
    </xf>
    <xf numFmtId="0" fontId="23" fillId="2" borderId="50" xfId="0" applyFont="1" applyFill="1" applyBorder="1" applyAlignment="1" applyProtection="1">
      <alignment horizontal="center" vertical="center"/>
      <protection hidden="1"/>
    </xf>
    <xf numFmtId="0" fontId="23" fillId="2" borderId="68" xfId="0" applyFont="1" applyFill="1" applyBorder="1" applyAlignment="1" applyProtection="1">
      <alignment horizontal="center" vertical="center"/>
      <protection hidden="1"/>
    </xf>
    <xf numFmtId="0" fontId="23" fillId="2" borderId="5" xfId="0" applyFont="1" applyFill="1" applyBorder="1" applyAlignment="1" applyProtection="1">
      <alignment horizontal="center" vertical="center"/>
      <protection hidden="1"/>
    </xf>
    <xf numFmtId="0" fontId="23" fillId="2" borderId="26" xfId="0" applyFont="1" applyFill="1" applyBorder="1" applyAlignment="1" applyProtection="1">
      <alignment horizontal="center" vertical="center"/>
      <protection hidden="1"/>
    </xf>
    <xf numFmtId="0" fontId="13" fillId="0" borderId="36" xfId="0" applyFont="1" applyBorder="1" applyAlignment="1" applyProtection="1">
      <alignment horizontal="center" vertical="center"/>
      <protection locked="0" hidden="1"/>
    </xf>
    <xf numFmtId="0" fontId="13" fillId="0" borderId="37" xfId="0" applyFont="1" applyBorder="1" applyAlignment="1" applyProtection="1">
      <alignment horizontal="center" vertical="center"/>
      <protection locked="0" hidden="1"/>
    </xf>
    <xf numFmtId="0" fontId="13" fillId="0" borderId="46" xfId="0" applyFont="1" applyBorder="1" applyAlignment="1" applyProtection="1">
      <alignment horizontal="center" vertical="center"/>
      <protection locked="0" hidden="1"/>
    </xf>
    <xf numFmtId="0" fontId="3" fillId="0" borderId="65" xfId="0" applyFont="1" applyBorder="1" applyAlignment="1" applyProtection="1">
      <alignment horizontal="center" textRotation="90"/>
      <protection hidden="1"/>
    </xf>
    <xf numFmtId="0" fontId="3" fillId="0" borderId="45" xfId="0" applyFont="1" applyBorder="1" applyAlignment="1" applyProtection="1">
      <alignment horizontal="center" textRotation="90"/>
      <protection hidden="1"/>
    </xf>
    <xf numFmtId="0" fontId="3" fillId="0" borderId="65" xfId="0" applyFont="1" applyBorder="1" applyAlignment="1" applyProtection="1">
      <alignment horizontal="center" textRotation="90" wrapText="1"/>
      <protection hidden="1"/>
    </xf>
    <xf numFmtId="0" fontId="3" fillId="0" borderId="45" xfId="0" applyFont="1" applyBorder="1" applyAlignment="1" applyProtection="1">
      <alignment horizontal="center" textRotation="90" wrapText="1"/>
      <protection hidden="1"/>
    </xf>
    <xf numFmtId="0" fontId="3" fillId="0" borderId="66" xfId="0" applyFont="1" applyBorder="1" applyAlignment="1" applyProtection="1">
      <alignment horizontal="center" textRotation="90"/>
      <protection hidden="1"/>
    </xf>
    <xf numFmtId="0" fontId="3" fillId="0" borderId="12" xfId="0" applyFont="1" applyBorder="1" applyAlignment="1" applyProtection="1">
      <alignment horizontal="center" textRotation="90" wrapText="1"/>
      <protection hidden="1"/>
    </xf>
    <xf numFmtId="0" fontId="3" fillId="0" borderId="13" xfId="0" applyFont="1" applyBorder="1" applyAlignment="1" applyProtection="1">
      <alignment horizontal="center" textRotation="90" wrapText="1"/>
      <protection hidden="1"/>
    </xf>
    <xf numFmtId="0" fontId="3" fillId="0" borderId="31" xfId="0" applyFont="1" applyBorder="1" applyAlignment="1" applyProtection="1">
      <alignment horizontal="center" textRotation="90" wrapText="1"/>
      <protection hidden="1"/>
    </xf>
    <xf numFmtId="0" fontId="3" fillId="0" borderId="43" xfId="0" applyFont="1" applyBorder="1" applyAlignment="1" applyProtection="1">
      <alignment horizontal="center" textRotation="90" wrapText="1"/>
      <protection hidden="1"/>
    </xf>
    <xf numFmtId="0" fontId="3" fillId="0" borderId="42" xfId="0" applyFont="1" applyBorder="1" applyAlignment="1" applyProtection="1">
      <alignment horizontal="center" wrapText="1"/>
      <protection hidden="1"/>
    </xf>
    <xf numFmtId="0" fontId="3" fillId="0" borderId="43" xfId="0" applyFont="1" applyBorder="1" applyAlignment="1" applyProtection="1">
      <alignment horizontal="center" wrapText="1"/>
      <protection hidden="1"/>
    </xf>
    <xf numFmtId="0" fontId="3" fillId="0" borderId="45" xfId="0" applyFont="1" applyBorder="1" applyAlignment="1" applyProtection="1">
      <alignment horizontal="center" wrapText="1"/>
      <protection hidden="1"/>
    </xf>
    <xf numFmtId="0" fontId="7" fillId="0" borderId="12" xfId="0" applyFont="1" applyBorder="1" applyAlignment="1" applyProtection="1">
      <alignment horizontal="center"/>
      <protection hidden="1"/>
    </xf>
    <xf numFmtId="0" fontId="7" fillId="0" borderId="13" xfId="0" applyFont="1" applyBorder="1" applyAlignment="1" applyProtection="1">
      <alignment horizontal="center"/>
      <protection hidden="1"/>
    </xf>
    <xf numFmtId="0" fontId="7" fillId="0" borderId="28" xfId="0" applyFont="1" applyBorder="1" applyAlignment="1" applyProtection="1">
      <alignment horizontal="center"/>
      <protection hidden="1"/>
    </xf>
    <xf numFmtId="0" fontId="7" fillId="2" borderId="12" xfId="0" applyFont="1" applyFill="1" applyBorder="1" applyAlignment="1" applyProtection="1">
      <alignment horizontal="right"/>
      <protection hidden="1"/>
    </xf>
    <xf numFmtId="0" fontId="7" fillId="2" borderId="28" xfId="0" applyFont="1" applyFill="1" applyBorder="1" applyAlignment="1" applyProtection="1">
      <alignment horizontal="right"/>
      <protection hidden="1"/>
    </xf>
    <xf numFmtId="0" fontId="7" fillId="0" borderId="31" xfId="0" applyFont="1" applyBorder="1" applyAlignment="1" applyProtection="1">
      <alignment horizontal="center"/>
      <protection hidden="1"/>
    </xf>
    <xf numFmtId="0" fontId="7" fillId="0" borderId="12" xfId="0" applyFont="1" applyBorder="1" applyAlignment="1" applyProtection="1">
      <alignment horizontal="center"/>
      <protection locked="0" hidden="1"/>
    </xf>
    <xf numFmtId="0" fontId="7" fillId="0" borderId="13" xfId="0" applyFont="1" applyBorder="1" applyAlignment="1" applyProtection="1">
      <alignment horizontal="center"/>
      <protection locked="0" hidden="1"/>
    </xf>
    <xf numFmtId="0" fontId="7" fillId="0" borderId="28" xfId="0" applyFont="1" applyBorder="1" applyAlignment="1" applyProtection="1">
      <alignment horizontal="center"/>
      <protection locked="0" hidden="1"/>
    </xf>
    <xf numFmtId="0" fontId="7" fillId="0" borderId="21" xfId="0" applyFont="1" applyBorder="1" applyAlignment="1" applyProtection="1">
      <alignment horizontal="center"/>
      <protection hidden="1"/>
    </xf>
    <xf numFmtId="0" fontId="7" fillId="0" borderId="22" xfId="0" applyFont="1" applyBorder="1" applyAlignment="1" applyProtection="1">
      <alignment horizontal="center"/>
      <protection hidden="1"/>
    </xf>
    <xf numFmtId="0" fontId="7" fillId="0" borderId="34" xfId="0" applyFont="1" applyBorder="1" applyAlignment="1" applyProtection="1">
      <alignment horizontal="center"/>
      <protection hidden="1"/>
    </xf>
    <xf numFmtId="2" fontId="7" fillId="2" borderId="21" xfId="0" applyNumberFormat="1" applyFont="1" applyFill="1" applyBorder="1" applyAlignment="1" applyProtection="1">
      <alignment horizontal="right"/>
      <protection hidden="1"/>
    </xf>
    <xf numFmtId="2" fontId="7" fillId="2" borderId="34" xfId="0" applyNumberFormat="1" applyFont="1" applyFill="1" applyBorder="1" applyAlignment="1" applyProtection="1">
      <alignment horizontal="right"/>
      <protection hidden="1"/>
    </xf>
    <xf numFmtId="0" fontId="7" fillId="0" borderId="15" xfId="0" applyFont="1" applyBorder="1" applyAlignment="1" applyProtection="1">
      <alignment horizontal="center"/>
      <protection hidden="1"/>
    </xf>
    <xf numFmtId="0" fontId="7" fillId="0" borderId="16" xfId="0" applyFont="1" applyBorder="1" applyAlignment="1" applyProtection="1">
      <alignment horizontal="center"/>
      <protection hidden="1"/>
    </xf>
    <xf numFmtId="0" fontId="7" fillId="0" borderId="76" xfId="0" applyFont="1" applyBorder="1" applyAlignment="1" applyProtection="1">
      <alignment horizontal="center"/>
      <protection hidden="1"/>
    </xf>
    <xf numFmtId="0" fontId="7" fillId="0" borderId="29" xfId="0" applyFont="1" applyBorder="1" applyAlignment="1" applyProtection="1">
      <alignment horizontal="center"/>
      <protection hidden="1"/>
    </xf>
    <xf numFmtId="0" fontId="7" fillId="0" borderId="32" xfId="0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24" fillId="2" borderId="76" xfId="0" applyFont="1" applyFill="1" applyBorder="1" applyAlignment="1" applyProtection="1">
      <alignment horizontal="left"/>
      <protection hidden="1"/>
    </xf>
    <xf numFmtId="0" fontId="24" fillId="2" borderId="52" xfId="0" applyFont="1" applyFill="1" applyBorder="1" applyAlignment="1" applyProtection="1">
      <alignment horizontal="left"/>
      <protection hidden="1"/>
    </xf>
    <xf numFmtId="0" fontId="24" fillId="2" borderId="44" xfId="0" applyFont="1" applyFill="1" applyBorder="1" applyAlignment="1" applyProtection="1">
      <alignment horizontal="left"/>
      <protection hidden="1"/>
    </xf>
    <xf numFmtId="0" fontId="24" fillId="2" borderId="76" xfId="0" applyFont="1" applyFill="1" applyBorder="1" applyAlignment="1" applyProtection="1">
      <alignment horizontal="left" wrapText="1"/>
      <protection hidden="1"/>
    </xf>
    <xf numFmtId="0" fontId="24" fillId="2" borderId="52" xfId="0" applyFont="1" applyFill="1" applyBorder="1" applyAlignment="1" applyProtection="1">
      <alignment horizontal="left" wrapText="1"/>
      <protection hidden="1"/>
    </xf>
    <xf numFmtId="0" fontId="24" fillId="2" borderId="44" xfId="0" applyFont="1" applyFill="1" applyBorder="1" applyAlignment="1" applyProtection="1">
      <alignment horizontal="left" wrapText="1"/>
      <protection hidden="1"/>
    </xf>
    <xf numFmtId="0" fontId="24" fillId="0" borderId="76" xfId="0" applyFont="1" applyBorder="1" applyAlignment="1" applyProtection="1">
      <alignment horizontal="center"/>
      <protection hidden="1"/>
    </xf>
    <xf numFmtId="0" fontId="24" fillId="0" borderId="52" xfId="0" applyFont="1" applyBorder="1" applyAlignment="1" applyProtection="1">
      <alignment horizontal="center"/>
      <protection hidden="1"/>
    </xf>
    <xf numFmtId="0" fontId="24" fillId="0" borderId="44" xfId="0" applyFont="1" applyBorder="1" applyAlignment="1" applyProtection="1">
      <alignment horizontal="center"/>
      <protection hidden="1"/>
    </xf>
    <xf numFmtId="0" fontId="24" fillId="0" borderId="76" xfId="0" applyFont="1" applyBorder="1" applyAlignment="1" applyProtection="1">
      <alignment horizontal="left"/>
      <protection hidden="1"/>
    </xf>
    <xf numFmtId="0" fontId="24" fillId="0" borderId="52" xfId="0" applyFont="1" applyBorder="1" applyAlignment="1" applyProtection="1">
      <alignment horizontal="left"/>
      <protection hidden="1"/>
    </xf>
    <xf numFmtId="0" fontId="24" fillId="0" borderId="44" xfId="0" applyFont="1" applyBorder="1" applyAlignment="1" applyProtection="1">
      <alignment horizontal="left"/>
      <protection hidden="1"/>
    </xf>
    <xf numFmtId="0" fontId="2" fillId="2" borderId="1" xfId="0" applyFont="1" applyFill="1" applyBorder="1" applyAlignment="1" applyProtection="1">
      <alignment horizontal="left"/>
      <protection hidden="1"/>
    </xf>
    <xf numFmtId="0" fontId="2" fillId="2" borderId="2" xfId="0" applyFont="1" applyFill="1" applyBorder="1" applyAlignment="1" applyProtection="1">
      <alignment horizontal="left"/>
      <protection hidden="1"/>
    </xf>
    <xf numFmtId="0" fontId="2" fillId="2" borderId="3" xfId="0" applyFont="1" applyFill="1" applyBorder="1" applyAlignment="1" applyProtection="1">
      <alignment horizontal="left"/>
      <protection hidden="1"/>
    </xf>
    <xf numFmtId="0" fontId="9" fillId="2" borderId="36" xfId="0" applyFont="1" applyFill="1" applyBorder="1" applyAlignment="1" applyProtection="1">
      <alignment horizontal="center" wrapText="1"/>
      <protection hidden="1"/>
    </xf>
    <xf numFmtId="0" fontId="27" fillId="2" borderId="46" xfId="0" applyFont="1" applyFill="1" applyBorder="1" applyAlignment="1" applyProtection="1">
      <alignment horizontal="center" wrapText="1"/>
      <protection hidden="1"/>
    </xf>
    <xf numFmtId="0" fontId="2" fillId="2" borderId="36" xfId="0" applyFont="1" applyFill="1" applyBorder="1" applyAlignment="1" applyProtection="1">
      <alignment horizontal="center"/>
      <protection hidden="1"/>
    </xf>
    <xf numFmtId="0" fontId="2" fillId="2" borderId="37" xfId="0" applyFont="1" applyFill="1" applyBorder="1" applyAlignment="1" applyProtection="1">
      <alignment horizontal="center"/>
      <protection hidden="1"/>
    </xf>
    <xf numFmtId="0" fontId="2" fillId="2" borderId="46" xfId="0" applyFont="1" applyFill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42" xfId="0" applyFont="1" applyBorder="1" applyAlignment="1" applyProtection="1">
      <alignment horizontal="center"/>
      <protection hidden="1"/>
    </xf>
    <xf numFmtId="0" fontId="2" fillId="0" borderId="42" xfId="0" applyFont="1" applyBorder="1" applyAlignment="1" applyProtection="1">
      <alignment horizontal="left"/>
      <protection hidden="1"/>
    </xf>
    <xf numFmtId="0" fontId="2" fillId="0" borderId="43" xfId="0" applyFont="1" applyBorder="1" applyAlignment="1" applyProtection="1">
      <alignment horizontal="left"/>
      <protection hidden="1"/>
    </xf>
    <xf numFmtId="0" fontId="2" fillId="0" borderId="45" xfId="0" applyFont="1" applyBorder="1" applyAlignment="1" applyProtection="1">
      <alignment horizontal="left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44" xfId="0" applyFont="1" applyBorder="1" applyAlignment="1" applyProtection="1">
      <alignment horizontal="center"/>
      <protection hidden="1"/>
    </xf>
    <xf numFmtId="0" fontId="2" fillId="0" borderId="44" xfId="0" applyFont="1" applyBorder="1" applyAlignment="1" applyProtection="1">
      <alignment horizontal="left"/>
      <protection hidden="1"/>
    </xf>
    <xf numFmtId="0" fontId="2" fillId="0" borderId="16" xfId="0" applyFont="1" applyBorder="1" applyAlignment="1" applyProtection="1">
      <alignment horizontal="left"/>
      <protection hidden="1"/>
    </xf>
    <xf numFmtId="0" fontId="2" fillId="0" borderId="29" xfId="0" applyFont="1" applyBorder="1" applyAlignment="1" applyProtection="1">
      <alignment horizontal="left"/>
      <protection hidden="1"/>
    </xf>
    <xf numFmtId="0" fontId="2" fillId="0" borderId="44" xfId="0" applyFont="1" applyBorder="1" applyAlignment="1" applyProtection="1">
      <alignment horizontal="left"/>
      <protection locked="0" hidden="1"/>
    </xf>
    <xf numFmtId="0" fontId="2" fillId="0" borderId="16" xfId="0" applyFont="1" applyBorder="1" applyAlignment="1" applyProtection="1">
      <alignment horizontal="left"/>
      <protection locked="0" hidden="1"/>
    </xf>
    <xf numFmtId="0" fontId="2" fillId="0" borderId="29" xfId="0" applyFont="1" applyBorder="1" applyAlignment="1" applyProtection="1">
      <alignment horizontal="left"/>
      <protection locked="0" hidden="1"/>
    </xf>
    <xf numFmtId="0" fontId="2" fillId="0" borderId="18" xfId="0" applyFont="1" applyBorder="1" applyAlignment="1" applyProtection="1">
      <alignment horizontal="center"/>
      <protection hidden="1"/>
    </xf>
    <xf numFmtId="0" fontId="2" fillId="0" borderId="35" xfId="0" applyFont="1" applyBorder="1" applyAlignment="1" applyProtection="1">
      <alignment horizontal="center"/>
      <protection hidden="1"/>
    </xf>
    <xf numFmtId="0" fontId="2" fillId="0" borderId="35" xfId="0" applyFont="1" applyBorder="1" applyAlignment="1" applyProtection="1">
      <alignment horizontal="left"/>
      <protection locked="0" hidden="1"/>
    </xf>
    <xf numFmtId="0" fontId="2" fillId="0" borderId="22" xfId="0" applyFont="1" applyBorder="1" applyAlignment="1" applyProtection="1">
      <alignment horizontal="left"/>
      <protection locked="0" hidden="1"/>
    </xf>
    <xf numFmtId="0" fontId="2" fillId="0" borderId="34" xfId="0" applyFont="1" applyBorder="1" applyAlignment="1" applyProtection="1">
      <alignment horizontal="left"/>
      <protection locked="0" hidden="1"/>
    </xf>
    <xf numFmtId="0" fontId="24" fillId="0" borderId="0" xfId="0" applyFont="1" applyAlignment="1" applyProtection="1">
      <alignment horizontal="center"/>
      <protection hidden="1"/>
    </xf>
    <xf numFmtId="0" fontId="1" fillId="0" borderId="65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/>
      <protection hidden="1"/>
    </xf>
    <xf numFmtId="0" fontId="3" fillId="0" borderId="43" xfId="0" applyFont="1" applyBorder="1" applyAlignment="1" applyProtection="1">
      <alignment horizontal="center" textRotation="90"/>
      <protection hidden="1"/>
    </xf>
    <xf numFmtId="0" fontId="3" fillId="0" borderId="22" xfId="0" applyFont="1" applyBorder="1" applyAlignment="1" applyProtection="1">
      <alignment horizontal="center" textRotation="90"/>
      <protection hidden="1"/>
    </xf>
    <xf numFmtId="0" fontId="3" fillId="0" borderId="23" xfId="0" applyFont="1" applyBorder="1" applyAlignment="1" applyProtection="1">
      <alignment horizontal="center" textRotation="90" wrapText="1"/>
      <protection hidden="1"/>
    </xf>
    <xf numFmtId="0" fontId="3" fillId="0" borderId="9" xfId="0" applyFont="1" applyBorder="1" applyAlignment="1" applyProtection="1">
      <alignment horizontal="center" textRotation="90" wrapText="1"/>
      <protection hidden="1"/>
    </xf>
    <xf numFmtId="0" fontId="3" fillId="0" borderId="54" xfId="0" applyFont="1" applyBorder="1" applyAlignment="1" applyProtection="1">
      <alignment horizontal="center" textRotation="90" wrapText="1"/>
      <protection hidden="1"/>
    </xf>
    <xf numFmtId="0" fontId="3" fillId="0" borderId="57" xfId="0" applyFont="1" applyBorder="1" applyAlignment="1" applyProtection="1">
      <alignment horizontal="center" textRotation="90" wrapText="1"/>
      <protection hidden="1"/>
    </xf>
    <xf numFmtId="0" fontId="3" fillId="0" borderId="21" xfId="0" applyFont="1" applyBorder="1" applyAlignment="1" applyProtection="1">
      <alignment horizontal="center" textRotation="90" wrapText="1"/>
      <protection hidden="1"/>
    </xf>
    <xf numFmtId="0" fontId="3" fillId="0" borderId="22" xfId="0" applyFont="1" applyBorder="1" applyAlignment="1" applyProtection="1">
      <alignment horizontal="center" textRotation="90" wrapText="1"/>
      <protection hidden="1"/>
    </xf>
    <xf numFmtId="0" fontId="3" fillId="0" borderId="34" xfId="0" applyFont="1" applyBorder="1" applyAlignment="1" applyProtection="1">
      <alignment horizontal="center" textRotation="90" wrapText="1"/>
      <protection hidden="1"/>
    </xf>
    <xf numFmtId="0" fontId="7" fillId="0" borderId="0" xfId="0" applyFont="1" applyAlignment="1" applyProtection="1">
      <alignment horizontal="left" vertical="center" wrapText="1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wrapText="1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7" fillId="0" borderId="53" xfId="0" applyFont="1" applyBorder="1" applyAlignment="1" applyProtection="1">
      <alignment horizontal="left" vertical="center"/>
      <protection hidden="1"/>
    </xf>
    <xf numFmtId="0" fontId="7" fillId="0" borderId="16" xfId="0" applyFont="1" applyBorder="1" applyAlignment="1" applyProtection="1">
      <alignment horizontal="center" vertical="center" wrapText="1"/>
      <protection hidden="1"/>
    </xf>
    <xf numFmtId="0" fontId="7" fillId="0" borderId="20" xfId="0" applyFont="1" applyBorder="1" applyAlignment="1" applyProtection="1">
      <alignment horizontal="center" vertical="center" wrapText="1"/>
      <protection hidden="1"/>
    </xf>
    <xf numFmtId="0" fontId="7" fillId="0" borderId="35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7" fillId="0" borderId="1" xfId="0" applyFont="1" applyBorder="1" applyAlignment="1" applyProtection="1">
      <alignment horizontal="left"/>
      <protection hidden="1"/>
    </xf>
    <xf numFmtId="0" fontId="17" fillId="0" borderId="3" xfId="0" applyFont="1" applyBorder="1" applyAlignment="1" applyProtection="1">
      <alignment horizontal="left"/>
      <protection hidden="1"/>
    </xf>
    <xf numFmtId="0" fontId="18" fillId="0" borderId="36" xfId="0" applyFont="1" applyBorder="1" applyAlignment="1" applyProtection="1">
      <alignment horizontal="center"/>
      <protection locked="0"/>
    </xf>
    <xf numFmtId="0" fontId="18" fillId="0" borderId="37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7" fillId="0" borderId="36" xfId="0" applyFont="1" applyBorder="1" applyAlignment="1" applyProtection="1">
      <alignment horizontal="left"/>
      <protection hidden="1"/>
    </xf>
    <xf numFmtId="0" fontId="17" fillId="0" borderId="37" xfId="0" applyFont="1" applyBorder="1" applyAlignment="1" applyProtection="1">
      <alignment horizontal="left"/>
      <protection hidden="1"/>
    </xf>
    <xf numFmtId="0" fontId="18" fillId="0" borderId="1" xfId="0" applyFont="1" applyBorder="1" applyAlignment="1" applyProtection="1">
      <alignment horizontal="center"/>
      <protection locked="0" hidden="1"/>
    </xf>
    <xf numFmtId="0" fontId="18" fillId="0" borderId="2" xfId="0" applyFont="1" applyBorder="1" applyAlignment="1" applyProtection="1">
      <alignment horizontal="center"/>
      <protection locked="0" hidden="1"/>
    </xf>
    <xf numFmtId="0" fontId="18" fillId="0" borderId="3" xfId="0" applyFont="1" applyBorder="1" applyAlignment="1" applyProtection="1">
      <alignment horizontal="center"/>
      <protection locked="0" hidden="1"/>
    </xf>
    <xf numFmtId="0" fontId="18" fillId="0" borderId="47" xfId="0" applyFont="1" applyBorder="1" applyAlignment="1" applyProtection="1">
      <alignment horizontal="center"/>
      <protection locked="0"/>
    </xf>
    <xf numFmtId="0" fontId="18" fillId="0" borderId="48" xfId="0" applyFont="1" applyBorder="1" applyAlignment="1" applyProtection="1">
      <alignment horizontal="center"/>
      <protection locked="0"/>
    </xf>
    <xf numFmtId="0" fontId="18" fillId="0" borderId="49" xfId="0" applyFont="1" applyBorder="1" applyAlignment="1" applyProtection="1">
      <alignment horizontal="center"/>
      <protection locked="0"/>
    </xf>
    <xf numFmtId="0" fontId="18" fillId="0" borderId="1" xfId="0" applyFont="1" applyBorder="1" applyAlignment="1" applyProtection="1">
      <alignment horizontal="center"/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18" fillId="0" borderId="27" xfId="0" applyFont="1" applyBorder="1" applyAlignment="1" applyProtection="1">
      <alignment horizontal="center"/>
      <protection locked="0"/>
    </xf>
    <xf numFmtId="0" fontId="17" fillId="0" borderId="7" xfId="0" applyFont="1" applyBorder="1" applyAlignment="1" applyProtection="1">
      <alignment horizontal="left"/>
      <protection hidden="1"/>
    </xf>
    <xf numFmtId="0" fontId="17" fillId="0" borderId="27" xfId="0" applyFont="1" applyBorder="1" applyAlignment="1" applyProtection="1">
      <alignment horizontal="left"/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wrapText="1"/>
      <protection hidden="1"/>
    </xf>
    <xf numFmtId="0" fontId="5" fillId="0" borderId="11" xfId="0" applyFont="1" applyBorder="1" applyAlignment="1" applyProtection="1">
      <alignment horizontal="left" vertical="center" wrapText="1"/>
      <protection hidden="1"/>
    </xf>
    <xf numFmtId="0" fontId="5" fillId="0" borderId="14" xfId="0" applyFont="1" applyBorder="1" applyAlignment="1" applyProtection="1">
      <alignment horizontal="left" vertical="center" wrapText="1"/>
      <protection hidden="1"/>
    </xf>
    <xf numFmtId="0" fontId="5" fillId="0" borderId="18" xfId="0" applyFont="1" applyBorder="1" applyAlignment="1" applyProtection="1">
      <alignment horizontal="left" vertical="center" wrapText="1"/>
      <protection hidden="1"/>
    </xf>
    <xf numFmtId="0" fontId="5" fillId="0" borderId="54" xfId="0" applyFont="1" applyBorder="1" applyAlignment="1" applyProtection="1">
      <alignment horizontal="left" vertical="center" wrapText="1"/>
      <protection hidden="1"/>
    </xf>
    <xf numFmtId="0" fontId="5" fillId="0" borderId="56" xfId="0" applyFont="1" applyBorder="1" applyAlignment="1" applyProtection="1">
      <alignment horizontal="left" vertical="center" wrapText="1"/>
      <protection hidden="1"/>
    </xf>
    <xf numFmtId="0" fontId="5" fillId="0" borderId="57" xfId="0" applyFont="1" applyBorder="1" applyAlignment="1" applyProtection="1">
      <alignment horizontal="left" vertical="center" wrapText="1"/>
      <protection hidden="1"/>
    </xf>
    <xf numFmtId="0" fontId="5" fillId="0" borderId="6" xfId="0" applyFont="1" applyBorder="1" applyAlignment="1" applyProtection="1">
      <alignment horizontal="left" vertical="center"/>
      <protection hidden="1"/>
    </xf>
    <xf numFmtId="0" fontId="5" fillId="0" borderId="24" xfId="0" applyFont="1" applyBorder="1" applyAlignment="1" applyProtection="1">
      <alignment horizontal="left" vertical="center"/>
      <protection hidden="1"/>
    </xf>
    <xf numFmtId="0" fontId="5" fillId="0" borderId="25" xfId="0" applyFont="1" applyBorder="1" applyAlignment="1" applyProtection="1">
      <alignment horizontal="left" vertical="center"/>
      <protection hidden="1"/>
    </xf>
    <xf numFmtId="0" fontId="19" fillId="3" borderId="6" xfId="0" applyFont="1" applyFill="1" applyBorder="1" applyAlignment="1" applyProtection="1">
      <alignment horizontal="left" vertical="center"/>
      <protection hidden="1"/>
    </xf>
    <xf numFmtId="0" fontId="19" fillId="3" borderId="9" xfId="0" applyFont="1" applyFill="1" applyBorder="1" applyAlignment="1" applyProtection="1">
      <alignment horizontal="left" vertical="center"/>
      <protection hidden="1"/>
    </xf>
    <xf numFmtId="0" fontId="5" fillId="0" borderId="6" xfId="0" applyFont="1" applyBorder="1" applyAlignment="1" applyProtection="1">
      <alignment horizontal="left" vertical="center" wrapText="1"/>
      <protection hidden="1"/>
    </xf>
    <xf numFmtId="0" fontId="5" fillId="0" borderId="24" xfId="0" applyFont="1" applyBorder="1" applyAlignment="1" applyProtection="1">
      <alignment horizontal="left" vertical="center" wrapText="1"/>
      <protection hidden="1"/>
    </xf>
    <xf numFmtId="0" fontId="5" fillId="0" borderId="25" xfId="0" applyFont="1" applyBorder="1" applyAlignment="1" applyProtection="1">
      <alignment horizontal="left" vertical="center" wrapText="1"/>
      <protection hidden="1"/>
    </xf>
    <xf numFmtId="0" fontId="19" fillId="3" borderId="54" xfId="0" applyFont="1" applyFill="1" applyBorder="1" applyAlignment="1" applyProtection="1">
      <alignment horizontal="left" vertical="center"/>
      <protection hidden="1"/>
    </xf>
    <xf numFmtId="0" fontId="19" fillId="3" borderId="57" xfId="0" applyFont="1" applyFill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left" vertical="center"/>
      <protection hidden="1"/>
    </xf>
    <xf numFmtId="0" fontId="4" fillId="0" borderId="2" xfId="0" applyFont="1" applyBorder="1" applyAlignment="1" applyProtection="1">
      <alignment horizontal="left" vertical="center"/>
      <protection hidden="1"/>
    </xf>
    <xf numFmtId="0" fontId="4" fillId="0" borderId="3" xfId="0" applyFont="1" applyBorder="1" applyAlignment="1" applyProtection="1">
      <alignment horizontal="left" vertical="center"/>
      <protection hidden="1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left" vertical="center"/>
      <protection locked="0"/>
    </xf>
    <xf numFmtId="0" fontId="13" fillId="0" borderId="2" xfId="0" applyFont="1" applyBorder="1" applyAlignment="1" applyProtection="1">
      <alignment horizontal="left" vertical="center"/>
      <protection locked="0"/>
    </xf>
    <xf numFmtId="0" fontId="13" fillId="0" borderId="3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left" vertical="center"/>
      <protection hidden="1"/>
    </xf>
    <xf numFmtId="0" fontId="4" fillId="0" borderId="5" xfId="0" applyFont="1" applyBorder="1" applyAlignment="1" applyProtection="1">
      <alignment horizontal="left" vertical="center"/>
      <protection hidden="1"/>
    </xf>
    <xf numFmtId="0" fontId="4" fillId="0" borderId="26" xfId="0" applyFont="1" applyBorder="1" applyAlignment="1" applyProtection="1">
      <alignment horizontal="left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10" fillId="0" borderId="36" xfId="0" applyFont="1" applyBorder="1" applyAlignment="1" applyProtection="1">
      <alignment horizontal="center" vertical="center" wrapText="1"/>
      <protection hidden="1"/>
    </xf>
    <xf numFmtId="0" fontId="10" fillId="0" borderId="37" xfId="0" applyFont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/>
      <protection hidden="1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3" xfId="0" applyFont="1" applyBorder="1" applyAlignment="1" applyProtection="1">
      <alignment horizontal="center"/>
      <protection hidden="1"/>
    </xf>
    <xf numFmtId="0" fontId="10" fillId="0" borderId="41" xfId="0" applyFont="1" applyBorder="1" applyAlignment="1" applyProtection="1">
      <alignment horizontal="center"/>
      <protection hidden="1"/>
    </xf>
    <xf numFmtId="0" fontId="7" fillId="0" borderId="42" xfId="0" applyFont="1" applyBorder="1" applyAlignment="1" applyProtection="1">
      <alignment horizontal="left"/>
      <protection hidden="1"/>
    </xf>
    <xf numFmtId="0" fontId="7" fillId="0" borderId="43" xfId="0" applyFont="1" applyBorder="1" applyAlignment="1" applyProtection="1">
      <alignment horizontal="left"/>
      <protection hidden="1"/>
    </xf>
    <xf numFmtId="0" fontId="7" fillId="0" borderId="45" xfId="0" applyFont="1" applyBorder="1" applyAlignment="1" applyProtection="1">
      <alignment horizontal="left"/>
      <protection hidden="1"/>
    </xf>
    <xf numFmtId="0" fontId="7" fillId="0" borderId="44" xfId="0" applyFont="1" applyBorder="1" applyAlignment="1" applyProtection="1">
      <alignment horizontal="left"/>
      <protection hidden="1"/>
    </xf>
    <xf numFmtId="0" fontId="7" fillId="0" borderId="16" xfId="0" applyFont="1" applyBorder="1" applyAlignment="1" applyProtection="1">
      <alignment horizontal="left"/>
      <protection hidden="1"/>
    </xf>
    <xf numFmtId="0" fontId="7" fillId="0" borderId="29" xfId="0" applyFont="1" applyBorder="1" applyAlignment="1" applyProtection="1">
      <alignment horizontal="left"/>
      <protection hidden="1"/>
    </xf>
    <xf numFmtId="0" fontId="7" fillId="0" borderId="35" xfId="0" applyFont="1" applyBorder="1" applyAlignment="1" applyProtection="1">
      <alignment horizontal="left"/>
      <protection hidden="1"/>
    </xf>
    <xf numFmtId="0" fontId="7" fillId="0" borderId="22" xfId="0" applyFont="1" applyBorder="1" applyAlignment="1" applyProtection="1">
      <alignment horizontal="left"/>
      <protection hidden="1"/>
    </xf>
    <xf numFmtId="0" fontId="7" fillId="0" borderId="34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center" textRotation="90"/>
      <protection hidden="1"/>
    </xf>
    <xf numFmtId="0" fontId="6" fillId="0" borderId="9" xfId="0" applyFont="1" applyBorder="1" applyAlignment="1" applyProtection="1">
      <alignment horizontal="center" textRotation="90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10" fillId="3" borderId="6" xfId="0" applyFont="1" applyFill="1" applyBorder="1" applyAlignment="1" applyProtection="1">
      <alignment horizontal="center" vertical="center" wrapText="1"/>
      <protection hidden="1"/>
    </xf>
    <xf numFmtId="0" fontId="10" fillId="3" borderId="9" xfId="0" applyFont="1" applyFill="1" applyBorder="1" applyAlignment="1" applyProtection="1">
      <alignment horizontal="center" vertical="center" wrapText="1"/>
      <protection hidden="1"/>
    </xf>
    <xf numFmtId="0" fontId="7" fillId="0" borderId="23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 vertical="center"/>
      <protection hidden="1"/>
    </xf>
    <xf numFmtId="0" fontId="7" fillId="0" borderId="25" xfId="0" applyFont="1" applyBorder="1" applyAlignment="1" applyProtection="1">
      <alignment horizontal="center" vertical="center"/>
      <protection hidden="1"/>
    </xf>
    <xf numFmtId="0" fontId="10" fillId="3" borderId="25" xfId="0" applyFont="1" applyFill="1" applyBorder="1" applyAlignment="1" applyProtection="1">
      <alignment horizontal="center" vertical="center" wrapText="1"/>
      <protection hidden="1"/>
    </xf>
    <xf numFmtId="0" fontId="10" fillId="2" borderId="11" xfId="0" applyFont="1" applyFill="1" applyBorder="1" applyAlignment="1" applyProtection="1">
      <alignment horizontal="center" wrapText="1"/>
      <protection hidden="1"/>
    </xf>
    <xf numFmtId="0" fontId="10" fillId="2" borderId="18" xfId="0" applyFont="1" applyFill="1" applyBorder="1" applyAlignment="1" applyProtection="1">
      <alignment horizontal="center" wrapText="1"/>
      <protection hidden="1"/>
    </xf>
    <xf numFmtId="0" fontId="6" fillId="0" borderId="6" xfId="0" applyFont="1" applyBorder="1" applyAlignment="1" applyProtection="1">
      <alignment horizontal="center" textRotation="90" wrapText="1"/>
      <protection hidden="1"/>
    </xf>
    <xf numFmtId="0" fontId="6" fillId="0" borderId="9" xfId="0" applyFont="1" applyBorder="1" applyAlignment="1" applyProtection="1">
      <alignment horizontal="center" textRotation="90" wrapText="1"/>
      <protection hidden="1"/>
    </xf>
  </cellXfs>
  <cellStyles count="2">
    <cellStyle name="Normal" xfId="0" builtinId="0"/>
    <cellStyle name="Percent" xfId="1" builtinId="5"/>
  </cellStyles>
  <dxfs count="510"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B0D3FA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ECB2F8"/>
        </patternFill>
      </fill>
    </dxf>
    <dxf>
      <fill>
        <patternFill patternType="solid">
          <bgColor rgb="FFCFA17B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B0D3FA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ECB2F8"/>
        </patternFill>
      </fill>
    </dxf>
    <dxf>
      <fill>
        <patternFill patternType="solid">
          <bgColor rgb="FFCFA17B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B0D3FA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ECB2F8"/>
        </patternFill>
      </fill>
    </dxf>
    <dxf>
      <fill>
        <patternFill patternType="solid">
          <bgColor rgb="FFCFA17B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B0D3FA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ECB2F8"/>
        </patternFill>
      </fill>
    </dxf>
    <dxf>
      <fill>
        <patternFill patternType="solid">
          <bgColor rgb="FFCFA17B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B0D3FA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ECB2F8"/>
        </patternFill>
      </fill>
    </dxf>
    <dxf>
      <fill>
        <patternFill patternType="solid">
          <bgColor rgb="FFCFA17B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B0D3FA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ECB2F8"/>
        </patternFill>
      </fill>
    </dxf>
    <dxf>
      <fill>
        <patternFill patternType="solid">
          <bgColor rgb="FFCFA17B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B0D3FA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ECB2F8"/>
        </patternFill>
      </fill>
    </dxf>
    <dxf>
      <fill>
        <patternFill patternType="solid">
          <bgColor rgb="FFCFA17B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B0D3FA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ECB2F8"/>
        </patternFill>
      </fill>
    </dxf>
    <dxf>
      <fill>
        <patternFill patternType="solid">
          <bgColor rgb="FFCFA17B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B0D3FA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ECB2F8"/>
        </patternFill>
      </fill>
    </dxf>
    <dxf>
      <fill>
        <patternFill patternType="solid">
          <bgColor rgb="FFCFA17B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B0D3FA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ECB2F8"/>
        </patternFill>
      </fill>
    </dxf>
    <dxf>
      <fill>
        <patternFill patternType="solid">
          <bgColor rgb="FFCFA17B"/>
        </patternFill>
      </fill>
    </dxf>
  </dxfs>
  <tableStyles count="0" defaultTableStyle="TableStyleMedium2" defaultPivotStyle="PivotStyleLight16"/>
  <colors>
    <mruColors>
      <color rgb="FFECB2F8"/>
      <color rgb="FFCFA17B"/>
      <color rgb="FFCC00CC"/>
      <color rgb="FF00B0F0"/>
      <color rgb="FF00FFFF"/>
      <color rgb="FF008FFA"/>
      <color rgb="FF217BFF"/>
      <color rgb="FFB0D3FA"/>
      <color rgb="FF99B6F1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N89"/>
  <sheetViews>
    <sheetView topLeftCell="A53" workbookViewId="0">
      <selection activeCell="R8" sqref="R8"/>
    </sheetView>
  </sheetViews>
  <sheetFormatPr defaultColWidth="9.109375" defaultRowHeight="13.8"/>
  <cols>
    <col min="1" max="1" width="3.33203125" style="168" customWidth="1"/>
    <col min="2" max="2" width="5.88671875" style="168" customWidth="1"/>
    <col min="3" max="3" width="25.33203125" style="168" customWidth="1"/>
    <col min="4" max="4" width="3.6640625" style="168" customWidth="1"/>
    <col min="5" max="5" width="3" style="168" customWidth="1"/>
    <col min="6" max="6" width="3.6640625" style="168" customWidth="1"/>
    <col min="7" max="7" width="3" style="168" customWidth="1"/>
    <col min="8" max="8" width="3.6640625" style="168" customWidth="1"/>
    <col min="9" max="9" width="3" style="168" customWidth="1"/>
    <col min="10" max="10" width="3.6640625" style="168" customWidth="1"/>
    <col min="11" max="11" width="3" style="168" customWidth="1"/>
    <col min="12" max="12" width="3.6640625" style="168" customWidth="1"/>
    <col min="13" max="13" width="3" style="168" customWidth="1"/>
    <col min="14" max="14" width="3.6640625" style="168" customWidth="1"/>
    <col min="15" max="15" width="3" style="168" customWidth="1"/>
    <col min="16" max="16" width="3.6640625" style="168" customWidth="1"/>
    <col min="17" max="17" width="3" style="168" customWidth="1"/>
    <col min="18" max="18" width="3.33203125" style="168" customWidth="1"/>
    <col min="19" max="19" width="3.6640625" style="168" customWidth="1"/>
    <col min="20" max="20" width="3" style="168" customWidth="1"/>
    <col min="21" max="21" width="3.33203125" style="168" customWidth="1"/>
    <col min="22" max="22" width="3.6640625" style="168" customWidth="1"/>
    <col min="23" max="23" width="3" style="168" customWidth="1"/>
    <col min="24" max="24" width="3.33203125" style="168" customWidth="1"/>
    <col min="25" max="29" width="3.5546875" style="169" customWidth="1"/>
    <col min="30" max="30" width="3" style="170" customWidth="1"/>
    <col min="31" max="31" width="3.5546875" style="170" customWidth="1"/>
    <col min="32" max="32" width="4.88671875" style="171" customWidth="1"/>
    <col min="33" max="33" width="5.88671875" style="171" customWidth="1"/>
    <col min="34" max="34" width="3.88671875" style="169" customWidth="1"/>
    <col min="35" max="16384" width="9.109375" style="168"/>
  </cols>
  <sheetData>
    <row r="2" spans="1:34" ht="7.5" customHeight="1"/>
    <row r="3" spans="1:34" ht="19.5" customHeight="1">
      <c r="A3" s="308" t="s">
        <v>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</row>
    <row r="4" spans="1:34" s="166" customFormat="1" ht="15.75" customHeight="1">
      <c r="A4" s="310" t="s">
        <v>1</v>
      </c>
      <c r="B4" s="310"/>
      <c r="C4" s="310"/>
      <c r="D4" s="311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3" t="s">
        <v>2</v>
      </c>
      <c r="T4" s="314"/>
      <c r="U4" s="314"/>
      <c r="V4" s="315"/>
      <c r="W4" s="316"/>
      <c r="X4" s="317"/>
      <c r="Y4" s="317"/>
      <c r="Z4" s="317"/>
      <c r="AA4" s="317"/>
      <c r="AB4" s="318"/>
      <c r="AC4" s="319" t="s">
        <v>3</v>
      </c>
      <c r="AD4" s="320"/>
      <c r="AE4" s="321"/>
      <c r="AF4" s="321"/>
      <c r="AG4" s="316"/>
      <c r="AH4" s="318"/>
    </row>
    <row r="5" spans="1:34" s="166" customFormat="1" ht="15.75" customHeight="1">
      <c r="A5" s="310" t="s">
        <v>4</v>
      </c>
      <c r="B5" s="310"/>
      <c r="C5" s="310"/>
      <c r="D5" s="322"/>
      <c r="E5" s="322"/>
      <c r="F5" s="322"/>
      <c r="G5" s="322"/>
      <c r="H5" s="322"/>
      <c r="I5" s="322"/>
      <c r="J5" s="323" t="s">
        <v>5</v>
      </c>
      <c r="K5" s="323"/>
      <c r="L5" s="323"/>
      <c r="M5" s="323"/>
      <c r="N5" s="311"/>
      <c r="O5" s="312"/>
      <c r="P5" s="312"/>
      <c r="Q5" s="312"/>
      <c r="R5" s="312"/>
      <c r="S5" s="324" t="s">
        <v>6</v>
      </c>
      <c r="T5" s="325"/>
      <c r="U5" s="325"/>
      <c r="V5" s="326"/>
      <c r="W5" s="327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9"/>
    </row>
    <row r="6" spans="1:34" ht="76.5" customHeight="1">
      <c r="A6" s="402"/>
      <c r="B6" s="404" t="s">
        <v>7</v>
      </c>
      <c r="C6" s="172" t="s">
        <v>8</v>
      </c>
      <c r="D6" s="330" t="s">
        <v>9</v>
      </c>
      <c r="E6" s="331"/>
      <c r="F6" s="330" t="s">
        <v>10</v>
      </c>
      <c r="G6" s="331"/>
      <c r="H6" s="332" t="s">
        <v>11</v>
      </c>
      <c r="I6" s="333"/>
      <c r="J6" s="330" t="s">
        <v>12</v>
      </c>
      <c r="K6" s="331"/>
      <c r="L6" s="330" t="s">
        <v>13</v>
      </c>
      <c r="M6" s="331"/>
      <c r="N6" s="330" t="s">
        <v>14</v>
      </c>
      <c r="O6" s="334"/>
      <c r="P6" s="335" t="s">
        <v>15</v>
      </c>
      <c r="Q6" s="336"/>
      <c r="R6" s="337"/>
      <c r="S6" s="332" t="s">
        <v>16</v>
      </c>
      <c r="T6" s="338"/>
      <c r="U6" s="333"/>
      <c r="V6" s="332" t="s">
        <v>17</v>
      </c>
      <c r="W6" s="338"/>
      <c r="X6" s="333"/>
      <c r="Y6" s="339" t="s">
        <v>18</v>
      </c>
      <c r="Z6" s="340"/>
      <c r="AA6" s="340"/>
      <c r="AB6" s="340"/>
      <c r="AC6" s="341"/>
      <c r="AD6" s="406" t="s">
        <v>19</v>
      </c>
      <c r="AE6" s="408" t="s">
        <v>20</v>
      </c>
      <c r="AF6" s="332" t="s">
        <v>21</v>
      </c>
      <c r="AG6" s="338" t="s">
        <v>22</v>
      </c>
      <c r="AH6" s="333" t="s">
        <v>23</v>
      </c>
    </row>
    <row r="7" spans="1:34" ht="18" customHeight="1">
      <c r="A7" s="403"/>
      <c r="B7" s="405"/>
      <c r="C7" s="173" t="s">
        <v>24</v>
      </c>
      <c r="D7" s="174" t="s">
        <v>25</v>
      </c>
      <c r="E7" s="175" t="s">
        <v>26</v>
      </c>
      <c r="F7" s="174" t="s">
        <v>25</v>
      </c>
      <c r="G7" s="175" t="s">
        <v>26</v>
      </c>
      <c r="H7" s="174" t="s">
        <v>25</v>
      </c>
      <c r="I7" s="175" t="s">
        <v>26</v>
      </c>
      <c r="J7" s="174" t="s">
        <v>25</v>
      </c>
      <c r="K7" s="175" t="s">
        <v>26</v>
      </c>
      <c r="L7" s="174" t="s">
        <v>25</v>
      </c>
      <c r="M7" s="175" t="s">
        <v>26</v>
      </c>
      <c r="N7" s="174" t="s">
        <v>25</v>
      </c>
      <c r="O7" s="183" t="s">
        <v>26</v>
      </c>
      <c r="P7" s="174" t="s">
        <v>25</v>
      </c>
      <c r="Q7" s="186" t="s">
        <v>26</v>
      </c>
      <c r="R7" s="187" t="s">
        <v>27</v>
      </c>
      <c r="S7" s="174" t="s">
        <v>25</v>
      </c>
      <c r="T7" s="186" t="s">
        <v>26</v>
      </c>
      <c r="U7" s="188" t="s">
        <v>27</v>
      </c>
      <c r="V7" s="174" t="s">
        <v>25</v>
      </c>
      <c r="W7" s="186" t="s">
        <v>26</v>
      </c>
      <c r="X7" s="188" t="s">
        <v>27</v>
      </c>
      <c r="Y7" s="202" t="s">
        <v>28</v>
      </c>
      <c r="Z7" s="203" t="s">
        <v>29</v>
      </c>
      <c r="AA7" s="203" t="s">
        <v>30</v>
      </c>
      <c r="AB7" s="203" t="s">
        <v>31</v>
      </c>
      <c r="AC7" s="204" t="s">
        <v>32</v>
      </c>
      <c r="AD7" s="407"/>
      <c r="AE7" s="409"/>
      <c r="AF7" s="410"/>
      <c r="AG7" s="411"/>
      <c r="AH7" s="412"/>
    </row>
    <row r="8" spans="1:34" s="167" customFormat="1" ht="12.75" customHeight="1">
      <c r="A8" s="176">
        <v>1</v>
      </c>
      <c r="B8" s="177"/>
      <c r="C8" s="178"/>
      <c r="D8" s="179"/>
      <c r="E8" s="180" t="str">
        <f>IF(D8="","",IF(D8="ab","ab",IF(D8&gt;=75,"A",(IF(D8&gt;=65,"B",IF(D8&gt;=50,"C",IF(D8&gt;=40,"S","W")))))))</f>
        <v/>
      </c>
      <c r="F8" s="179"/>
      <c r="G8" s="180" t="str">
        <f>IF(F8="","",IF(F8="ab","ab",IF(F8&gt;=75,"A",(IF(F8&gt;=65,"B",IF(F8&gt;=50,"C",IF(F8&gt;=40,"S","W")))))))</f>
        <v/>
      </c>
      <c r="H8" s="179"/>
      <c r="I8" s="180" t="str">
        <f>IF(H8="","",IF(H8="ab","ab",IF(H8&gt;=75,"A",(IF(H8&gt;=65,"B",IF(H8&gt;=50,"C",IF(H8&gt;=40,"S","W")))))))</f>
        <v/>
      </c>
      <c r="J8" s="179"/>
      <c r="K8" s="180" t="str">
        <f>IF(J8="","",IF(J8="ab","ab",IF(J8&gt;=75,"A",(IF(J8&gt;=65,"B",IF(J8&gt;=50,"C",IF(J8&gt;=40,"S","W")))))))</f>
        <v/>
      </c>
      <c r="L8" s="179"/>
      <c r="M8" s="180" t="str">
        <f>IF(L8="","",IF(L8="ab","ab",IF(L8&gt;=75,"A",(IF(L8&gt;=65,"B",IF(L8&gt;=50,"C",IF(L8&gt;=40,"S","W")))))))</f>
        <v/>
      </c>
      <c r="N8" s="179"/>
      <c r="O8" s="184" t="str">
        <f>IF(N8="","",IF(N8="ab","ab",IF(N8&gt;=75,"A",(IF(N8&gt;=65,"B",IF(N8&gt;=50,"C",IF(N8&gt;=40,"S","W")))))))</f>
        <v/>
      </c>
      <c r="P8" s="179"/>
      <c r="Q8" s="189" t="str">
        <f t="shared" ref="Q8:Q62" si="0">IF(P8="","",IF(P8="ab","ab",IF(P8&gt;=75,"A",(IF(P8&gt;=65,"B",IF(P8&gt;=50,"C",IF(P8&gt;=40,"S","W")))))))</f>
        <v/>
      </c>
      <c r="R8" s="190"/>
      <c r="S8" s="179"/>
      <c r="T8" s="189" t="str">
        <f>IF(S8="","",IF(S8="ab","ab",IF(S8&gt;=75,"A",(IF(S8&gt;=65,"B",IF(S8&gt;=50,"C",IF(S8&gt;=40,"S","W")))))))</f>
        <v/>
      </c>
      <c r="U8" s="190"/>
      <c r="V8" s="179"/>
      <c r="W8" s="189" t="str">
        <f>IF(V8="","",IF(V8="ab","ab",IF(V8&gt;=75,"A",(IF(V8&gt;=65,"B",IF(V8&gt;=50,"C",IF(V8&gt;=40,"S","W")))))))</f>
        <v/>
      </c>
      <c r="X8" s="191"/>
      <c r="Y8" s="205" t="str">
        <f t="shared" ref="Y8:Y62" si="1">IF(AND($D8="ab",$F8="ab",$H8="ab",$J8="ab",$L8="ab",$N8="ab",$P8="ab",$S8="ab",$V8="ab"),"-",IF(COUNT($D8:$W8)=0,"",(COUNTIF($D8:$W8,"A"))))</f>
        <v/>
      </c>
      <c r="Z8" s="206" t="str">
        <f t="shared" ref="Z8:Z62" si="2">IF(AND($D8="ab",$F8="ab",$H8="ab",$J8="ab",$L8="ab",$N8="ab",$P8="ab",$S8="ab",$V8="ab"),"-",IF(COUNT($D8:$W8)=0,"",(COUNTIF($D8:$W8,"B"))))</f>
        <v/>
      </c>
      <c r="AA8" s="206" t="str">
        <f t="shared" ref="AA8:AA62" si="3">IF(AND($D8="ab",$F8="ab",$H8="ab",$J8="ab",$L8="ab",$N8="ab",$P8="ab",$S8="ab",$V8="ab"),"-",IF(COUNT($D8:$W8)=0,"",(COUNTIF($D8:$W8,"C"))))</f>
        <v/>
      </c>
      <c r="AB8" s="206" t="str">
        <f t="shared" ref="AB8:AB62" si="4">IF(AND($D8="ab",$F8="ab",$H8="ab",$J8="ab",$L8="ab",$N8="ab",$P8="ab",$S8="ab",$V8="ab"),"-",IF(COUNT($D8:$W8)=0,"",(COUNTIF($D8:$W8,"S"))))</f>
        <v/>
      </c>
      <c r="AC8" s="207" t="str">
        <f t="shared" ref="AC8:AC62" si="5">IF(AND($D8="ab",$F8="ab",$H8="ab",$J8="ab",$L8="ab",$N8="ab",$P8="ab",$S8="ab",$V8="ab"),"-",IF(COUNT($D8:$W8)=0,"",(COUNTIF($D8:$W8,"W"))))</f>
        <v/>
      </c>
      <c r="AD8" s="208" t="str">
        <f t="shared" ref="AD8:AD10" si="6">IF(AND(D8="ab",F8="ab",H8="ab",J8="ab",L8="ab",N8="ab",P8="ab",S8="ab",V8="ab"),"ab",IF(AND(Y8="",Z8="",AA8="",AB8="",AC8=""),"",IF(AND((D8&gt;=40),(H8&gt;=40),(Y8+Z8+AA8+AB8)&gt;=6,(Y8+Z8+AA8)&gt;=3),"P","F")))</f>
        <v/>
      </c>
      <c r="AE8" s="209" t="str">
        <f>IF(AD8="","",IF(AD8="P","P",IF(AND(AD8="F",H8&gt;=40,D8&gt;=40,(Y8+Z8+AA8+AB8)&gt;=6,(Y8+Z8+AA8)=2),"Q1",IF(AND(AD8="F",(OR(H8&gt;=40,D8&gt;=40)),(Y8+Z8+AA8+AB8)&gt;=5,(Y8+Z8+AA8)&gt;=3),"Q2",IF((COUNTIF(D8:X8,"&gt;=40"))&gt;=5,"R1",IF((COUNTIF(D8:X8,"&gt;=20"))&gt;=5,"R2","F"))))))</f>
        <v/>
      </c>
      <c r="AF8" s="210" t="str">
        <f t="shared" ref="AF8:AF62" si="7">IF(AND(D8="",F8="",H8="",J8="",L8="",N8="",P8="",S8="",V8=""),"",IF(AND(D8="ab",F8="ab",H8="ab",J8="ab",L8="ab",N8="ab",P8="ab",S8="ab",V8="ab"),"ab",IF(COUNT(D8:W8)=0,"",(SUM(D8:V8)))))</f>
        <v/>
      </c>
      <c r="AG8" s="219" t="str">
        <f t="shared" ref="AG8:AG62" si="8">IF(AF8="","",IF(AF8="ab","ab",IF(AF8=0,0,(AVERAGE(D8:V8)))))</f>
        <v/>
      </c>
      <c r="AH8" s="207" t="str">
        <f t="shared" ref="AH8:AH62" si="9">IF(AF8="","",IF(AF8="ab","ab",(RANK(AF8,$AF$8:$AF$62))))</f>
        <v/>
      </c>
    </row>
    <row r="9" spans="1:34" s="167" customFormat="1" ht="12.75" customHeight="1">
      <c r="A9" s="181">
        <v>2</v>
      </c>
      <c r="B9" s="177"/>
      <c r="C9" s="182"/>
      <c r="D9" s="179"/>
      <c r="E9" s="180" t="str">
        <f t="shared" ref="E9:E62" si="10">IF(D9="","",IF(D9="ab","ab",IF(D9&gt;=75,"A",(IF(D9&gt;=65,"B",IF(D9&gt;=50,"C",IF(D9&gt;=40,"S","W")))))))</f>
        <v/>
      </c>
      <c r="F9" s="179"/>
      <c r="G9" s="180" t="str">
        <f t="shared" ref="G9:G62" si="11">IF(F9="","",IF(F9="ab","ab",IF(F9&gt;=75,"A",(IF(F9&gt;=65,"B",IF(F9&gt;=50,"C",IF(F9&gt;=40,"S","W")))))))</f>
        <v/>
      </c>
      <c r="H9" s="179"/>
      <c r="I9" s="180" t="str">
        <f t="shared" ref="I9:I62" si="12">IF(H9="","",IF(H9="ab","ab",IF(H9&gt;=75,"A",(IF(H9&gt;=65,"B",IF(H9&gt;=50,"C",IF(H9&gt;=40,"S","W")))))))</f>
        <v/>
      </c>
      <c r="J9" s="179"/>
      <c r="K9" s="180" t="str">
        <f t="shared" ref="K9:K62" si="13">IF(J9="","",IF(J9="ab","ab",IF(J9&gt;=75,"A",(IF(J9&gt;=65,"B",IF(J9&gt;=50,"C",IF(J9&gt;=40,"S","W")))))))</f>
        <v/>
      </c>
      <c r="L9" s="179"/>
      <c r="M9" s="180" t="str">
        <f t="shared" ref="M9:M62" si="14">IF(L9="","",IF(L9="ab","ab",IF(L9&gt;=75,"A",(IF(L9&gt;=65,"B",IF(L9&gt;=50,"C",IF(L9&gt;=40,"S","W")))))))</f>
        <v/>
      </c>
      <c r="N9" s="179"/>
      <c r="O9" s="180" t="str">
        <f t="shared" ref="O9:O62" si="15">IF(N9="","",IF(N9="ab","ab",IF(N9&gt;=75,"A",(IF(N9&gt;=65,"B",IF(N9&gt;=50,"C",IF(N9&gt;=40,"S","W")))))))</f>
        <v/>
      </c>
      <c r="P9" s="179"/>
      <c r="Q9" s="192" t="str">
        <f t="shared" si="0"/>
        <v/>
      </c>
      <c r="R9" s="193"/>
      <c r="S9" s="179"/>
      <c r="T9" s="192" t="str">
        <f t="shared" ref="T9:T62" si="16">IF(S9="","",IF(S9="ab","ab",IF(S9&gt;=75,"A",(IF(S9&gt;=65,"B",IF(S9&gt;=50,"C",IF(S9&gt;=40,"S","W")))))))</f>
        <v/>
      </c>
      <c r="U9" s="193"/>
      <c r="V9" s="179"/>
      <c r="W9" s="192" t="str">
        <f t="shared" ref="W9:W62" si="17">IF(V9="","",IF(V9="ab","ab",IF(V9&gt;=75,"A",(IF(V9&gt;=65,"B",IF(V9&gt;=50,"C",IF(V9&gt;=40,"S","W")))))))</f>
        <v/>
      </c>
      <c r="X9" s="194"/>
      <c r="Y9" s="205" t="str">
        <f t="shared" si="1"/>
        <v/>
      </c>
      <c r="Z9" s="206" t="str">
        <f t="shared" si="2"/>
        <v/>
      </c>
      <c r="AA9" s="206" t="str">
        <f t="shared" si="3"/>
        <v/>
      </c>
      <c r="AB9" s="206" t="str">
        <f t="shared" si="4"/>
        <v/>
      </c>
      <c r="AC9" s="207" t="str">
        <f t="shared" si="5"/>
        <v/>
      </c>
      <c r="AD9" s="208" t="str">
        <f t="shared" si="6"/>
        <v/>
      </c>
      <c r="AE9" s="209" t="str">
        <f t="shared" ref="AE9:AE62" si="18">IF(AD9="","",IF(AD9="P","P",IF(AND(AD9="F",H9&gt;=40,D9&gt;=40,(Y9+Z9+AA9+AB9)&gt;=6,(Y9+Z9+AA9)=2),"Q1",IF(AND(AD9="F",(OR(H9&gt;=40,D9&gt;=40)),(Y9+Z9+AA9+AB9)&gt;=5,(Y9+Z9+AA9)&gt;=3),"Q2",IF((COUNTIF(D9:X9,"&gt;=40"))&gt;=5,"R1",IF((COUNTIF(D9:X9,"&gt;=20"))&gt;=5,"R2","F"))))))</f>
        <v/>
      </c>
      <c r="AF9" s="210" t="str">
        <f t="shared" si="7"/>
        <v/>
      </c>
      <c r="AG9" s="219" t="str">
        <f t="shared" si="8"/>
        <v/>
      </c>
      <c r="AH9" s="207" t="str">
        <f t="shared" si="9"/>
        <v/>
      </c>
    </row>
    <row r="10" spans="1:34" s="167" customFormat="1" ht="12.75" customHeight="1">
      <c r="A10" s="181">
        <v>3</v>
      </c>
      <c r="B10" s="177"/>
      <c r="C10" s="182"/>
      <c r="D10" s="179"/>
      <c r="E10" s="180" t="str">
        <f t="shared" si="10"/>
        <v/>
      </c>
      <c r="F10" s="179"/>
      <c r="G10" s="180" t="str">
        <f t="shared" si="11"/>
        <v/>
      </c>
      <c r="H10" s="179"/>
      <c r="I10" s="180" t="str">
        <f t="shared" si="12"/>
        <v/>
      </c>
      <c r="J10" s="179"/>
      <c r="K10" s="180" t="str">
        <f t="shared" si="13"/>
        <v/>
      </c>
      <c r="L10" s="179"/>
      <c r="M10" s="180" t="str">
        <f t="shared" si="14"/>
        <v/>
      </c>
      <c r="N10" s="179"/>
      <c r="O10" s="180" t="str">
        <f t="shared" si="15"/>
        <v/>
      </c>
      <c r="P10" s="179"/>
      <c r="Q10" s="192" t="str">
        <f t="shared" si="0"/>
        <v/>
      </c>
      <c r="R10" s="193"/>
      <c r="S10" s="179"/>
      <c r="T10" s="192" t="str">
        <f t="shared" si="16"/>
        <v/>
      </c>
      <c r="U10" s="193"/>
      <c r="V10" s="179"/>
      <c r="W10" s="192" t="str">
        <f t="shared" si="17"/>
        <v/>
      </c>
      <c r="X10" s="194"/>
      <c r="Y10" s="205" t="str">
        <f t="shared" si="1"/>
        <v/>
      </c>
      <c r="Z10" s="206" t="str">
        <f t="shared" si="2"/>
        <v/>
      </c>
      <c r="AA10" s="206" t="str">
        <f t="shared" si="3"/>
        <v/>
      </c>
      <c r="AB10" s="206" t="str">
        <f t="shared" si="4"/>
        <v/>
      </c>
      <c r="AC10" s="207" t="str">
        <f t="shared" si="5"/>
        <v/>
      </c>
      <c r="AD10" s="208" t="str">
        <f t="shared" si="6"/>
        <v/>
      </c>
      <c r="AE10" s="209" t="str">
        <f t="shared" si="18"/>
        <v/>
      </c>
      <c r="AF10" s="210" t="str">
        <f t="shared" si="7"/>
        <v/>
      </c>
      <c r="AG10" s="219" t="str">
        <f t="shared" si="8"/>
        <v/>
      </c>
      <c r="AH10" s="207" t="str">
        <f t="shared" si="9"/>
        <v/>
      </c>
    </row>
    <row r="11" spans="1:34" s="167" customFormat="1" ht="12.75" customHeight="1">
      <c r="A11" s="181">
        <v>4</v>
      </c>
      <c r="B11" s="177"/>
      <c r="C11" s="182"/>
      <c r="D11" s="179"/>
      <c r="E11" s="180" t="str">
        <f t="shared" si="10"/>
        <v/>
      </c>
      <c r="F11" s="179"/>
      <c r="G11" s="180" t="str">
        <f t="shared" si="11"/>
        <v/>
      </c>
      <c r="H11" s="179"/>
      <c r="I11" s="180" t="str">
        <f t="shared" si="12"/>
        <v/>
      </c>
      <c r="J11" s="179"/>
      <c r="K11" s="180" t="str">
        <f t="shared" si="13"/>
        <v/>
      </c>
      <c r="L11" s="179"/>
      <c r="M11" s="180" t="str">
        <f t="shared" si="14"/>
        <v/>
      </c>
      <c r="N11" s="179"/>
      <c r="O11" s="180" t="str">
        <f t="shared" si="15"/>
        <v/>
      </c>
      <c r="P11" s="179"/>
      <c r="Q11" s="192" t="str">
        <f t="shared" si="0"/>
        <v/>
      </c>
      <c r="R11" s="193"/>
      <c r="S11" s="179"/>
      <c r="T11" s="192" t="str">
        <f t="shared" si="16"/>
        <v/>
      </c>
      <c r="U11" s="193"/>
      <c r="V11" s="179"/>
      <c r="W11" s="192" t="str">
        <f t="shared" si="17"/>
        <v/>
      </c>
      <c r="X11" s="194"/>
      <c r="Y11" s="205" t="str">
        <f t="shared" si="1"/>
        <v/>
      </c>
      <c r="Z11" s="206" t="str">
        <f t="shared" si="2"/>
        <v/>
      </c>
      <c r="AA11" s="206" t="str">
        <f t="shared" si="3"/>
        <v/>
      </c>
      <c r="AB11" s="206" t="str">
        <f t="shared" si="4"/>
        <v/>
      </c>
      <c r="AC11" s="207" t="str">
        <f t="shared" si="5"/>
        <v/>
      </c>
      <c r="AD11" s="208" t="str">
        <f t="shared" ref="AD11:AD62" si="19">IF(AND(D11="ab",F11="ab",H11="ab",J11="ab",L11="ab",N11="ab",P11="ab",S11="ab",V11="ab"),"ab",IF(AND(Y11="",Z11="",AA11="",AB11="",AC11=""),"",IF(AND((D11&gt;=40),(H11&gt;=40),(Y11+Z11+AA11+AB11)&gt;=6,(Y11+Z11+AA11)&gt;=3),"P","F")))</f>
        <v/>
      </c>
      <c r="AE11" s="209" t="str">
        <f t="shared" si="18"/>
        <v/>
      </c>
      <c r="AF11" s="210" t="str">
        <f t="shared" si="7"/>
        <v/>
      </c>
      <c r="AG11" s="219" t="str">
        <f t="shared" si="8"/>
        <v/>
      </c>
      <c r="AH11" s="207" t="str">
        <f t="shared" si="9"/>
        <v/>
      </c>
    </row>
    <row r="12" spans="1:34" s="167" customFormat="1" ht="12.75" customHeight="1">
      <c r="A12" s="181">
        <v>5</v>
      </c>
      <c r="B12" s="177"/>
      <c r="C12" s="182"/>
      <c r="D12" s="179"/>
      <c r="E12" s="180" t="str">
        <f t="shared" si="10"/>
        <v/>
      </c>
      <c r="F12" s="179"/>
      <c r="G12" s="180" t="str">
        <f t="shared" si="11"/>
        <v/>
      </c>
      <c r="H12" s="179"/>
      <c r="I12" s="180" t="str">
        <f t="shared" si="12"/>
        <v/>
      </c>
      <c r="J12" s="179"/>
      <c r="K12" s="180" t="str">
        <f t="shared" si="13"/>
        <v/>
      </c>
      <c r="L12" s="179"/>
      <c r="M12" s="180" t="str">
        <f t="shared" si="14"/>
        <v/>
      </c>
      <c r="N12" s="179"/>
      <c r="O12" s="180" t="str">
        <f t="shared" si="15"/>
        <v/>
      </c>
      <c r="P12" s="179"/>
      <c r="Q12" s="192" t="str">
        <f t="shared" si="0"/>
        <v/>
      </c>
      <c r="R12" s="193"/>
      <c r="S12" s="179"/>
      <c r="T12" s="192" t="str">
        <f t="shared" si="16"/>
        <v/>
      </c>
      <c r="U12" s="193"/>
      <c r="V12" s="179"/>
      <c r="W12" s="192" t="str">
        <f t="shared" si="17"/>
        <v/>
      </c>
      <c r="X12" s="194"/>
      <c r="Y12" s="205" t="str">
        <f t="shared" si="1"/>
        <v/>
      </c>
      <c r="Z12" s="206" t="str">
        <f t="shared" si="2"/>
        <v/>
      </c>
      <c r="AA12" s="206" t="str">
        <f t="shared" si="3"/>
        <v/>
      </c>
      <c r="AB12" s="206" t="str">
        <f t="shared" si="4"/>
        <v/>
      </c>
      <c r="AC12" s="207" t="str">
        <f t="shared" si="5"/>
        <v/>
      </c>
      <c r="AD12" s="208" t="str">
        <f t="shared" si="19"/>
        <v/>
      </c>
      <c r="AE12" s="209" t="str">
        <f t="shared" si="18"/>
        <v/>
      </c>
      <c r="AF12" s="210" t="str">
        <f t="shared" si="7"/>
        <v/>
      </c>
      <c r="AG12" s="219" t="str">
        <f t="shared" si="8"/>
        <v/>
      </c>
      <c r="AH12" s="207" t="str">
        <f t="shared" si="9"/>
        <v/>
      </c>
    </row>
    <row r="13" spans="1:34" s="167" customFormat="1" ht="12.75" customHeight="1">
      <c r="A13" s="181">
        <v>6</v>
      </c>
      <c r="B13" s="177"/>
      <c r="C13" s="182"/>
      <c r="D13" s="179"/>
      <c r="E13" s="180" t="str">
        <f t="shared" si="10"/>
        <v/>
      </c>
      <c r="F13" s="179"/>
      <c r="G13" s="180" t="str">
        <f t="shared" si="11"/>
        <v/>
      </c>
      <c r="H13" s="179"/>
      <c r="I13" s="180" t="str">
        <f t="shared" si="12"/>
        <v/>
      </c>
      <c r="J13" s="179"/>
      <c r="K13" s="180" t="str">
        <f t="shared" si="13"/>
        <v/>
      </c>
      <c r="L13" s="179"/>
      <c r="M13" s="180" t="str">
        <f t="shared" si="14"/>
        <v/>
      </c>
      <c r="N13" s="179"/>
      <c r="O13" s="180" t="str">
        <f t="shared" si="15"/>
        <v/>
      </c>
      <c r="P13" s="179"/>
      <c r="Q13" s="192" t="str">
        <f t="shared" si="0"/>
        <v/>
      </c>
      <c r="R13" s="193"/>
      <c r="S13" s="179"/>
      <c r="T13" s="192" t="str">
        <f t="shared" si="16"/>
        <v/>
      </c>
      <c r="U13" s="193"/>
      <c r="V13" s="179"/>
      <c r="W13" s="192" t="str">
        <f t="shared" si="17"/>
        <v/>
      </c>
      <c r="X13" s="194"/>
      <c r="Y13" s="205" t="str">
        <f t="shared" si="1"/>
        <v/>
      </c>
      <c r="Z13" s="206" t="str">
        <f t="shared" si="2"/>
        <v/>
      </c>
      <c r="AA13" s="206" t="str">
        <f t="shared" si="3"/>
        <v/>
      </c>
      <c r="AB13" s="206" t="str">
        <f t="shared" si="4"/>
        <v/>
      </c>
      <c r="AC13" s="207" t="str">
        <f t="shared" si="5"/>
        <v/>
      </c>
      <c r="AD13" s="208" t="str">
        <f t="shared" si="19"/>
        <v/>
      </c>
      <c r="AE13" s="209" t="str">
        <f t="shared" si="18"/>
        <v/>
      </c>
      <c r="AF13" s="210" t="str">
        <f t="shared" si="7"/>
        <v/>
      </c>
      <c r="AG13" s="219" t="str">
        <f t="shared" si="8"/>
        <v/>
      </c>
      <c r="AH13" s="207" t="str">
        <f t="shared" si="9"/>
        <v/>
      </c>
    </row>
    <row r="14" spans="1:34" s="167" customFormat="1" ht="12.75" customHeight="1">
      <c r="A14" s="181">
        <v>7</v>
      </c>
      <c r="B14" s="177"/>
      <c r="C14" s="182"/>
      <c r="D14" s="179"/>
      <c r="E14" s="180" t="str">
        <f t="shared" si="10"/>
        <v/>
      </c>
      <c r="F14" s="179"/>
      <c r="G14" s="180" t="str">
        <f t="shared" si="11"/>
        <v/>
      </c>
      <c r="H14" s="179"/>
      <c r="I14" s="180" t="str">
        <f t="shared" si="12"/>
        <v/>
      </c>
      <c r="J14" s="179"/>
      <c r="K14" s="180" t="str">
        <f t="shared" si="13"/>
        <v/>
      </c>
      <c r="L14" s="179"/>
      <c r="M14" s="180" t="str">
        <f t="shared" si="14"/>
        <v/>
      </c>
      <c r="N14" s="179"/>
      <c r="O14" s="180" t="str">
        <f t="shared" si="15"/>
        <v/>
      </c>
      <c r="P14" s="179"/>
      <c r="Q14" s="192" t="str">
        <f t="shared" si="0"/>
        <v/>
      </c>
      <c r="R14" s="193"/>
      <c r="S14" s="179"/>
      <c r="T14" s="192" t="str">
        <f t="shared" si="16"/>
        <v/>
      </c>
      <c r="U14" s="193"/>
      <c r="V14" s="179"/>
      <c r="W14" s="192" t="str">
        <f t="shared" si="17"/>
        <v/>
      </c>
      <c r="X14" s="194"/>
      <c r="Y14" s="205" t="str">
        <f t="shared" si="1"/>
        <v/>
      </c>
      <c r="Z14" s="206" t="str">
        <f t="shared" si="2"/>
        <v/>
      </c>
      <c r="AA14" s="206" t="str">
        <f t="shared" si="3"/>
        <v/>
      </c>
      <c r="AB14" s="206" t="str">
        <f t="shared" si="4"/>
        <v/>
      </c>
      <c r="AC14" s="207" t="str">
        <f t="shared" si="5"/>
        <v/>
      </c>
      <c r="AD14" s="208" t="str">
        <f t="shared" si="19"/>
        <v/>
      </c>
      <c r="AE14" s="209" t="str">
        <f t="shared" si="18"/>
        <v/>
      </c>
      <c r="AF14" s="210" t="str">
        <f t="shared" si="7"/>
        <v/>
      </c>
      <c r="AG14" s="219" t="str">
        <f t="shared" si="8"/>
        <v/>
      </c>
      <c r="AH14" s="207" t="str">
        <f t="shared" si="9"/>
        <v/>
      </c>
    </row>
    <row r="15" spans="1:34" s="167" customFormat="1" ht="12.75" customHeight="1">
      <c r="A15" s="181">
        <v>8</v>
      </c>
      <c r="B15" s="177"/>
      <c r="C15" s="182"/>
      <c r="D15" s="179"/>
      <c r="E15" s="180" t="str">
        <f t="shared" si="10"/>
        <v/>
      </c>
      <c r="F15" s="179"/>
      <c r="G15" s="180" t="str">
        <f t="shared" si="11"/>
        <v/>
      </c>
      <c r="H15" s="179"/>
      <c r="I15" s="180" t="str">
        <f t="shared" si="12"/>
        <v/>
      </c>
      <c r="J15" s="179"/>
      <c r="K15" s="180" t="str">
        <f t="shared" si="13"/>
        <v/>
      </c>
      <c r="L15" s="179"/>
      <c r="M15" s="180" t="str">
        <f t="shared" si="14"/>
        <v/>
      </c>
      <c r="N15" s="179"/>
      <c r="O15" s="180" t="str">
        <f t="shared" si="15"/>
        <v/>
      </c>
      <c r="P15" s="179"/>
      <c r="Q15" s="192" t="str">
        <f t="shared" si="0"/>
        <v/>
      </c>
      <c r="R15" s="193"/>
      <c r="S15" s="179"/>
      <c r="T15" s="192" t="str">
        <f t="shared" si="16"/>
        <v/>
      </c>
      <c r="U15" s="193"/>
      <c r="V15" s="179"/>
      <c r="W15" s="192" t="str">
        <f t="shared" si="17"/>
        <v/>
      </c>
      <c r="X15" s="194"/>
      <c r="Y15" s="205" t="str">
        <f t="shared" si="1"/>
        <v/>
      </c>
      <c r="Z15" s="206" t="str">
        <f t="shared" si="2"/>
        <v/>
      </c>
      <c r="AA15" s="206" t="str">
        <f t="shared" si="3"/>
        <v/>
      </c>
      <c r="AB15" s="206" t="str">
        <f t="shared" si="4"/>
        <v/>
      </c>
      <c r="AC15" s="207" t="str">
        <f t="shared" si="5"/>
        <v/>
      </c>
      <c r="AD15" s="208" t="str">
        <f t="shared" si="19"/>
        <v/>
      </c>
      <c r="AE15" s="209" t="str">
        <f t="shared" si="18"/>
        <v/>
      </c>
      <c r="AF15" s="210" t="str">
        <f t="shared" si="7"/>
        <v/>
      </c>
      <c r="AG15" s="219" t="str">
        <f t="shared" si="8"/>
        <v/>
      </c>
      <c r="AH15" s="207" t="str">
        <f t="shared" si="9"/>
        <v/>
      </c>
    </row>
    <row r="16" spans="1:34" s="167" customFormat="1" ht="12.75" customHeight="1">
      <c r="A16" s="181">
        <v>9</v>
      </c>
      <c r="B16" s="177"/>
      <c r="C16" s="182"/>
      <c r="D16" s="179"/>
      <c r="E16" s="180" t="str">
        <f t="shared" si="10"/>
        <v/>
      </c>
      <c r="F16" s="179"/>
      <c r="G16" s="180" t="str">
        <f t="shared" si="11"/>
        <v/>
      </c>
      <c r="H16" s="179"/>
      <c r="I16" s="180" t="str">
        <f t="shared" si="12"/>
        <v/>
      </c>
      <c r="J16" s="179"/>
      <c r="K16" s="180" t="str">
        <f t="shared" si="13"/>
        <v/>
      </c>
      <c r="L16" s="179"/>
      <c r="M16" s="180" t="str">
        <f t="shared" si="14"/>
        <v/>
      </c>
      <c r="N16" s="179"/>
      <c r="O16" s="180" t="str">
        <f t="shared" si="15"/>
        <v/>
      </c>
      <c r="P16" s="179"/>
      <c r="Q16" s="192" t="str">
        <f t="shared" si="0"/>
        <v/>
      </c>
      <c r="R16" s="193"/>
      <c r="S16" s="179"/>
      <c r="T16" s="192" t="str">
        <f t="shared" si="16"/>
        <v/>
      </c>
      <c r="U16" s="193"/>
      <c r="V16" s="179"/>
      <c r="W16" s="192" t="str">
        <f t="shared" si="17"/>
        <v/>
      </c>
      <c r="X16" s="194"/>
      <c r="Y16" s="205" t="str">
        <f t="shared" si="1"/>
        <v/>
      </c>
      <c r="Z16" s="206" t="str">
        <f t="shared" si="2"/>
        <v/>
      </c>
      <c r="AA16" s="206" t="str">
        <f t="shared" si="3"/>
        <v/>
      </c>
      <c r="AB16" s="206" t="str">
        <f t="shared" si="4"/>
        <v/>
      </c>
      <c r="AC16" s="207" t="str">
        <f t="shared" si="5"/>
        <v/>
      </c>
      <c r="AD16" s="208" t="str">
        <f t="shared" si="19"/>
        <v/>
      </c>
      <c r="AE16" s="209" t="str">
        <f t="shared" si="18"/>
        <v/>
      </c>
      <c r="AF16" s="210" t="str">
        <f t="shared" si="7"/>
        <v/>
      </c>
      <c r="AG16" s="219" t="str">
        <f t="shared" si="8"/>
        <v/>
      </c>
      <c r="AH16" s="207" t="str">
        <f t="shared" si="9"/>
        <v/>
      </c>
    </row>
    <row r="17" spans="1:34" s="167" customFormat="1" ht="12.75" customHeight="1">
      <c r="A17" s="181">
        <v>10</v>
      </c>
      <c r="B17" s="177"/>
      <c r="C17" s="182"/>
      <c r="D17" s="179"/>
      <c r="E17" s="180" t="str">
        <f t="shared" si="10"/>
        <v/>
      </c>
      <c r="F17" s="179"/>
      <c r="G17" s="180" t="str">
        <f t="shared" si="11"/>
        <v/>
      </c>
      <c r="H17" s="179"/>
      <c r="I17" s="180" t="str">
        <f t="shared" si="12"/>
        <v/>
      </c>
      <c r="J17" s="179"/>
      <c r="K17" s="180" t="str">
        <f t="shared" si="13"/>
        <v/>
      </c>
      <c r="L17" s="179"/>
      <c r="M17" s="180" t="str">
        <f t="shared" si="14"/>
        <v/>
      </c>
      <c r="N17" s="179"/>
      <c r="O17" s="180" t="str">
        <f t="shared" si="15"/>
        <v/>
      </c>
      <c r="P17" s="179"/>
      <c r="Q17" s="192" t="str">
        <f t="shared" si="0"/>
        <v/>
      </c>
      <c r="R17" s="193"/>
      <c r="S17" s="179"/>
      <c r="T17" s="192" t="str">
        <f t="shared" si="16"/>
        <v/>
      </c>
      <c r="U17" s="193"/>
      <c r="V17" s="179"/>
      <c r="W17" s="192" t="str">
        <f t="shared" si="17"/>
        <v/>
      </c>
      <c r="X17" s="194"/>
      <c r="Y17" s="205" t="str">
        <f t="shared" si="1"/>
        <v/>
      </c>
      <c r="Z17" s="206" t="str">
        <f t="shared" si="2"/>
        <v/>
      </c>
      <c r="AA17" s="206" t="str">
        <f t="shared" si="3"/>
        <v/>
      </c>
      <c r="AB17" s="206" t="str">
        <f t="shared" si="4"/>
        <v/>
      </c>
      <c r="AC17" s="207" t="str">
        <f t="shared" si="5"/>
        <v/>
      </c>
      <c r="AD17" s="208" t="str">
        <f t="shared" si="19"/>
        <v/>
      </c>
      <c r="AE17" s="209" t="str">
        <f t="shared" si="18"/>
        <v/>
      </c>
      <c r="AF17" s="210" t="str">
        <f t="shared" si="7"/>
        <v/>
      </c>
      <c r="AG17" s="219" t="str">
        <f t="shared" si="8"/>
        <v/>
      </c>
      <c r="AH17" s="207" t="str">
        <f t="shared" si="9"/>
        <v/>
      </c>
    </row>
    <row r="18" spans="1:34" s="167" customFormat="1" ht="12.75" customHeight="1">
      <c r="A18" s="181">
        <v>11</v>
      </c>
      <c r="B18" s="177"/>
      <c r="C18" s="182"/>
      <c r="D18" s="179"/>
      <c r="E18" s="180" t="str">
        <f t="shared" si="10"/>
        <v/>
      </c>
      <c r="F18" s="179"/>
      <c r="G18" s="180" t="str">
        <f t="shared" si="11"/>
        <v/>
      </c>
      <c r="H18" s="179"/>
      <c r="I18" s="180" t="str">
        <f t="shared" si="12"/>
        <v/>
      </c>
      <c r="J18" s="179"/>
      <c r="K18" s="180" t="str">
        <f t="shared" si="13"/>
        <v/>
      </c>
      <c r="L18" s="179"/>
      <c r="M18" s="180" t="str">
        <f t="shared" si="14"/>
        <v/>
      </c>
      <c r="N18" s="179"/>
      <c r="O18" s="180" t="str">
        <f t="shared" si="15"/>
        <v/>
      </c>
      <c r="P18" s="179"/>
      <c r="Q18" s="192" t="str">
        <f t="shared" si="0"/>
        <v/>
      </c>
      <c r="R18" s="193"/>
      <c r="S18" s="179"/>
      <c r="T18" s="192" t="str">
        <f t="shared" si="16"/>
        <v/>
      </c>
      <c r="U18" s="193"/>
      <c r="V18" s="179"/>
      <c r="W18" s="192" t="str">
        <f t="shared" si="17"/>
        <v/>
      </c>
      <c r="X18" s="194"/>
      <c r="Y18" s="205" t="str">
        <f t="shared" si="1"/>
        <v/>
      </c>
      <c r="Z18" s="206" t="str">
        <f t="shared" si="2"/>
        <v/>
      </c>
      <c r="AA18" s="206" t="str">
        <f t="shared" si="3"/>
        <v/>
      </c>
      <c r="AB18" s="206" t="str">
        <f t="shared" si="4"/>
        <v/>
      </c>
      <c r="AC18" s="207" t="str">
        <f t="shared" si="5"/>
        <v/>
      </c>
      <c r="AD18" s="208" t="str">
        <f t="shared" si="19"/>
        <v/>
      </c>
      <c r="AE18" s="209" t="str">
        <f t="shared" si="18"/>
        <v/>
      </c>
      <c r="AF18" s="210" t="str">
        <f t="shared" si="7"/>
        <v/>
      </c>
      <c r="AG18" s="219" t="str">
        <f t="shared" si="8"/>
        <v/>
      </c>
      <c r="AH18" s="207" t="str">
        <f t="shared" si="9"/>
        <v/>
      </c>
    </row>
    <row r="19" spans="1:34" s="167" customFormat="1" ht="12.75" customHeight="1">
      <c r="A19" s="181">
        <v>12</v>
      </c>
      <c r="B19" s="177"/>
      <c r="C19" s="182"/>
      <c r="D19" s="179"/>
      <c r="E19" s="180" t="str">
        <f t="shared" si="10"/>
        <v/>
      </c>
      <c r="F19" s="179"/>
      <c r="G19" s="180" t="str">
        <f t="shared" si="11"/>
        <v/>
      </c>
      <c r="H19" s="179"/>
      <c r="I19" s="180" t="str">
        <f t="shared" si="12"/>
        <v/>
      </c>
      <c r="J19" s="179"/>
      <c r="K19" s="180" t="str">
        <f t="shared" si="13"/>
        <v/>
      </c>
      <c r="L19" s="179"/>
      <c r="M19" s="180" t="str">
        <f t="shared" si="14"/>
        <v/>
      </c>
      <c r="N19" s="179"/>
      <c r="O19" s="180" t="str">
        <f t="shared" si="15"/>
        <v/>
      </c>
      <c r="P19" s="179"/>
      <c r="Q19" s="192" t="str">
        <f t="shared" si="0"/>
        <v/>
      </c>
      <c r="R19" s="193"/>
      <c r="S19" s="179"/>
      <c r="T19" s="192" t="str">
        <f t="shared" si="16"/>
        <v/>
      </c>
      <c r="U19" s="193"/>
      <c r="V19" s="179"/>
      <c r="W19" s="192" t="str">
        <f t="shared" si="17"/>
        <v/>
      </c>
      <c r="X19" s="194"/>
      <c r="Y19" s="205" t="str">
        <f t="shared" si="1"/>
        <v/>
      </c>
      <c r="Z19" s="206" t="str">
        <f t="shared" si="2"/>
        <v/>
      </c>
      <c r="AA19" s="206" t="str">
        <f t="shared" si="3"/>
        <v/>
      </c>
      <c r="AB19" s="206" t="str">
        <f t="shared" si="4"/>
        <v/>
      </c>
      <c r="AC19" s="207" t="str">
        <f t="shared" si="5"/>
        <v/>
      </c>
      <c r="AD19" s="208" t="str">
        <f t="shared" si="19"/>
        <v/>
      </c>
      <c r="AE19" s="209" t="str">
        <f t="shared" si="18"/>
        <v/>
      </c>
      <c r="AF19" s="210" t="str">
        <f t="shared" si="7"/>
        <v/>
      </c>
      <c r="AG19" s="219" t="str">
        <f t="shared" si="8"/>
        <v/>
      </c>
      <c r="AH19" s="207" t="str">
        <f t="shared" si="9"/>
        <v/>
      </c>
    </row>
    <row r="20" spans="1:34" s="167" customFormat="1" ht="12.75" customHeight="1">
      <c r="A20" s="181">
        <v>13</v>
      </c>
      <c r="B20" s="177"/>
      <c r="C20" s="182"/>
      <c r="D20" s="179"/>
      <c r="E20" s="180" t="str">
        <f t="shared" si="10"/>
        <v/>
      </c>
      <c r="F20" s="179"/>
      <c r="G20" s="180" t="str">
        <f t="shared" si="11"/>
        <v/>
      </c>
      <c r="H20" s="179"/>
      <c r="I20" s="180" t="str">
        <f t="shared" si="12"/>
        <v/>
      </c>
      <c r="J20" s="179"/>
      <c r="K20" s="180" t="str">
        <f t="shared" si="13"/>
        <v/>
      </c>
      <c r="L20" s="179"/>
      <c r="M20" s="180" t="str">
        <f t="shared" si="14"/>
        <v/>
      </c>
      <c r="N20" s="179"/>
      <c r="O20" s="180" t="str">
        <f t="shared" si="15"/>
        <v/>
      </c>
      <c r="P20" s="179"/>
      <c r="Q20" s="192" t="str">
        <f t="shared" si="0"/>
        <v/>
      </c>
      <c r="R20" s="193"/>
      <c r="S20" s="179"/>
      <c r="T20" s="192" t="str">
        <f t="shared" si="16"/>
        <v/>
      </c>
      <c r="U20" s="193"/>
      <c r="V20" s="179"/>
      <c r="W20" s="192" t="str">
        <f t="shared" si="17"/>
        <v/>
      </c>
      <c r="X20" s="194"/>
      <c r="Y20" s="205" t="str">
        <f t="shared" si="1"/>
        <v/>
      </c>
      <c r="Z20" s="206" t="str">
        <f t="shared" si="2"/>
        <v/>
      </c>
      <c r="AA20" s="206" t="str">
        <f t="shared" si="3"/>
        <v/>
      </c>
      <c r="AB20" s="206" t="str">
        <f t="shared" si="4"/>
        <v/>
      </c>
      <c r="AC20" s="207" t="str">
        <f t="shared" si="5"/>
        <v/>
      </c>
      <c r="AD20" s="208" t="str">
        <f t="shared" si="19"/>
        <v/>
      </c>
      <c r="AE20" s="209" t="str">
        <f t="shared" si="18"/>
        <v/>
      </c>
      <c r="AF20" s="210" t="str">
        <f t="shared" si="7"/>
        <v/>
      </c>
      <c r="AG20" s="219" t="str">
        <f t="shared" si="8"/>
        <v/>
      </c>
      <c r="AH20" s="207" t="str">
        <f t="shared" si="9"/>
        <v/>
      </c>
    </row>
    <row r="21" spans="1:34" s="167" customFormat="1" ht="12.75" customHeight="1">
      <c r="A21" s="181">
        <v>14</v>
      </c>
      <c r="B21" s="177"/>
      <c r="C21" s="182"/>
      <c r="D21" s="179"/>
      <c r="E21" s="180" t="str">
        <f t="shared" si="10"/>
        <v/>
      </c>
      <c r="F21" s="179"/>
      <c r="G21" s="180" t="str">
        <f t="shared" si="11"/>
        <v/>
      </c>
      <c r="H21" s="179"/>
      <c r="I21" s="180" t="str">
        <f t="shared" si="12"/>
        <v/>
      </c>
      <c r="J21" s="179"/>
      <c r="K21" s="180" t="str">
        <f t="shared" si="13"/>
        <v/>
      </c>
      <c r="L21" s="179"/>
      <c r="M21" s="180" t="str">
        <f t="shared" si="14"/>
        <v/>
      </c>
      <c r="N21" s="179"/>
      <c r="O21" s="180" t="str">
        <f t="shared" si="15"/>
        <v/>
      </c>
      <c r="P21" s="179"/>
      <c r="Q21" s="192" t="str">
        <f t="shared" si="0"/>
        <v/>
      </c>
      <c r="R21" s="193"/>
      <c r="S21" s="179"/>
      <c r="T21" s="192" t="str">
        <f t="shared" si="16"/>
        <v/>
      </c>
      <c r="U21" s="193"/>
      <c r="V21" s="179"/>
      <c r="W21" s="192" t="str">
        <f t="shared" si="17"/>
        <v/>
      </c>
      <c r="X21" s="194"/>
      <c r="Y21" s="205" t="str">
        <f t="shared" si="1"/>
        <v/>
      </c>
      <c r="Z21" s="206" t="str">
        <f t="shared" si="2"/>
        <v/>
      </c>
      <c r="AA21" s="206" t="str">
        <f t="shared" si="3"/>
        <v/>
      </c>
      <c r="AB21" s="206" t="str">
        <f t="shared" si="4"/>
        <v/>
      </c>
      <c r="AC21" s="207" t="str">
        <f t="shared" si="5"/>
        <v/>
      </c>
      <c r="AD21" s="208" t="str">
        <f t="shared" si="19"/>
        <v/>
      </c>
      <c r="AE21" s="209" t="str">
        <f t="shared" si="18"/>
        <v/>
      </c>
      <c r="AF21" s="210" t="str">
        <f t="shared" si="7"/>
        <v/>
      </c>
      <c r="AG21" s="219" t="str">
        <f t="shared" si="8"/>
        <v/>
      </c>
      <c r="AH21" s="207" t="str">
        <f t="shared" si="9"/>
        <v/>
      </c>
    </row>
    <row r="22" spans="1:34" s="167" customFormat="1" ht="12.75" customHeight="1">
      <c r="A22" s="181">
        <v>15</v>
      </c>
      <c r="B22" s="177"/>
      <c r="C22" s="182"/>
      <c r="D22" s="179"/>
      <c r="E22" s="180" t="str">
        <f t="shared" si="10"/>
        <v/>
      </c>
      <c r="F22" s="179"/>
      <c r="G22" s="180" t="str">
        <f t="shared" si="11"/>
        <v/>
      </c>
      <c r="H22" s="179"/>
      <c r="I22" s="180" t="str">
        <f t="shared" si="12"/>
        <v/>
      </c>
      <c r="J22" s="179"/>
      <c r="K22" s="180" t="str">
        <f t="shared" si="13"/>
        <v/>
      </c>
      <c r="L22" s="179"/>
      <c r="M22" s="180" t="str">
        <f t="shared" si="14"/>
        <v/>
      </c>
      <c r="N22" s="179"/>
      <c r="O22" s="180" t="str">
        <f t="shared" si="15"/>
        <v/>
      </c>
      <c r="P22" s="179"/>
      <c r="Q22" s="192" t="str">
        <f t="shared" si="0"/>
        <v/>
      </c>
      <c r="R22" s="193"/>
      <c r="S22" s="179"/>
      <c r="T22" s="192" t="str">
        <f t="shared" si="16"/>
        <v/>
      </c>
      <c r="U22" s="193"/>
      <c r="V22" s="179"/>
      <c r="W22" s="192" t="str">
        <f t="shared" si="17"/>
        <v/>
      </c>
      <c r="X22" s="194"/>
      <c r="Y22" s="205" t="str">
        <f t="shared" si="1"/>
        <v/>
      </c>
      <c r="Z22" s="206" t="str">
        <f t="shared" si="2"/>
        <v/>
      </c>
      <c r="AA22" s="206" t="str">
        <f t="shared" si="3"/>
        <v/>
      </c>
      <c r="AB22" s="206" t="str">
        <f t="shared" si="4"/>
        <v/>
      </c>
      <c r="AC22" s="207" t="str">
        <f t="shared" si="5"/>
        <v/>
      </c>
      <c r="AD22" s="208" t="str">
        <f t="shared" si="19"/>
        <v/>
      </c>
      <c r="AE22" s="209" t="str">
        <f t="shared" si="18"/>
        <v/>
      </c>
      <c r="AF22" s="210" t="str">
        <f t="shared" si="7"/>
        <v/>
      </c>
      <c r="AG22" s="219" t="str">
        <f t="shared" si="8"/>
        <v/>
      </c>
      <c r="AH22" s="207" t="str">
        <f t="shared" si="9"/>
        <v/>
      </c>
    </row>
    <row r="23" spans="1:34" s="167" customFormat="1" ht="12.75" customHeight="1">
      <c r="A23" s="181">
        <v>16</v>
      </c>
      <c r="B23" s="177"/>
      <c r="C23" s="182"/>
      <c r="D23" s="179"/>
      <c r="E23" s="180" t="str">
        <f t="shared" si="10"/>
        <v/>
      </c>
      <c r="F23" s="179"/>
      <c r="G23" s="180" t="str">
        <f t="shared" si="11"/>
        <v/>
      </c>
      <c r="H23" s="179"/>
      <c r="I23" s="180" t="str">
        <f t="shared" si="12"/>
        <v/>
      </c>
      <c r="J23" s="179"/>
      <c r="K23" s="180" t="str">
        <f t="shared" si="13"/>
        <v/>
      </c>
      <c r="L23" s="179"/>
      <c r="M23" s="180" t="str">
        <f t="shared" si="14"/>
        <v/>
      </c>
      <c r="N23" s="179"/>
      <c r="O23" s="180" t="str">
        <f t="shared" si="15"/>
        <v/>
      </c>
      <c r="P23" s="179"/>
      <c r="Q23" s="192" t="str">
        <f t="shared" si="0"/>
        <v/>
      </c>
      <c r="R23" s="193"/>
      <c r="S23" s="179"/>
      <c r="T23" s="192" t="str">
        <f t="shared" si="16"/>
        <v/>
      </c>
      <c r="U23" s="193"/>
      <c r="V23" s="179"/>
      <c r="W23" s="192" t="str">
        <f t="shared" si="17"/>
        <v/>
      </c>
      <c r="X23" s="194"/>
      <c r="Y23" s="205" t="str">
        <f t="shared" si="1"/>
        <v/>
      </c>
      <c r="Z23" s="206" t="str">
        <f t="shared" si="2"/>
        <v/>
      </c>
      <c r="AA23" s="206" t="str">
        <f t="shared" si="3"/>
        <v/>
      </c>
      <c r="AB23" s="206" t="str">
        <f t="shared" si="4"/>
        <v/>
      </c>
      <c r="AC23" s="207" t="str">
        <f t="shared" si="5"/>
        <v/>
      </c>
      <c r="AD23" s="208" t="str">
        <f t="shared" si="19"/>
        <v/>
      </c>
      <c r="AE23" s="209" t="str">
        <f t="shared" si="18"/>
        <v/>
      </c>
      <c r="AF23" s="210" t="str">
        <f t="shared" si="7"/>
        <v/>
      </c>
      <c r="AG23" s="219" t="str">
        <f t="shared" si="8"/>
        <v/>
      </c>
      <c r="AH23" s="207" t="str">
        <f t="shared" si="9"/>
        <v/>
      </c>
    </row>
    <row r="24" spans="1:34" s="167" customFormat="1" ht="12.75" customHeight="1">
      <c r="A24" s="181">
        <v>17</v>
      </c>
      <c r="B24" s="177"/>
      <c r="C24" s="182"/>
      <c r="D24" s="179"/>
      <c r="E24" s="180" t="str">
        <f t="shared" si="10"/>
        <v/>
      </c>
      <c r="F24" s="179"/>
      <c r="G24" s="180" t="str">
        <f t="shared" si="11"/>
        <v/>
      </c>
      <c r="H24" s="179"/>
      <c r="I24" s="180" t="str">
        <f t="shared" si="12"/>
        <v/>
      </c>
      <c r="J24" s="179"/>
      <c r="K24" s="180" t="str">
        <f t="shared" si="13"/>
        <v/>
      </c>
      <c r="L24" s="179"/>
      <c r="M24" s="180" t="str">
        <f t="shared" si="14"/>
        <v/>
      </c>
      <c r="N24" s="179"/>
      <c r="O24" s="180" t="str">
        <f t="shared" si="15"/>
        <v/>
      </c>
      <c r="P24" s="179"/>
      <c r="Q24" s="192" t="str">
        <f t="shared" si="0"/>
        <v/>
      </c>
      <c r="R24" s="193"/>
      <c r="S24" s="179"/>
      <c r="T24" s="192" t="str">
        <f t="shared" si="16"/>
        <v/>
      </c>
      <c r="U24" s="193"/>
      <c r="V24" s="179"/>
      <c r="W24" s="192" t="str">
        <f t="shared" si="17"/>
        <v/>
      </c>
      <c r="X24" s="194"/>
      <c r="Y24" s="205" t="str">
        <f t="shared" si="1"/>
        <v/>
      </c>
      <c r="Z24" s="206" t="str">
        <f t="shared" si="2"/>
        <v/>
      </c>
      <c r="AA24" s="206" t="str">
        <f t="shared" si="3"/>
        <v/>
      </c>
      <c r="AB24" s="206" t="str">
        <f t="shared" si="4"/>
        <v/>
      </c>
      <c r="AC24" s="207" t="str">
        <f t="shared" si="5"/>
        <v/>
      </c>
      <c r="AD24" s="208" t="str">
        <f t="shared" si="19"/>
        <v/>
      </c>
      <c r="AE24" s="209" t="str">
        <f t="shared" si="18"/>
        <v/>
      </c>
      <c r="AF24" s="210" t="str">
        <f t="shared" si="7"/>
        <v/>
      </c>
      <c r="AG24" s="219" t="str">
        <f t="shared" si="8"/>
        <v/>
      </c>
      <c r="AH24" s="207" t="str">
        <f t="shared" si="9"/>
        <v/>
      </c>
    </row>
    <row r="25" spans="1:34" s="167" customFormat="1" ht="12.75" customHeight="1">
      <c r="A25" s="181">
        <v>18</v>
      </c>
      <c r="B25" s="177"/>
      <c r="C25" s="182"/>
      <c r="D25" s="179"/>
      <c r="E25" s="180" t="str">
        <f t="shared" si="10"/>
        <v/>
      </c>
      <c r="F25" s="179"/>
      <c r="G25" s="180" t="str">
        <f t="shared" si="11"/>
        <v/>
      </c>
      <c r="H25" s="179"/>
      <c r="I25" s="180" t="str">
        <f t="shared" si="12"/>
        <v/>
      </c>
      <c r="J25" s="179"/>
      <c r="K25" s="180" t="str">
        <f t="shared" si="13"/>
        <v/>
      </c>
      <c r="L25" s="179"/>
      <c r="M25" s="180" t="str">
        <f t="shared" si="14"/>
        <v/>
      </c>
      <c r="N25" s="179"/>
      <c r="O25" s="180" t="str">
        <f t="shared" si="15"/>
        <v/>
      </c>
      <c r="P25" s="179"/>
      <c r="Q25" s="192" t="str">
        <f t="shared" si="0"/>
        <v/>
      </c>
      <c r="R25" s="193"/>
      <c r="S25" s="179"/>
      <c r="T25" s="192" t="str">
        <f t="shared" si="16"/>
        <v/>
      </c>
      <c r="U25" s="193"/>
      <c r="V25" s="179"/>
      <c r="W25" s="192" t="str">
        <f t="shared" si="17"/>
        <v/>
      </c>
      <c r="X25" s="194"/>
      <c r="Y25" s="205" t="str">
        <f t="shared" si="1"/>
        <v/>
      </c>
      <c r="Z25" s="206" t="str">
        <f t="shared" si="2"/>
        <v/>
      </c>
      <c r="AA25" s="206" t="str">
        <f t="shared" si="3"/>
        <v/>
      </c>
      <c r="AB25" s="206" t="str">
        <f t="shared" si="4"/>
        <v/>
      </c>
      <c r="AC25" s="207" t="str">
        <f t="shared" si="5"/>
        <v/>
      </c>
      <c r="AD25" s="208" t="str">
        <f t="shared" si="19"/>
        <v/>
      </c>
      <c r="AE25" s="209" t="str">
        <f t="shared" si="18"/>
        <v/>
      </c>
      <c r="AF25" s="210" t="str">
        <f t="shared" si="7"/>
        <v/>
      </c>
      <c r="AG25" s="219" t="str">
        <f t="shared" si="8"/>
        <v/>
      </c>
      <c r="AH25" s="207" t="str">
        <f t="shared" si="9"/>
        <v/>
      </c>
    </row>
    <row r="26" spans="1:34" s="167" customFormat="1" ht="12.75" customHeight="1">
      <c r="A26" s="181">
        <v>19</v>
      </c>
      <c r="B26" s="177"/>
      <c r="C26" s="182"/>
      <c r="D26" s="179"/>
      <c r="E26" s="180" t="str">
        <f t="shared" si="10"/>
        <v/>
      </c>
      <c r="F26" s="179"/>
      <c r="G26" s="180" t="str">
        <f t="shared" si="11"/>
        <v/>
      </c>
      <c r="H26" s="179"/>
      <c r="I26" s="180" t="str">
        <f t="shared" si="12"/>
        <v/>
      </c>
      <c r="J26" s="179"/>
      <c r="K26" s="180" t="str">
        <f t="shared" si="13"/>
        <v/>
      </c>
      <c r="L26" s="179"/>
      <c r="M26" s="180" t="str">
        <f t="shared" si="14"/>
        <v/>
      </c>
      <c r="N26" s="179"/>
      <c r="O26" s="180" t="str">
        <f t="shared" si="15"/>
        <v/>
      </c>
      <c r="P26" s="179"/>
      <c r="Q26" s="192" t="str">
        <f t="shared" si="0"/>
        <v/>
      </c>
      <c r="R26" s="193"/>
      <c r="S26" s="179"/>
      <c r="T26" s="192" t="str">
        <f t="shared" si="16"/>
        <v/>
      </c>
      <c r="U26" s="193"/>
      <c r="V26" s="179"/>
      <c r="W26" s="192" t="str">
        <f t="shared" si="17"/>
        <v/>
      </c>
      <c r="X26" s="194"/>
      <c r="Y26" s="205" t="str">
        <f t="shared" si="1"/>
        <v/>
      </c>
      <c r="Z26" s="206" t="str">
        <f t="shared" si="2"/>
        <v/>
      </c>
      <c r="AA26" s="206" t="str">
        <f t="shared" si="3"/>
        <v/>
      </c>
      <c r="AB26" s="206" t="str">
        <f t="shared" si="4"/>
        <v/>
      </c>
      <c r="AC26" s="207" t="str">
        <f t="shared" si="5"/>
        <v/>
      </c>
      <c r="AD26" s="208" t="str">
        <f t="shared" si="19"/>
        <v/>
      </c>
      <c r="AE26" s="209" t="str">
        <f t="shared" si="18"/>
        <v/>
      </c>
      <c r="AF26" s="210" t="str">
        <f t="shared" si="7"/>
        <v/>
      </c>
      <c r="AG26" s="219" t="str">
        <f t="shared" si="8"/>
        <v/>
      </c>
      <c r="AH26" s="207" t="str">
        <f t="shared" si="9"/>
        <v/>
      </c>
    </row>
    <row r="27" spans="1:34" s="167" customFormat="1" ht="12.75" customHeight="1">
      <c r="A27" s="181">
        <v>20</v>
      </c>
      <c r="B27" s="177"/>
      <c r="C27" s="182"/>
      <c r="D27" s="179"/>
      <c r="E27" s="180" t="str">
        <f t="shared" si="10"/>
        <v/>
      </c>
      <c r="F27" s="179"/>
      <c r="G27" s="180" t="str">
        <f t="shared" si="11"/>
        <v/>
      </c>
      <c r="H27" s="179"/>
      <c r="I27" s="180" t="str">
        <f t="shared" si="12"/>
        <v/>
      </c>
      <c r="J27" s="179"/>
      <c r="K27" s="180" t="str">
        <f t="shared" si="13"/>
        <v/>
      </c>
      <c r="L27" s="179"/>
      <c r="M27" s="180" t="str">
        <f t="shared" si="14"/>
        <v/>
      </c>
      <c r="N27" s="179"/>
      <c r="O27" s="180" t="str">
        <f t="shared" si="15"/>
        <v/>
      </c>
      <c r="P27" s="179"/>
      <c r="Q27" s="192" t="str">
        <f t="shared" si="0"/>
        <v/>
      </c>
      <c r="R27" s="193"/>
      <c r="S27" s="179"/>
      <c r="T27" s="192" t="str">
        <f t="shared" si="16"/>
        <v/>
      </c>
      <c r="U27" s="193"/>
      <c r="V27" s="179"/>
      <c r="W27" s="192" t="str">
        <f t="shared" si="17"/>
        <v/>
      </c>
      <c r="X27" s="194"/>
      <c r="Y27" s="205" t="str">
        <f t="shared" si="1"/>
        <v/>
      </c>
      <c r="Z27" s="206" t="str">
        <f t="shared" si="2"/>
        <v/>
      </c>
      <c r="AA27" s="206" t="str">
        <f t="shared" si="3"/>
        <v/>
      </c>
      <c r="AB27" s="206" t="str">
        <f t="shared" si="4"/>
        <v/>
      </c>
      <c r="AC27" s="207" t="str">
        <f t="shared" si="5"/>
        <v/>
      </c>
      <c r="AD27" s="208" t="str">
        <f t="shared" si="19"/>
        <v/>
      </c>
      <c r="AE27" s="209" t="str">
        <f t="shared" si="18"/>
        <v/>
      </c>
      <c r="AF27" s="210" t="str">
        <f t="shared" si="7"/>
        <v/>
      </c>
      <c r="AG27" s="219" t="str">
        <f t="shared" si="8"/>
        <v/>
      </c>
      <c r="AH27" s="207" t="str">
        <f t="shared" si="9"/>
        <v/>
      </c>
    </row>
    <row r="28" spans="1:34" s="167" customFormat="1" ht="12.75" customHeight="1">
      <c r="A28" s="181">
        <v>21</v>
      </c>
      <c r="B28" s="177"/>
      <c r="C28" s="182"/>
      <c r="D28" s="179"/>
      <c r="E28" s="180" t="str">
        <f t="shared" si="10"/>
        <v/>
      </c>
      <c r="F28" s="179"/>
      <c r="G28" s="180" t="str">
        <f t="shared" si="11"/>
        <v/>
      </c>
      <c r="H28" s="179"/>
      <c r="I28" s="180" t="str">
        <f t="shared" si="12"/>
        <v/>
      </c>
      <c r="J28" s="179"/>
      <c r="K28" s="180" t="str">
        <f t="shared" si="13"/>
        <v/>
      </c>
      <c r="L28" s="179"/>
      <c r="M28" s="180" t="str">
        <f t="shared" si="14"/>
        <v/>
      </c>
      <c r="N28" s="179"/>
      <c r="O28" s="180" t="str">
        <f t="shared" si="15"/>
        <v/>
      </c>
      <c r="P28" s="179"/>
      <c r="Q28" s="192" t="str">
        <f t="shared" si="0"/>
        <v/>
      </c>
      <c r="R28" s="193"/>
      <c r="S28" s="179"/>
      <c r="T28" s="192" t="str">
        <f t="shared" si="16"/>
        <v/>
      </c>
      <c r="U28" s="193"/>
      <c r="V28" s="179"/>
      <c r="W28" s="192" t="str">
        <f t="shared" si="17"/>
        <v/>
      </c>
      <c r="X28" s="194"/>
      <c r="Y28" s="205" t="str">
        <f t="shared" si="1"/>
        <v/>
      </c>
      <c r="Z28" s="206" t="str">
        <f t="shared" si="2"/>
        <v/>
      </c>
      <c r="AA28" s="206" t="str">
        <f t="shared" si="3"/>
        <v/>
      </c>
      <c r="AB28" s="206" t="str">
        <f t="shared" si="4"/>
        <v/>
      </c>
      <c r="AC28" s="207" t="str">
        <f t="shared" si="5"/>
        <v/>
      </c>
      <c r="AD28" s="208" t="str">
        <f t="shared" si="19"/>
        <v/>
      </c>
      <c r="AE28" s="209" t="str">
        <f t="shared" si="18"/>
        <v/>
      </c>
      <c r="AF28" s="210" t="str">
        <f t="shared" si="7"/>
        <v/>
      </c>
      <c r="AG28" s="219" t="str">
        <f t="shared" si="8"/>
        <v/>
      </c>
      <c r="AH28" s="207" t="str">
        <f t="shared" si="9"/>
        <v/>
      </c>
    </row>
    <row r="29" spans="1:34" s="167" customFormat="1" ht="12.75" customHeight="1">
      <c r="A29" s="181">
        <v>22</v>
      </c>
      <c r="B29" s="177"/>
      <c r="C29" s="182"/>
      <c r="D29" s="179"/>
      <c r="E29" s="180" t="str">
        <f t="shared" si="10"/>
        <v/>
      </c>
      <c r="F29" s="179"/>
      <c r="G29" s="180" t="str">
        <f t="shared" si="11"/>
        <v/>
      </c>
      <c r="H29" s="179"/>
      <c r="I29" s="180" t="str">
        <f t="shared" si="12"/>
        <v/>
      </c>
      <c r="J29" s="179"/>
      <c r="K29" s="180" t="str">
        <f t="shared" si="13"/>
        <v/>
      </c>
      <c r="L29" s="179"/>
      <c r="M29" s="180" t="str">
        <f t="shared" si="14"/>
        <v/>
      </c>
      <c r="N29" s="179"/>
      <c r="O29" s="180" t="str">
        <f t="shared" si="15"/>
        <v/>
      </c>
      <c r="P29" s="179"/>
      <c r="Q29" s="192" t="str">
        <f t="shared" si="0"/>
        <v/>
      </c>
      <c r="R29" s="193"/>
      <c r="S29" s="179"/>
      <c r="T29" s="192" t="str">
        <f t="shared" si="16"/>
        <v/>
      </c>
      <c r="U29" s="193"/>
      <c r="V29" s="179"/>
      <c r="W29" s="192" t="str">
        <f t="shared" si="17"/>
        <v/>
      </c>
      <c r="X29" s="194"/>
      <c r="Y29" s="205" t="str">
        <f t="shared" si="1"/>
        <v/>
      </c>
      <c r="Z29" s="206" t="str">
        <f t="shared" si="2"/>
        <v/>
      </c>
      <c r="AA29" s="206" t="str">
        <f t="shared" si="3"/>
        <v/>
      </c>
      <c r="AB29" s="206" t="str">
        <f t="shared" si="4"/>
        <v/>
      </c>
      <c r="AC29" s="207" t="str">
        <f t="shared" si="5"/>
        <v/>
      </c>
      <c r="AD29" s="208" t="str">
        <f t="shared" si="19"/>
        <v/>
      </c>
      <c r="AE29" s="209" t="str">
        <f t="shared" si="18"/>
        <v/>
      </c>
      <c r="AF29" s="210" t="str">
        <f t="shared" si="7"/>
        <v/>
      </c>
      <c r="AG29" s="219" t="str">
        <f t="shared" si="8"/>
        <v/>
      </c>
      <c r="AH29" s="207" t="str">
        <f t="shared" si="9"/>
        <v/>
      </c>
    </row>
    <row r="30" spans="1:34" s="167" customFormat="1" ht="12.75" customHeight="1">
      <c r="A30" s="181">
        <v>23</v>
      </c>
      <c r="B30" s="177"/>
      <c r="C30" s="182"/>
      <c r="D30" s="179"/>
      <c r="E30" s="180" t="str">
        <f t="shared" si="10"/>
        <v/>
      </c>
      <c r="F30" s="179"/>
      <c r="G30" s="180" t="str">
        <f t="shared" si="11"/>
        <v/>
      </c>
      <c r="H30" s="179"/>
      <c r="I30" s="180" t="str">
        <f t="shared" si="12"/>
        <v/>
      </c>
      <c r="J30" s="179"/>
      <c r="K30" s="180" t="str">
        <f t="shared" si="13"/>
        <v/>
      </c>
      <c r="L30" s="179"/>
      <c r="M30" s="180" t="str">
        <f t="shared" si="14"/>
        <v/>
      </c>
      <c r="N30" s="179"/>
      <c r="O30" s="180" t="str">
        <f t="shared" si="15"/>
        <v/>
      </c>
      <c r="P30" s="179"/>
      <c r="Q30" s="192" t="str">
        <f t="shared" si="0"/>
        <v/>
      </c>
      <c r="R30" s="193"/>
      <c r="S30" s="179"/>
      <c r="T30" s="192" t="str">
        <f t="shared" si="16"/>
        <v/>
      </c>
      <c r="U30" s="193"/>
      <c r="V30" s="179"/>
      <c r="W30" s="192" t="str">
        <f t="shared" si="17"/>
        <v/>
      </c>
      <c r="X30" s="194"/>
      <c r="Y30" s="205" t="str">
        <f t="shared" si="1"/>
        <v/>
      </c>
      <c r="Z30" s="206" t="str">
        <f t="shared" si="2"/>
        <v/>
      </c>
      <c r="AA30" s="206" t="str">
        <f t="shared" si="3"/>
        <v/>
      </c>
      <c r="AB30" s="206" t="str">
        <f t="shared" si="4"/>
        <v/>
      </c>
      <c r="AC30" s="207" t="str">
        <f t="shared" si="5"/>
        <v/>
      </c>
      <c r="AD30" s="208" t="str">
        <f t="shared" si="19"/>
        <v/>
      </c>
      <c r="AE30" s="209" t="str">
        <f t="shared" si="18"/>
        <v/>
      </c>
      <c r="AF30" s="210" t="str">
        <f t="shared" si="7"/>
        <v/>
      </c>
      <c r="AG30" s="219" t="str">
        <f t="shared" si="8"/>
        <v/>
      </c>
      <c r="AH30" s="207" t="str">
        <f t="shared" si="9"/>
        <v/>
      </c>
    </row>
    <row r="31" spans="1:34" s="167" customFormat="1" ht="12.75" customHeight="1">
      <c r="A31" s="181">
        <v>24</v>
      </c>
      <c r="B31" s="177"/>
      <c r="C31" s="182"/>
      <c r="D31" s="179"/>
      <c r="E31" s="180" t="str">
        <f t="shared" si="10"/>
        <v/>
      </c>
      <c r="F31" s="179"/>
      <c r="G31" s="180" t="str">
        <f t="shared" si="11"/>
        <v/>
      </c>
      <c r="H31" s="179"/>
      <c r="I31" s="180" t="str">
        <f t="shared" si="12"/>
        <v/>
      </c>
      <c r="J31" s="179"/>
      <c r="K31" s="180" t="str">
        <f t="shared" si="13"/>
        <v/>
      </c>
      <c r="L31" s="179"/>
      <c r="M31" s="180" t="str">
        <f t="shared" si="14"/>
        <v/>
      </c>
      <c r="N31" s="179"/>
      <c r="O31" s="180" t="str">
        <f t="shared" si="15"/>
        <v/>
      </c>
      <c r="P31" s="179"/>
      <c r="Q31" s="192" t="str">
        <f t="shared" si="0"/>
        <v/>
      </c>
      <c r="R31" s="193"/>
      <c r="S31" s="179"/>
      <c r="T31" s="192" t="str">
        <f t="shared" si="16"/>
        <v/>
      </c>
      <c r="U31" s="193"/>
      <c r="V31" s="179"/>
      <c r="W31" s="192" t="str">
        <f t="shared" si="17"/>
        <v/>
      </c>
      <c r="X31" s="194"/>
      <c r="Y31" s="205" t="str">
        <f t="shared" si="1"/>
        <v/>
      </c>
      <c r="Z31" s="206" t="str">
        <f t="shared" si="2"/>
        <v/>
      </c>
      <c r="AA31" s="206" t="str">
        <f t="shared" si="3"/>
        <v/>
      </c>
      <c r="AB31" s="206" t="str">
        <f t="shared" si="4"/>
        <v/>
      </c>
      <c r="AC31" s="207" t="str">
        <f t="shared" si="5"/>
        <v/>
      </c>
      <c r="AD31" s="208" t="str">
        <f t="shared" si="19"/>
        <v/>
      </c>
      <c r="AE31" s="209" t="str">
        <f t="shared" si="18"/>
        <v/>
      </c>
      <c r="AF31" s="210" t="str">
        <f t="shared" si="7"/>
        <v/>
      </c>
      <c r="AG31" s="219" t="str">
        <f t="shared" si="8"/>
        <v/>
      </c>
      <c r="AH31" s="207" t="str">
        <f t="shared" si="9"/>
        <v/>
      </c>
    </row>
    <row r="32" spans="1:34" s="167" customFormat="1" ht="12.75" customHeight="1">
      <c r="A32" s="181">
        <v>25</v>
      </c>
      <c r="B32" s="177"/>
      <c r="C32" s="182"/>
      <c r="D32" s="179"/>
      <c r="E32" s="180" t="str">
        <f t="shared" si="10"/>
        <v/>
      </c>
      <c r="F32" s="179"/>
      <c r="G32" s="180" t="str">
        <f t="shared" si="11"/>
        <v/>
      </c>
      <c r="H32" s="179"/>
      <c r="I32" s="180" t="str">
        <f t="shared" si="12"/>
        <v/>
      </c>
      <c r="J32" s="179"/>
      <c r="K32" s="180" t="str">
        <f t="shared" si="13"/>
        <v/>
      </c>
      <c r="L32" s="179"/>
      <c r="M32" s="180" t="str">
        <f t="shared" si="14"/>
        <v/>
      </c>
      <c r="N32" s="179"/>
      <c r="O32" s="180" t="str">
        <f t="shared" si="15"/>
        <v/>
      </c>
      <c r="P32" s="179"/>
      <c r="Q32" s="192" t="str">
        <f t="shared" si="0"/>
        <v/>
      </c>
      <c r="R32" s="193"/>
      <c r="S32" s="179"/>
      <c r="T32" s="192" t="str">
        <f t="shared" si="16"/>
        <v/>
      </c>
      <c r="U32" s="193"/>
      <c r="V32" s="179"/>
      <c r="W32" s="192" t="str">
        <f t="shared" si="17"/>
        <v/>
      </c>
      <c r="X32" s="194"/>
      <c r="Y32" s="205" t="str">
        <f t="shared" si="1"/>
        <v/>
      </c>
      <c r="Z32" s="206" t="str">
        <f t="shared" si="2"/>
        <v/>
      </c>
      <c r="AA32" s="206" t="str">
        <f t="shared" si="3"/>
        <v/>
      </c>
      <c r="AB32" s="206" t="str">
        <f t="shared" si="4"/>
        <v/>
      </c>
      <c r="AC32" s="207" t="str">
        <f t="shared" si="5"/>
        <v/>
      </c>
      <c r="AD32" s="208" t="str">
        <f t="shared" si="19"/>
        <v/>
      </c>
      <c r="AE32" s="209" t="str">
        <f t="shared" si="18"/>
        <v/>
      </c>
      <c r="AF32" s="210" t="str">
        <f t="shared" si="7"/>
        <v/>
      </c>
      <c r="AG32" s="219" t="str">
        <f t="shared" si="8"/>
        <v/>
      </c>
      <c r="AH32" s="207" t="str">
        <f t="shared" si="9"/>
        <v/>
      </c>
    </row>
    <row r="33" spans="1:34" s="167" customFormat="1" ht="12.75" customHeight="1">
      <c r="A33" s="181">
        <v>26</v>
      </c>
      <c r="B33" s="177"/>
      <c r="C33" s="182"/>
      <c r="D33" s="179"/>
      <c r="E33" s="180" t="str">
        <f t="shared" si="10"/>
        <v/>
      </c>
      <c r="F33" s="179"/>
      <c r="G33" s="180" t="str">
        <f t="shared" si="11"/>
        <v/>
      </c>
      <c r="H33" s="179"/>
      <c r="I33" s="180" t="str">
        <f t="shared" si="12"/>
        <v/>
      </c>
      <c r="J33" s="179"/>
      <c r="K33" s="180" t="str">
        <f t="shared" si="13"/>
        <v/>
      </c>
      <c r="L33" s="179"/>
      <c r="M33" s="180" t="str">
        <f t="shared" si="14"/>
        <v/>
      </c>
      <c r="N33" s="179"/>
      <c r="O33" s="180" t="str">
        <f t="shared" si="15"/>
        <v/>
      </c>
      <c r="P33" s="179"/>
      <c r="Q33" s="192" t="str">
        <f t="shared" si="0"/>
        <v/>
      </c>
      <c r="R33" s="193"/>
      <c r="S33" s="179"/>
      <c r="T33" s="192" t="str">
        <f t="shared" si="16"/>
        <v/>
      </c>
      <c r="U33" s="193"/>
      <c r="V33" s="179"/>
      <c r="W33" s="192" t="str">
        <f t="shared" si="17"/>
        <v/>
      </c>
      <c r="X33" s="194"/>
      <c r="Y33" s="205" t="str">
        <f t="shared" si="1"/>
        <v/>
      </c>
      <c r="Z33" s="206" t="str">
        <f t="shared" si="2"/>
        <v/>
      </c>
      <c r="AA33" s="206" t="str">
        <f t="shared" si="3"/>
        <v/>
      </c>
      <c r="AB33" s="206" t="str">
        <f t="shared" si="4"/>
        <v/>
      </c>
      <c r="AC33" s="207" t="str">
        <f t="shared" si="5"/>
        <v/>
      </c>
      <c r="AD33" s="208" t="str">
        <f t="shared" si="19"/>
        <v/>
      </c>
      <c r="AE33" s="209" t="str">
        <f t="shared" si="18"/>
        <v/>
      </c>
      <c r="AF33" s="210" t="str">
        <f t="shared" si="7"/>
        <v/>
      </c>
      <c r="AG33" s="219" t="str">
        <f t="shared" si="8"/>
        <v/>
      </c>
      <c r="AH33" s="207" t="str">
        <f t="shared" si="9"/>
        <v/>
      </c>
    </row>
    <row r="34" spans="1:34" s="167" customFormat="1" ht="12.75" customHeight="1">
      <c r="A34" s="181">
        <v>27</v>
      </c>
      <c r="B34" s="177"/>
      <c r="C34" s="182"/>
      <c r="D34" s="179"/>
      <c r="E34" s="180" t="str">
        <f t="shared" si="10"/>
        <v/>
      </c>
      <c r="F34" s="179"/>
      <c r="G34" s="180" t="str">
        <f t="shared" si="11"/>
        <v/>
      </c>
      <c r="H34" s="179"/>
      <c r="I34" s="180" t="str">
        <f t="shared" si="12"/>
        <v/>
      </c>
      <c r="J34" s="179"/>
      <c r="K34" s="180" t="str">
        <f t="shared" si="13"/>
        <v/>
      </c>
      <c r="L34" s="179"/>
      <c r="M34" s="180" t="str">
        <f t="shared" si="14"/>
        <v/>
      </c>
      <c r="N34" s="179"/>
      <c r="O34" s="180" t="str">
        <f t="shared" si="15"/>
        <v/>
      </c>
      <c r="P34" s="179"/>
      <c r="Q34" s="192" t="str">
        <f t="shared" si="0"/>
        <v/>
      </c>
      <c r="R34" s="193"/>
      <c r="S34" s="179"/>
      <c r="T34" s="192" t="str">
        <f t="shared" si="16"/>
        <v/>
      </c>
      <c r="U34" s="193"/>
      <c r="V34" s="179"/>
      <c r="W34" s="192" t="str">
        <f t="shared" si="17"/>
        <v/>
      </c>
      <c r="X34" s="194"/>
      <c r="Y34" s="205" t="str">
        <f t="shared" si="1"/>
        <v/>
      </c>
      <c r="Z34" s="206" t="str">
        <f t="shared" si="2"/>
        <v/>
      </c>
      <c r="AA34" s="206" t="str">
        <f t="shared" si="3"/>
        <v/>
      </c>
      <c r="AB34" s="206" t="str">
        <f t="shared" si="4"/>
        <v/>
      </c>
      <c r="AC34" s="207" t="str">
        <f t="shared" si="5"/>
        <v/>
      </c>
      <c r="AD34" s="208" t="str">
        <f t="shared" si="19"/>
        <v/>
      </c>
      <c r="AE34" s="209" t="str">
        <f t="shared" si="18"/>
        <v/>
      </c>
      <c r="AF34" s="210" t="str">
        <f t="shared" si="7"/>
        <v/>
      </c>
      <c r="AG34" s="219" t="str">
        <f t="shared" si="8"/>
        <v/>
      </c>
      <c r="AH34" s="207" t="str">
        <f t="shared" si="9"/>
        <v/>
      </c>
    </row>
    <row r="35" spans="1:34" s="167" customFormat="1" ht="12.75" customHeight="1">
      <c r="A35" s="181">
        <v>28</v>
      </c>
      <c r="B35" s="177"/>
      <c r="C35" s="182"/>
      <c r="D35" s="179"/>
      <c r="E35" s="180" t="str">
        <f t="shared" si="10"/>
        <v/>
      </c>
      <c r="F35" s="179"/>
      <c r="G35" s="180" t="str">
        <f t="shared" si="11"/>
        <v/>
      </c>
      <c r="H35" s="179"/>
      <c r="I35" s="180" t="str">
        <f t="shared" si="12"/>
        <v/>
      </c>
      <c r="J35" s="179"/>
      <c r="K35" s="180" t="str">
        <f t="shared" si="13"/>
        <v/>
      </c>
      <c r="L35" s="179"/>
      <c r="M35" s="180" t="str">
        <f t="shared" si="14"/>
        <v/>
      </c>
      <c r="N35" s="179"/>
      <c r="O35" s="180" t="str">
        <f t="shared" si="15"/>
        <v/>
      </c>
      <c r="P35" s="179"/>
      <c r="Q35" s="192" t="str">
        <f t="shared" si="0"/>
        <v/>
      </c>
      <c r="R35" s="193"/>
      <c r="S35" s="179"/>
      <c r="T35" s="192" t="str">
        <f t="shared" si="16"/>
        <v/>
      </c>
      <c r="U35" s="193"/>
      <c r="V35" s="179"/>
      <c r="W35" s="192" t="str">
        <f t="shared" si="17"/>
        <v/>
      </c>
      <c r="X35" s="194"/>
      <c r="Y35" s="205" t="str">
        <f t="shared" si="1"/>
        <v/>
      </c>
      <c r="Z35" s="206" t="str">
        <f t="shared" si="2"/>
        <v/>
      </c>
      <c r="AA35" s="206" t="str">
        <f t="shared" si="3"/>
        <v/>
      </c>
      <c r="AB35" s="206" t="str">
        <f t="shared" si="4"/>
        <v/>
      </c>
      <c r="AC35" s="207" t="str">
        <f t="shared" si="5"/>
        <v/>
      </c>
      <c r="AD35" s="208" t="str">
        <f t="shared" si="19"/>
        <v/>
      </c>
      <c r="AE35" s="209" t="str">
        <f t="shared" si="18"/>
        <v/>
      </c>
      <c r="AF35" s="210" t="str">
        <f t="shared" si="7"/>
        <v/>
      </c>
      <c r="AG35" s="219" t="str">
        <f t="shared" si="8"/>
        <v/>
      </c>
      <c r="AH35" s="207" t="str">
        <f t="shared" si="9"/>
        <v/>
      </c>
    </row>
    <row r="36" spans="1:34" s="167" customFormat="1" ht="12.75" customHeight="1">
      <c r="A36" s="181">
        <v>29</v>
      </c>
      <c r="B36" s="177"/>
      <c r="C36" s="182"/>
      <c r="D36" s="179"/>
      <c r="E36" s="180" t="str">
        <f t="shared" si="10"/>
        <v/>
      </c>
      <c r="F36" s="179"/>
      <c r="G36" s="180" t="str">
        <f t="shared" si="11"/>
        <v/>
      </c>
      <c r="H36" s="179"/>
      <c r="I36" s="180" t="str">
        <f t="shared" si="12"/>
        <v/>
      </c>
      <c r="J36" s="179"/>
      <c r="K36" s="180" t="str">
        <f t="shared" si="13"/>
        <v/>
      </c>
      <c r="L36" s="179"/>
      <c r="M36" s="180" t="str">
        <f t="shared" si="14"/>
        <v/>
      </c>
      <c r="N36" s="179"/>
      <c r="O36" s="180" t="str">
        <f t="shared" si="15"/>
        <v/>
      </c>
      <c r="P36" s="179"/>
      <c r="Q36" s="192" t="str">
        <f t="shared" si="0"/>
        <v/>
      </c>
      <c r="R36" s="193"/>
      <c r="S36" s="179"/>
      <c r="T36" s="192" t="str">
        <f t="shared" si="16"/>
        <v/>
      </c>
      <c r="U36" s="193"/>
      <c r="V36" s="179"/>
      <c r="W36" s="192" t="str">
        <f t="shared" si="17"/>
        <v/>
      </c>
      <c r="X36" s="194"/>
      <c r="Y36" s="205" t="str">
        <f t="shared" si="1"/>
        <v/>
      </c>
      <c r="Z36" s="206" t="str">
        <f t="shared" si="2"/>
        <v/>
      </c>
      <c r="AA36" s="206" t="str">
        <f t="shared" si="3"/>
        <v/>
      </c>
      <c r="AB36" s="206" t="str">
        <f t="shared" si="4"/>
        <v/>
      </c>
      <c r="AC36" s="207" t="str">
        <f t="shared" si="5"/>
        <v/>
      </c>
      <c r="AD36" s="208" t="str">
        <f t="shared" si="19"/>
        <v/>
      </c>
      <c r="AE36" s="209" t="str">
        <f t="shared" si="18"/>
        <v/>
      </c>
      <c r="AF36" s="210" t="str">
        <f t="shared" si="7"/>
        <v/>
      </c>
      <c r="AG36" s="219" t="str">
        <f t="shared" si="8"/>
        <v/>
      </c>
      <c r="AH36" s="207" t="str">
        <f t="shared" si="9"/>
        <v/>
      </c>
    </row>
    <row r="37" spans="1:34" s="167" customFormat="1" ht="12.75" customHeight="1">
      <c r="A37" s="181">
        <v>30</v>
      </c>
      <c r="B37" s="177"/>
      <c r="C37" s="182"/>
      <c r="D37" s="179"/>
      <c r="E37" s="180" t="str">
        <f t="shared" si="10"/>
        <v/>
      </c>
      <c r="F37" s="179"/>
      <c r="G37" s="180" t="str">
        <f t="shared" si="11"/>
        <v/>
      </c>
      <c r="H37" s="179"/>
      <c r="I37" s="180" t="str">
        <f t="shared" si="12"/>
        <v/>
      </c>
      <c r="J37" s="179"/>
      <c r="K37" s="180" t="str">
        <f t="shared" si="13"/>
        <v/>
      </c>
      <c r="L37" s="179"/>
      <c r="M37" s="180" t="str">
        <f t="shared" si="14"/>
        <v/>
      </c>
      <c r="N37" s="179"/>
      <c r="O37" s="180" t="str">
        <f t="shared" si="15"/>
        <v/>
      </c>
      <c r="P37" s="179"/>
      <c r="Q37" s="192" t="str">
        <f t="shared" si="0"/>
        <v/>
      </c>
      <c r="R37" s="193"/>
      <c r="S37" s="179"/>
      <c r="T37" s="192" t="str">
        <f t="shared" si="16"/>
        <v/>
      </c>
      <c r="U37" s="193"/>
      <c r="V37" s="179"/>
      <c r="W37" s="192" t="str">
        <f t="shared" si="17"/>
        <v/>
      </c>
      <c r="X37" s="194"/>
      <c r="Y37" s="205" t="str">
        <f t="shared" si="1"/>
        <v/>
      </c>
      <c r="Z37" s="206" t="str">
        <f t="shared" si="2"/>
        <v/>
      </c>
      <c r="AA37" s="206" t="str">
        <f t="shared" si="3"/>
        <v/>
      </c>
      <c r="AB37" s="206" t="str">
        <f t="shared" si="4"/>
        <v/>
      </c>
      <c r="AC37" s="207" t="str">
        <f t="shared" si="5"/>
        <v/>
      </c>
      <c r="AD37" s="208" t="str">
        <f t="shared" si="19"/>
        <v/>
      </c>
      <c r="AE37" s="209" t="str">
        <f t="shared" si="18"/>
        <v/>
      </c>
      <c r="AF37" s="210" t="str">
        <f t="shared" si="7"/>
        <v/>
      </c>
      <c r="AG37" s="219" t="str">
        <f t="shared" si="8"/>
        <v/>
      </c>
      <c r="AH37" s="207" t="str">
        <f t="shared" si="9"/>
        <v/>
      </c>
    </row>
    <row r="38" spans="1:34" s="167" customFormat="1" ht="12.75" customHeight="1">
      <c r="A38" s="181">
        <v>31</v>
      </c>
      <c r="B38" s="177"/>
      <c r="C38" s="182"/>
      <c r="D38" s="179"/>
      <c r="E38" s="180" t="str">
        <f t="shared" si="10"/>
        <v/>
      </c>
      <c r="F38" s="179"/>
      <c r="G38" s="180" t="str">
        <f t="shared" si="11"/>
        <v/>
      </c>
      <c r="H38" s="179"/>
      <c r="I38" s="180" t="str">
        <f t="shared" si="12"/>
        <v/>
      </c>
      <c r="J38" s="179"/>
      <c r="K38" s="180" t="str">
        <f t="shared" si="13"/>
        <v/>
      </c>
      <c r="L38" s="179"/>
      <c r="M38" s="180" t="str">
        <f t="shared" si="14"/>
        <v/>
      </c>
      <c r="N38" s="179"/>
      <c r="O38" s="180" t="str">
        <f t="shared" si="15"/>
        <v/>
      </c>
      <c r="P38" s="179"/>
      <c r="Q38" s="192" t="str">
        <f t="shared" si="0"/>
        <v/>
      </c>
      <c r="R38" s="193"/>
      <c r="S38" s="179"/>
      <c r="T38" s="192" t="str">
        <f t="shared" si="16"/>
        <v/>
      </c>
      <c r="U38" s="193"/>
      <c r="V38" s="179"/>
      <c r="W38" s="192" t="str">
        <f t="shared" si="17"/>
        <v/>
      </c>
      <c r="X38" s="194"/>
      <c r="Y38" s="205" t="str">
        <f t="shared" si="1"/>
        <v/>
      </c>
      <c r="Z38" s="206" t="str">
        <f t="shared" si="2"/>
        <v/>
      </c>
      <c r="AA38" s="206" t="str">
        <f t="shared" si="3"/>
        <v/>
      </c>
      <c r="AB38" s="206" t="str">
        <f t="shared" si="4"/>
        <v/>
      </c>
      <c r="AC38" s="207" t="str">
        <f t="shared" si="5"/>
        <v/>
      </c>
      <c r="AD38" s="208" t="str">
        <f t="shared" si="19"/>
        <v/>
      </c>
      <c r="AE38" s="209" t="str">
        <f t="shared" si="18"/>
        <v/>
      </c>
      <c r="AF38" s="210" t="str">
        <f t="shared" si="7"/>
        <v/>
      </c>
      <c r="AG38" s="219" t="str">
        <f t="shared" si="8"/>
        <v/>
      </c>
      <c r="AH38" s="207" t="str">
        <f t="shared" si="9"/>
        <v/>
      </c>
    </row>
    <row r="39" spans="1:34" s="167" customFormat="1" ht="12.75" customHeight="1">
      <c r="A39" s="181">
        <v>32</v>
      </c>
      <c r="B39" s="177"/>
      <c r="C39" s="182"/>
      <c r="D39" s="179"/>
      <c r="E39" s="180" t="str">
        <f t="shared" si="10"/>
        <v/>
      </c>
      <c r="F39" s="179"/>
      <c r="G39" s="180" t="str">
        <f t="shared" si="11"/>
        <v/>
      </c>
      <c r="H39" s="179"/>
      <c r="I39" s="180" t="str">
        <f t="shared" si="12"/>
        <v/>
      </c>
      <c r="J39" s="179"/>
      <c r="K39" s="180" t="str">
        <f t="shared" si="13"/>
        <v/>
      </c>
      <c r="L39" s="179"/>
      <c r="M39" s="180" t="str">
        <f t="shared" si="14"/>
        <v/>
      </c>
      <c r="N39" s="179"/>
      <c r="O39" s="180" t="str">
        <f t="shared" si="15"/>
        <v/>
      </c>
      <c r="P39" s="179"/>
      <c r="Q39" s="192" t="str">
        <f t="shared" si="0"/>
        <v/>
      </c>
      <c r="R39" s="193"/>
      <c r="S39" s="179"/>
      <c r="T39" s="192" t="str">
        <f t="shared" si="16"/>
        <v/>
      </c>
      <c r="U39" s="193"/>
      <c r="V39" s="179"/>
      <c r="W39" s="192" t="str">
        <f t="shared" si="17"/>
        <v/>
      </c>
      <c r="X39" s="194"/>
      <c r="Y39" s="205" t="str">
        <f t="shared" si="1"/>
        <v/>
      </c>
      <c r="Z39" s="206" t="str">
        <f t="shared" si="2"/>
        <v/>
      </c>
      <c r="AA39" s="206" t="str">
        <f t="shared" si="3"/>
        <v/>
      </c>
      <c r="AB39" s="206" t="str">
        <f t="shared" si="4"/>
        <v/>
      </c>
      <c r="AC39" s="207" t="str">
        <f t="shared" si="5"/>
        <v/>
      </c>
      <c r="AD39" s="208" t="str">
        <f t="shared" si="19"/>
        <v/>
      </c>
      <c r="AE39" s="209" t="str">
        <f t="shared" si="18"/>
        <v/>
      </c>
      <c r="AF39" s="210" t="str">
        <f t="shared" si="7"/>
        <v/>
      </c>
      <c r="AG39" s="219" t="str">
        <f t="shared" si="8"/>
        <v/>
      </c>
      <c r="AH39" s="207" t="str">
        <f t="shared" si="9"/>
        <v/>
      </c>
    </row>
    <row r="40" spans="1:34" s="167" customFormat="1" ht="12.75" customHeight="1">
      <c r="A40" s="181">
        <v>33</v>
      </c>
      <c r="B40" s="177"/>
      <c r="C40" s="182"/>
      <c r="D40" s="179"/>
      <c r="E40" s="180" t="str">
        <f t="shared" si="10"/>
        <v/>
      </c>
      <c r="F40" s="179"/>
      <c r="G40" s="180" t="str">
        <f t="shared" si="11"/>
        <v/>
      </c>
      <c r="H40" s="179"/>
      <c r="I40" s="180" t="str">
        <f t="shared" si="12"/>
        <v/>
      </c>
      <c r="J40" s="179"/>
      <c r="K40" s="180" t="str">
        <f t="shared" si="13"/>
        <v/>
      </c>
      <c r="L40" s="179"/>
      <c r="M40" s="180" t="str">
        <f t="shared" si="14"/>
        <v/>
      </c>
      <c r="N40" s="179"/>
      <c r="O40" s="180" t="str">
        <f t="shared" si="15"/>
        <v/>
      </c>
      <c r="P40" s="179"/>
      <c r="Q40" s="192" t="str">
        <f t="shared" si="0"/>
        <v/>
      </c>
      <c r="R40" s="193"/>
      <c r="S40" s="179"/>
      <c r="T40" s="192" t="str">
        <f t="shared" si="16"/>
        <v/>
      </c>
      <c r="U40" s="193"/>
      <c r="V40" s="179"/>
      <c r="W40" s="192" t="str">
        <f t="shared" si="17"/>
        <v/>
      </c>
      <c r="X40" s="194"/>
      <c r="Y40" s="205" t="str">
        <f t="shared" si="1"/>
        <v/>
      </c>
      <c r="Z40" s="206" t="str">
        <f t="shared" si="2"/>
        <v/>
      </c>
      <c r="AA40" s="206" t="str">
        <f t="shared" si="3"/>
        <v/>
      </c>
      <c r="AB40" s="206" t="str">
        <f t="shared" si="4"/>
        <v/>
      </c>
      <c r="AC40" s="207" t="str">
        <f t="shared" si="5"/>
        <v/>
      </c>
      <c r="AD40" s="208" t="str">
        <f t="shared" si="19"/>
        <v/>
      </c>
      <c r="AE40" s="209" t="str">
        <f t="shared" si="18"/>
        <v/>
      </c>
      <c r="AF40" s="210" t="str">
        <f t="shared" si="7"/>
        <v/>
      </c>
      <c r="AG40" s="219" t="str">
        <f t="shared" si="8"/>
        <v/>
      </c>
      <c r="AH40" s="207" t="str">
        <f t="shared" si="9"/>
        <v/>
      </c>
    </row>
    <row r="41" spans="1:34" s="167" customFormat="1" ht="12.75" customHeight="1">
      <c r="A41" s="181">
        <v>34</v>
      </c>
      <c r="B41" s="177"/>
      <c r="C41" s="182"/>
      <c r="D41" s="179"/>
      <c r="E41" s="180" t="str">
        <f t="shared" si="10"/>
        <v/>
      </c>
      <c r="F41" s="179"/>
      <c r="G41" s="180" t="str">
        <f t="shared" si="11"/>
        <v/>
      </c>
      <c r="H41" s="179"/>
      <c r="I41" s="180" t="str">
        <f t="shared" si="12"/>
        <v/>
      </c>
      <c r="J41" s="179"/>
      <c r="K41" s="180" t="str">
        <f t="shared" si="13"/>
        <v/>
      </c>
      <c r="L41" s="179"/>
      <c r="M41" s="180" t="str">
        <f t="shared" si="14"/>
        <v/>
      </c>
      <c r="N41" s="179"/>
      <c r="O41" s="180" t="str">
        <f t="shared" si="15"/>
        <v/>
      </c>
      <c r="P41" s="179"/>
      <c r="Q41" s="192" t="str">
        <f t="shared" si="0"/>
        <v/>
      </c>
      <c r="R41" s="193"/>
      <c r="S41" s="179"/>
      <c r="T41" s="192" t="str">
        <f t="shared" si="16"/>
        <v/>
      </c>
      <c r="U41" s="193"/>
      <c r="V41" s="179"/>
      <c r="W41" s="192" t="str">
        <f t="shared" si="17"/>
        <v/>
      </c>
      <c r="X41" s="194"/>
      <c r="Y41" s="205" t="str">
        <f t="shared" si="1"/>
        <v/>
      </c>
      <c r="Z41" s="206" t="str">
        <f t="shared" si="2"/>
        <v/>
      </c>
      <c r="AA41" s="206" t="str">
        <f t="shared" si="3"/>
        <v/>
      </c>
      <c r="AB41" s="206" t="str">
        <f t="shared" si="4"/>
        <v/>
      </c>
      <c r="AC41" s="207" t="str">
        <f t="shared" si="5"/>
        <v/>
      </c>
      <c r="AD41" s="208" t="str">
        <f t="shared" si="19"/>
        <v/>
      </c>
      <c r="AE41" s="209" t="str">
        <f t="shared" si="18"/>
        <v/>
      </c>
      <c r="AF41" s="210" t="str">
        <f t="shared" si="7"/>
        <v/>
      </c>
      <c r="AG41" s="219" t="str">
        <f t="shared" si="8"/>
        <v/>
      </c>
      <c r="AH41" s="207" t="str">
        <f t="shared" si="9"/>
        <v/>
      </c>
    </row>
    <row r="42" spans="1:34" s="167" customFormat="1" ht="12.75" customHeight="1">
      <c r="A42" s="181">
        <v>35</v>
      </c>
      <c r="B42" s="177"/>
      <c r="C42" s="182"/>
      <c r="D42" s="179"/>
      <c r="E42" s="180" t="str">
        <f t="shared" si="10"/>
        <v/>
      </c>
      <c r="F42" s="179"/>
      <c r="G42" s="180" t="str">
        <f t="shared" si="11"/>
        <v/>
      </c>
      <c r="H42" s="179"/>
      <c r="I42" s="180" t="str">
        <f t="shared" si="12"/>
        <v/>
      </c>
      <c r="J42" s="179"/>
      <c r="K42" s="180" t="str">
        <f t="shared" si="13"/>
        <v/>
      </c>
      <c r="L42" s="179"/>
      <c r="M42" s="180" t="str">
        <f t="shared" si="14"/>
        <v/>
      </c>
      <c r="N42" s="179"/>
      <c r="O42" s="180" t="str">
        <f t="shared" si="15"/>
        <v/>
      </c>
      <c r="P42" s="179"/>
      <c r="Q42" s="192" t="str">
        <f t="shared" si="0"/>
        <v/>
      </c>
      <c r="R42" s="193"/>
      <c r="S42" s="179"/>
      <c r="T42" s="192" t="str">
        <f t="shared" si="16"/>
        <v/>
      </c>
      <c r="U42" s="193"/>
      <c r="V42" s="179"/>
      <c r="W42" s="192" t="str">
        <f t="shared" si="17"/>
        <v/>
      </c>
      <c r="X42" s="194"/>
      <c r="Y42" s="205" t="str">
        <f t="shared" si="1"/>
        <v/>
      </c>
      <c r="Z42" s="206" t="str">
        <f t="shared" si="2"/>
        <v/>
      </c>
      <c r="AA42" s="206" t="str">
        <f t="shared" si="3"/>
        <v/>
      </c>
      <c r="AB42" s="206" t="str">
        <f t="shared" si="4"/>
        <v/>
      </c>
      <c r="AC42" s="207" t="str">
        <f t="shared" si="5"/>
        <v/>
      </c>
      <c r="AD42" s="208" t="str">
        <f t="shared" si="19"/>
        <v/>
      </c>
      <c r="AE42" s="209" t="str">
        <f t="shared" si="18"/>
        <v/>
      </c>
      <c r="AF42" s="210" t="str">
        <f t="shared" si="7"/>
        <v/>
      </c>
      <c r="AG42" s="219" t="str">
        <f t="shared" si="8"/>
        <v/>
      </c>
      <c r="AH42" s="207" t="str">
        <f t="shared" si="9"/>
        <v/>
      </c>
    </row>
    <row r="43" spans="1:34" s="167" customFormat="1" ht="12.75" customHeight="1">
      <c r="A43" s="181">
        <v>36</v>
      </c>
      <c r="B43" s="177"/>
      <c r="C43" s="182"/>
      <c r="D43" s="179"/>
      <c r="E43" s="180" t="str">
        <f t="shared" si="10"/>
        <v/>
      </c>
      <c r="F43" s="179"/>
      <c r="G43" s="180" t="str">
        <f t="shared" si="11"/>
        <v/>
      </c>
      <c r="H43" s="179"/>
      <c r="I43" s="180" t="str">
        <f t="shared" si="12"/>
        <v/>
      </c>
      <c r="J43" s="179"/>
      <c r="K43" s="180" t="str">
        <f t="shared" si="13"/>
        <v/>
      </c>
      <c r="L43" s="179"/>
      <c r="M43" s="180" t="str">
        <f t="shared" si="14"/>
        <v/>
      </c>
      <c r="N43" s="179"/>
      <c r="O43" s="180" t="str">
        <f t="shared" si="15"/>
        <v/>
      </c>
      <c r="P43" s="179"/>
      <c r="Q43" s="192" t="str">
        <f t="shared" si="0"/>
        <v/>
      </c>
      <c r="R43" s="193"/>
      <c r="S43" s="179"/>
      <c r="T43" s="192" t="str">
        <f t="shared" si="16"/>
        <v/>
      </c>
      <c r="U43" s="193"/>
      <c r="V43" s="179"/>
      <c r="W43" s="192" t="str">
        <f t="shared" si="17"/>
        <v/>
      </c>
      <c r="X43" s="194"/>
      <c r="Y43" s="205" t="str">
        <f t="shared" si="1"/>
        <v/>
      </c>
      <c r="Z43" s="206" t="str">
        <f t="shared" si="2"/>
        <v/>
      </c>
      <c r="AA43" s="206" t="str">
        <f t="shared" si="3"/>
        <v/>
      </c>
      <c r="AB43" s="206" t="str">
        <f t="shared" si="4"/>
        <v/>
      </c>
      <c r="AC43" s="207" t="str">
        <f t="shared" si="5"/>
        <v/>
      </c>
      <c r="AD43" s="208" t="str">
        <f t="shared" si="19"/>
        <v/>
      </c>
      <c r="AE43" s="209" t="str">
        <f t="shared" si="18"/>
        <v/>
      </c>
      <c r="AF43" s="210" t="str">
        <f t="shared" si="7"/>
        <v/>
      </c>
      <c r="AG43" s="219" t="str">
        <f t="shared" si="8"/>
        <v/>
      </c>
      <c r="AH43" s="207" t="str">
        <f t="shared" si="9"/>
        <v/>
      </c>
    </row>
    <row r="44" spans="1:34" s="167" customFormat="1" ht="12.75" customHeight="1">
      <c r="A44" s="181">
        <v>37</v>
      </c>
      <c r="B44" s="177"/>
      <c r="C44" s="182"/>
      <c r="D44" s="179"/>
      <c r="E44" s="180" t="str">
        <f t="shared" si="10"/>
        <v/>
      </c>
      <c r="F44" s="179"/>
      <c r="G44" s="180" t="str">
        <f t="shared" si="11"/>
        <v/>
      </c>
      <c r="H44" s="179"/>
      <c r="I44" s="180" t="str">
        <f t="shared" si="12"/>
        <v/>
      </c>
      <c r="J44" s="179"/>
      <c r="K44" s="180" t="str">
        <f t="shared" si="13"/>
        <v/>
      </c>
      <c r="L44" s="179"/>
      <c r="M44" s="180" t="str">
        <f t="shared" si="14"/>
        <v/>
      </c>
      <c r="N44" s="179"/>
      <c r="O44" s="180" t="str">
        <f t="shared" si="15"/>
        <v/>
      </c>
      <c r="P44" s="179"/>
      <c r="Q44" s="192" t="str">
        <f t="shared" si="0"/>
        <v/>
      </c>
      <c r="R44" s="193"/>
      <c r="S44" s="179"/>
      <c r="T44" s="192" t="str">
        <f t="shared" si="16"/>
        <v/>
      </c>
      <c r="U44" s="193"/>
      <c r="V44" s="179"/>
      <c r="W44" s="192" t="str">
        <f t="shared" si="17"/>
        <v/>
      </c>
      <c r="X44" s="194"/>
      <c r="Y44" s="205" t="str">
        <f t="shared" si="1"/>
        <v/>
      </c>
      <c r="Z44" s="206" t="str">
        <f t="shared" si="2"/>
        <v/>
      </c>
      <c r="AA44" s="206" t="str">
        <f t="shared" si="3"/>
        <v/>
      </c>
      <c r="AB44" s="206" t="str">
        <f t="shared" si="4"/>
        <v/>
      </c>
      <c r="AC44" s="207" t="str">
        <f t="shared" si="5"/>
        <v/>
      </c>
      <c r="AD44" s="208" t="str">
        <f t="shared" si="19"/>
        <v/>
      </c>
      <c r="AE44" s="209" t="str">
        <f t="shared" si="18"/>
        <v/>
      </c>
      <c r="AF44" s="210" t="str">
        <f t="shared" si="7"/>
        <v/>
      </c>
      <c r="AG44" s="219" t="str">
        <f t="shared" si="8"/>
        <v/>
      </c>
      <c r="AH44" s="207" t="str">
        <f t="shared" si="9"/>
        <v/>
      </c>
    </row>
    <row r="45" spans="1:34" s="167" customFormat="1" ht="12.75" customHeight="1">
      <c r="A45" s="181">
        <v>38</v>
      </c>
      <c r="B45" s="177"/>
      <c r="C45" s="182"/>
      <c r="D45" s="179"/>
      <c r="E45" s="180" t="str">
        <f t="shared" si="10"/>
        <v/>
      </c>
      <c r="F45" s="179"/>
      <c r="G45" s="180" t="str">
        <f t="shared" si="11"/>
        <v/>
      </c>
      <c r="H45" s="179"/>
      <c r="I45" s="180" t="str">
        <f t="shared" si="12"/>
        <v/>
      </c>
      <c r="J45" s="179"/>
      <c r="K45" s="180" t="str">
        <f t="shared" si="13"/>
        <v/>
      </c>
      <c r="L45" s="179"/>
      <c r="M45" s="180" t="str">
        <f t="shared" si="14"/>
        <v/>
      </c>
      <c r="N45" s="179"/>
      <c r="O45" s="180" t="str">
        <f t="shared" si="15"/>
        <v/>
      </c>
      <c r="P45" s="179"/>
      <c r="Q45" s="192" t="str">
        <f t="shared" si="0"/>
        <v/>
      </c>
      <c r="R45" s="193"/>
      <c r="S45" s="179"/>
      <c r="T45" s="192" t="str">
        <f t="shared" si="16"/>
        <v/>
      </c>
      <c r="U45" s="193"/>
      <c r="V45" s="179"/>
      <c r="W45" s="192" t="str">
        <f t="shared" si="17"/>
        <v/>
      </c>
      <c r="X45" s="194"/>
      <c r="Y45" s="205" t="str">
        <f t="shared" si="1"/>
        <v/>
      </c>
      <c r="Z45" s="206" t="str">
        <f t="shared" si="2"/>
        <v/>
      </c>
      <c r="AA45" s="206" t="str">
        <f t="shared" si="3"/>
        <v/>
      </c>
      <c r="AB45" s="206" t="str">
        <f t="shared" si="4"/>
        <v/>
      </c>
      <c r="AC45" s="207" t="str">
        <f t="shared" si="5"/>
        <v/>
      </c>
      <c r="AD45" s="208" t="str">
        <f t="shared" si="19"/>
        <v/>
      </c>
      <c r="AE45" s="209" t="str">
        <f t="shared" si="18"/>
        <v/>
      </c>
      <c r="AF45" s="210" t="str">
        <f t="shared" si="7"/>
        <v/>
      </c>
      <c r="AG45" s="219" t="str">
        <f t="shared" si="8"/>
        <v/>
      </c>
      <c r="AH45" s="207" t="str">
        <f t="shared" si="9"/>
        <v/>
      </c>
    </row>
    <row r="46" spans="1:34" s="167" customFormat="1" ht="12.75" customHeight="1">
      <c r="A46" s="181">
        <v>39</v>
      </c>
      <c r="B46" s="177"/>
      <c r="C46" s="182"/>
      <c r="D46" s="179"/>
      <c r="E46" s="180" t="str">
        <f t="shared" si="10"/>
        <v/>
      </c>
      <c r="F46" s="179"/>
      <c r="G46" s="180" t="str">
        <f t="shared" si="11"/>
        <v/>
      </c>
      <c r="H46" s="179"/>
      <c r="I46" s="180" t="str">
        <f t="shared" si="12"/>
        <v/>
      </c>
      <c r="J46" s="179"/>
      <c r="K46" s="180" t="str">
        <f t="shared" si="13"/>
        <v/>
      </c>
      <c r="L46" s="179"/>
      <c r="M46" s="180" t="str">
        <f t="shared" si="14"/>
        <v/>
      </c>
      <c r="N46" s="179"/>
      <c r="O46" s="180" t="str">
        <f t="shared" si="15"/>
        <v/>
      </c>
      <c r="P46" s="179"/>
      <c r="Q46" s="192" t="str">
        <f t="shared" si="0"/>
        <v/>
      </c>
      <c r="R46" s="193"/>
      <c r="S46" s="179"/>
      <c r="T46" s="192" t="str">
        <f t="shared" si="16"/>
        <v/>
      </c>
      <c r="U46" s="193"/>
      <c r="V46" s="179"/>
      <c r="W46" s="192" t="str">
        <f t="shared" si="17"/>
        <v/>
      </c>
      <c r="X46" s="194"/>
      <c r="Y46" s="205" t="str">
        <f t="shared" si="1"/>
        <v/>
      </c>
      <c r="Z46" s="206" t="str">
        <f t="shared" si="2"/>
        <v/>
      </c>
      <c r="AA46" s="206" t="str">
        <f t="shared" si="3"/>
        <v/>
      </c>
      <c r="AB46" s="206" t="str">
        <f t="shared" si="4"/>
        <v/>
      </c>
      <c r="AC46" s="207" t="str">
        <f t="shared" si="5"/>
        <v/>
      </c>
      <c r="AD46" s="208" t="str">
        <f t="shared" si="19"/>
        <v/>
      </c>
      <c r="AE46" s="209" t="str">
        <f t="shared" si="18"/>
        <v/>
      </c>
      <c r="AF46" s="210" t="str">
        <f t="shared" si="7"/>
        <v/>
      </c>
      <c r="AG46" s="219" t="str">
        <f t="shared" si="8"/>
        <v/>
      </c>
      <c r="AH46" s="207" t="str">
        <f t="shared" si="9"/>
        <v/>
      </c>
    </row>
    <row r="47" spans="1:34" s="167" customFormat="1" ht="12.75" customHeight="1">
      <c r="A47" s="181">
        <v>40</v>
      </c>
      <c r="B47" s="177"/>
      <c r="C47" s="182"/>
      <c r="D47" s="179"/>
      <c r="E47" s="180" t="str">
        <f t="shared" si="10"/>
        <v/>
      </c>
      <c r="F47" s="179"/>
      <c r="G47" s="180" t="str">
        <f t="shared" si="11"/>
        <v/>
      </c>
      <c r="H47" s="179"/>
      <c r="I47" s="180" t="str">
        <f t="shared" si="12"/>
        <v/>
      </c>
      <c r="J47" s="179"/>
      <c r="K47" s="180" t="str">
        <f t="shared" si="13"/>
        <v/>
      </c>
      <c r="L47" s="179"/>
      <c r="M47" s="180" t="str">
        <f t="shared" si="14"/>
        <v/>
      </c>
      <c r="N47" s="179"/>
      <c r="O47" s="180" t="str">
        <f t="shared" si="15"/>
        <v/>
      </c>
      <c r="P47" s="179"/>
      <c r="Q47" s="192" t="str">
        <f t="shared" si="0"/>
        <v/>
      </c>
      <c r="R47" s="193"/>
      <c r="S47" s="179"/>
      <c r="T47" s="192" t="str">
        <f t="shared" si="16"/>
        <v/>
      </c>
      <c r="U47" s="193"/>
      <c r="V47" s="179"/>
      <c r="W47" s="192" t="str">
        <f t="shared" si="17"/>
        <v/>
      </c>
      <c r="X47" s="194"/>
      <c r="Y47" s="205" t="str">
        <f t="shared" si="1"/>
        <v/>
      </c>
      <c r="Z47" s="206" t="str">
        <f t="shared" si="2"/>
        <v/>
      </c>
      <c r="AA47" s="206" t="str">
        <f t="shared" si="3"/>
        <v/>
      </c>
      <c r="AB47" s="206" t="str">
        <f t="shared" si="4"/>
        <v/>
      </c>
      <c r="AC47" s="207" t="str">
        <f t="shared" si="5"/>
        <v/>
      </c>
      <c r="AD47" s="208" t="str">
        <f t="shared" si="19"/>
        <v/>
      </c>
      <c r="AE47" s="209" t="str">
        <f t="shared" si="18"/>
        <v/>
      </c>
      <c r="AF47" s="210" t="str">
        <f t="shared" si="7"/>
        <v/>
      </c>
      <c r="AG47" s="219" t="str">
        <f t="shared" si="8"/>
        <v/>
      </c>
      <c r="AH47" s="207" t="str">
        <f t="shared" si="9"/>
        <v/>
      </c>
    </row>
    <row r="48" spans="1:34" s="167" customFormat="1" ht="12.75" customHeight="1">
      <c r="A48" s="181">
        <v>41</v>
      </c>
      <c r="B48" s="177"/>
      <c r="C48" s="182"/>
      <c r="D48" s="179"/>
      <c r="E48" s="180" t="str">
        <f t="shared" si="10"/>
        <v/>
      </c>
      <c r="F48" s="179"/>
      <c r="G48" s="180" t="str">
        <f t="shared" si="11"/>
        <v/>
      </c>
      <c r="H48" s="179"/>
      <c r="I48" s="180" t="str">
        <f t="shared" si="12"/>
        <v/>
      </c>
      <c r="J48" s="179"/>
      <c r="K48" s="180" t="str">
        <f t="shared" si="13"/>
        <v/>
      </c>
      <c r="L48" s="179"/>
      <c r="M48" s="180" t="str">
        <f t="shared" si="14"/>
        <v/>
      </c>
      <c r="N48" s="179"/>
      <c r="O48" s="180" t="str">
        <f t="shared" si="15"/>
        <v/>
      </c>
      <c r="P48" s="179"/>
      <c r="Q48" s="192" t="str">
        <f t="shared" si="0"/>
        <v/>
      </c>
      <c r="R48" s="193"/>
      <c r="S48" s="179"/>
      <c r="T48" s="192" t="str">
        <f t="shared" si="16"/>
        <v/>
      </c>
      <c r="U48" s="193"/>
      <c r="V48" s="179"/>
      <c r="W48" s="192" t="str">
        <f t="shared" si="17"/>
        <v/>
      </c>
      <c r="X48" s="194"/>
      <c r="Y48" s="205" t="str">
        <f t="shared" si="1"/>
        <v/>
      </c>
      <c r="Z48" s="206" t="str">
        <f t="shared" si="2"/>
        <v/>
      </c>
      <c r="AA48" s="206" t="str">
        <f t="shared" si="3"/>
        <v/>
      </c>
      <c r="AB48" s="206" t="str">
        <f t="shared" si="4"/>
        <v/>
      </c>
      <c r="AC48" s="207" t="str">
        <f t="shared" si="5"/>
        <v/>
      </c>
      <c r="AD48" s="208" t="str">
        <f t="shared" si="19"/>
        <v/>
      </c>
      <c r="AE48" s="209" t="str">
        <f t="shared" si="18"/>
        <v/>
      </c>
      <c r="AF48" s="210" t="str">
        <f t="shared" si="7"/>
        <v/>
      </c>
      <c r="AG48" s="219" t="str">
        <f t="shared" si="8"/>
        <v/>
      </c>
      <c r="AH48" s="207" t="str">
        <f t="shared" si="9"/>
        <v/>
      </c>
    </row>
    <row r="49" spans="1:36" s="167" customFormat="1" ht="12.75" customHeight="1">
      <c r="A49" s="181">
        <v>42</v>
      </c>
      <c r="B49" s="177"/>
      <c r="C49" s="182"/>
      <c r="D49" s="179"/>
      <c r="E49" s="180" t="str">
        <f t="shared" si="10"/>
        <v/>
      </c>
      <c r="F49" s="179"/>
      <c r="G49" s="180" t="str">
        <f t="shared" si="11"/>
        <v/>
      </c>
      <c r="H49" s="179"/>
      <c r="I49" s="180" t="str">
        <f t="shared" si="12"/>
        <v/>
      </c>
      <c r="J49" s="179"/>
      <c r="K49" s="180" t="str">
        <f t="shared" si="13"/>
        <v/>
      </c>
      <c r="L49" s="179"/>
      <c r="M49" s="180" t="str">
        <f t="shared" si="14"/>
        <v/>
      </c>
      <c r="N49" s="179"/>
      <c r="O49" s="180" t="str">
        <f t="shared" si="15"/>
        <v/>
      </c>
      <c r="P49" s="179"/>
      <c r="Q49" s="192" t="str">
        <f t="shared" si="0"/>
        <v/>
      </c>
      <c r="R49" s="193"/>
      <c r="S49" s="179"/>
      <c r="T49" s="192" t="str">
        <f t="shared" si="16"/>
        <v/>
      </c>
      <c r="U49" s="193"/>
      <c r="V49" s="179"/>
      <c r="W49" s="192" t="str">
        <f t="shared" si="17"/>
        <v/>
      </c>
      <c r="X49" s="194"/>
      <c r="Y49" s="205" t="str">
        <f t="shared" si="1"/>
        <v/>
      </c>
      <c r="Z49" s="206" t="str">
        <f t="shared" si="2"/>
        <v/>
      </c>
      <c r="AA49" s="206" t="str">
        <f t="shared" si="3"/>
        <v/>
      </c>
      <c r="AB49" s="206" t="str">
        <f t="shared" si="4"/>
        <v/>
      </c>
      <c r="AC49" s="207" t="str">
        <f t="shared" si="5"/>
        <v/>
      </c>
      <c r="AD49" s="208" t="str">
        <f t="shared" si="19"/>
        <v/>
      </c>
      <c r="AE49" s="209" t="str">
        <f t="shared" si="18"/>
        <v/>
      </c>
      <c r="AF49" s="210" t="str">
        <f t="shared" si="7"/>
        <v/>
      </c>
      <c r="AG49" s="219" t="str">
        <f t="shared" si="8"/>
        <v/>
      </c>
      <c r="AH49" s="207" t="str">
        <f t="shared" si="9"/>
        <v/>
      </c>
    </row>
    <row r="50" spans="1:36" s="167" customFormat="1" ht="12.75" customHeight="1">
      <c r="A50" s="181">
        <v>43</v>
      </c>
      <c r="B50" s="177"/>
      <c r="C50" s="182"/>
      <c r="D50" s="179"/>
      <c r="E50" s="180" t="str">
        <f t="shared" si="10"/>
        <v/>
      </c>
      <c r="F50" s="179"/>
      <c r="G50" s="180" t="str">
        <f t="shared" si="11"/>
        <v/>
      </c>
      <c r="H50" s="179"/>
      <c r="I50" s="180" t="str">
        <f t="shared" si="12"/>
        <v/>
      </c>
      <c r="J50" s="179"/>
      <c r="K50" s="180" t="str">
        <f t="shared" si="13"/>
        <v/>
      </c>
      <c r="L50" s="179"/>
      <c r="M50" s="180" t="str">
        <f t="shared" si="14"/>
        <v/>
      </c>
      <c r="N50" s="179"/>
      <c r="O50" s="180" t="str">
        <f t="shared" si="15"/>
        <v/>
      </c>
      <c r="P50" s="179"/>
      <c r="Q50" s="192" t="str">
        <f t="shared" si="0"/>
        <v/>
      </c>
      <c r="R50" s="193"/>
      <c r="S50" s="179"/>
      <c r="T50" s="192" t="str">
        <f t="shared" si="16"/>
        <v/>
      </c>
      <c r="U50" s="193"/>
      <c r="V50" s="179"/>
      <c r="W50" s="192" t="str">
        <f t="shared" si="17"/>
        <v/>
      </c>
      <c r="X50" s="194"/>
      <c r="Y50" s="205" t="str">
        <f t="shared" si="1"/>
        <v/>
      </c>
      <c r="Z50" s="206" t="str">
        <f t="shared" si="2"/>
        <v/>
      </c>
      <c r="AA50" s="206" t="str">
        <f t="shared" si="3"/>
        <v/>
      </c>
      <c r="AB50" s="206" t="str">
        <f t="shared" si="4"/>
        <v/>
      </c>
      <c r="AC50" s="207" t="str">
        <f t="shared" si="5"/>
        <v/>
      </c>
      <c r="AD50" s="208" t="str">
        <f t="shared" si="19"/>
        <v/>
      </c>
      <c r="AE50" s="209" t="str">
        <f t="shared" si="18"/>
        <v/>
      </c>
      <c r="AF50" s="210" t="str">
        <f t="shared" si="7"/>
        <v/>
      </c>
      <c r="AG50" s="219" t="str">
        <f t="shared" si="8"/>
        <v/>
      </c>
      <c r="AH50" s="207" t="str">
        <f t="shared" si="9"/>
        <v/>
      </c>
    </row>
    <row r="51" spans="1:36" s="167" customFormat="1" ht="12.75" customHeight="1">
      <c r="A51" s="181">
        <v>44</v>
      </c>
      <c r="B51" s="177"/>
      <c r="C51" s="182"/>
      <c r="D51" s="179"/>
      <c r="E51" s="180" t="str">
        <f t="shared" si="10"/>
        <v/>
      </c>
      <c r="F51" s="179"/>
      <c r="G51" s="180" t="str">
        <f t="shared" si="11"/>
        <v/>
      </c>
      <c r="H51" s="179"/>
      <c r="I51" s="180" t="str">
        <f t="shared" si="12"/>
        <v/>
      </c>
      <c r="J51" s="179"/>
      <c r="K51" s="180" t="str">
        <f t="shared" si="13"/>
        <v/>
      </c>
      <c r="L51" s="179"/>
      <c r="M51" s="180" t="str">
        <f t="shared" si="14"/>
        <v/>
      </c>
      <c r="N51" s="179"/>
      <c r="O51" s="180" t="str">
        <f t="shared" si="15"/>
        <v/>
      </c>
      <c r="P51" s="179"/>
      <c r="Q51" s="192" t="str">
        <f t="shared" si="0"/>
        <v/>
      </c>
      <c r="R51" s="193"/>
      <c r="S51" s="179"/>
      <c r="T51" s="192" t="str">
        <f t="shared" si="16"/>
        <v/>
      </c>
      <c r="U51" s="193"/>
      <c r="V51" s="179"/>
      <c r="W51" s="192" t="str">
        <f t="shared" si="17"/>
        <v/>
      </c>
      <c r="X51" s="194"/>
      <c r="Y51" s="205" t="str">
        <f t="shared" si="1"/>
        <v/>
      </c>
      <c r="Z51" s="206" t="str">
        <f t="shared" si="2"/>
        <v/>
      </c>
      <c r="AA51" s="206" t="str">
        <f t="shared" si="3"/>
        <v/>
      </c>
      <c r="AB51" s="206" t="str">
        <f t="shared" si="4"/>
        <v/>
      </c>
      <c r="AC51" s="207" t="str">
        <f t="shared" si="5"/>
        <v/>
      </c>
      <c r="AD51" s="208" t="str">
        <f t="shared" si="19"/>
        <v/>
      </c>
      <c r="AE51" s="209" t="str">
        <f t="shared" si="18"/>
        <v/>
      </c>
      <c r="AF51" s="210" t="str">
        <f t="shared" si="7"/>
        <v/>
      </c>
      <c r="AG51" s="219" t="str">
        <f t="shared" si="8"/>
        <v/>
      </c>
      <c r="AH51" s="207" t="str">
        <f t="shared" si="9"/>
        <v/>
      </c>
    </row>
    <row r="52" spans="1:36" s="167" customFormat="1" ht="12.75" customHeight="1">
      <c r="A52" s="181">
        <v>45</v>
      </c>
      <c r="B52" s="177"/>
      <c r="C52" s="182"/>
      <c r="D52" s="179"/>
      <c r="E52" s="180" t="str">
        <f t="shared" si="10"/>
        <v/>
      </c>
      <c r="F52" s="179"/>
      <c r="G52" s="180" t="str">
        <f t="shared" si="11"/>
        <v/>
      </c>
      <c r="H52" s="179"/>
      <c r="I52" s="180" t="str">
        <f t="shared" si="12"/>
        <v/>
      </c>
      <c r="J52" s="179"/>
      <c r="K52" s="180" t="str">
        <f t="shared" si="13"/>
        <v/>
      </c>
      <c r="L52" s="179"/>
      <c r="M52" s="180" t="str">
        <f t="shared" si="14"/>
        <v/>
      </c>
      <c r="N52" s="179"/>
      <c r="O52" s="180" t="str">
        <f t="shared" si="15"/>
        <v/>
      </c>
      <c r="P52" s="179"/>
      <c r="Q52" s="192" t="str">
        <f t="shared" si="0"/>
        <v/>
      </c>
      <c r="R52" s="193"/>
      <c r="S52" s="179"/>
      <c r="T52" s="192" t="str">
        <f t="shared" si="16"/>
        <v/>
      </c>
      <c r="U52" s="193"/>
      <c r="V52" s="179"/>
      <c r="W52" s="192" t="str">
        <f t="shared" si="17"/>
        <v/>
      </c>
      <c r="X52" s="194"/>
      <c r="Y52" s="205" t="str">
        <f t="shared" si="1"/>
        <v/>
      </c>
      <c r="Z52" s="206" t="str">
        <f t="shared" si="2"/>
        <v/>
      </c>
      <c r="AA52" s="206" t="str">
        <f t="shared" si="3"/>
        <v/>
      </c>
      <c r="AB52" s="206" t="str">
        <f t="shared" si="4"/>
        <v/>
      </c>
      <c r="AC52" s="207" t="str">
        <f t="shared" si="5"/>
        <v/>
      </c>
      <c r="AD52" s="208" t="str">
        <f t="shared" si="19"/>
        <v/>
      </c>
      <c r="AE52" s="209" t="str">
        <f t="shared" si="18"/>
        <v/>
      </c>
      <c r="AF52" s="210" t="str">
        <f t="shared" si="7"/>
        <v/>
      </c>
      <c r="AG52" s="219" t="str">
        <f t="shared" si="8"/>
        <v/>
      </c>
      <c r="AH52" s="207" t="str">
        <f t="shared" si="9"/>
        <v/>
      </c>
    </row>
    <row r="53" spans="1:36" s="167" customFormat="1" ht="12.75" customHeight="1">
      <c r="A53" s="181">
        <v>46</v>
      </c>
      <c r="B53" s="177"/>
      <c r="C53" s="182"/>
      <c r="D53" s="179"/>
      <c r="E53" s="180" t="str">
        <f t="shared" si="10"/>
        <v/>
      </c>
      <c r="F53" s="179"/>
      <c r="G53" s="180" t="str">
        <f t="shared" si="11"/>
        <v/>
      </c>
      <c r="H53" s="179"/>
      <c r="I53" s="180" t="str">
        <f t="shared" si="12"/>
        <v/>
      </c>
      <c r="J53" s="179"/>
      <c r="K53" s="180" t="str">
        <f t="shared" si="13"/>
        <v/>
      </c>
      <c r="L53" s="179"/>
      <c r="M53" s="180" t="str">
        <f t="shared" si="14"/>
        <v/>
      </c>
      <c r="N53" s="179"/>
      <c r="O53" s="180" t="str">
        <f t="shared" si="15"/>
        <v/>
      </c>
      <c r="P53" s="179"/>
      <c r="Q53" s="192" t="str">
        <f t="shared" si="0"/>
        <v/>
      </c>
      <c r="R53" s="193"/>
      <c r="S53" s="179"/>
      <c r="T53" s="192" t="str">
        <f t="shared" si="16"/>
        <v/>
      </c>
      <c r="U53" s="193"/>
      <c r="V53" s="179"/>
      <c r="W53" s="192" t="str">
        <f t="shared" si="17"/>
        <v/>
      </c>
      <c r="X53" s="194"/>
      <c r="Y53" s="205" t="str">
        <f t="shared" si="1"/>
        <v/>
      </c>
      <c r="Z53" s="206" t="str">
        <f t="shared" si="2"/>
        <v/>
      </c>
      <c r="AA53" s="206" t="str">
        <f t="shared" si="3"/>
        <v/>
      </c>
      <c r="AB53" s="206" t="str">
        <f t="shared" si="4"/>
        <v/>
      </c>
      <c r="AC53" s="207" t="str">
        <f t="shared" si="5"/>
        <v/>
      </c>
      <c r="AD53" s="208" t="str">
        <f t="shared" si="19"/>
        <v/>
      </c>
      <c r="AE53" s="209" t="str">
        <f t="shared" si="18"/>
        <v/>
      </c>
      <c r="AF53" s="210" t="str">
        <f t="shared" si="7"/>
        <v/>
      </c>
      <c r="AG53" s="219" t="str">
        <f t="shared" si="8"/>
        <v/>
      </c>
      <c r="AH53" s="207" t="str">
        <f t="shared" si="9"/>
        <v/>
      </c>
    </row>
    <row r="54" spans="1:36" s="167" customFormat="1" ht="12.75" customHeight="1">
      <c r="A54" s="181">
        <v>47</v>
      </c>
      <c r="B54" s="177"/>
      <c r="C54" s="182"/>
      <c r="D54" s="179"/>
      <c r="E54" s="180" t="str">
        <f t="shared" si="10"/>
        <v/>
      </c>
      <c r="F54" s="179"/>
      <c r="G54" s="180" t="str">
        <f t="shared" si="11"/>
        <v/>
      </c>
      <c r="H54" s="179"/>
      <c r="I54" s="180" t="str">
        <f t="shared" si="12"/>
        <v/>
      </c>
      <c r="J54" s="179"/>
      <c r="K54" s="180" t="str">
        <f t="shared" si="13"/>
        <v/>
      </c>
      <c r="L54" s="179"/>
      <c r="M54" s="180" t="str">
        <f t="shared" si="14"/>
        <v/>
      </c>
      <c r="N54" s="179"/>
      <c r="O54" s="180" t="str">
        <f t="shared" si="15"/>
        <v/>
      </c>
      <c r="P54" s="179"/>
      <c r="Q54" s="192" t="str">
        <f t="shared" si="0"/>
        <v/>
      </c>
      <c r="R54" s="193"/>
      <c r="S54" s="179"/>
      <c r="T54" s="192" t="str">
        <f t="shared" si="16"/>
        <v/>
      </c>
      <c r="U54" s="193"/>
      <c r="V54" s="179"/>
      <c r="W54" s="192" t="str">
        <f t="shared" si="17"/>
        <v/>
      </c>
      <c r="X54" s="194"/>
      <c r="Y54" s="205" t="str">
        <f t="shared" si="1"/>
        <v/>
      </c>
      <c r="Z54" s="206" t="str">
        <f t="shared" si="2"/>
        <v/>
      </c>
      <c r="AA54" s="206" t="str">
        <f t="shared" si="3"/>
        <v/>
      </c>
      <c r="AB54" s="206" t="str">
        <f t="shared" si="4"/>
        <v/>
      </c>
      <c r="AC54" s="207" t="str">
        <f t="shared" si="5"/>
        <v/>
      </c>
      <c r="AD54" s="208" t="str">
        <f t="shared" si="19"/>
        <v/>
      </c>
      <c r="AE54" s="209" t="str">
        <f t="shared" si="18"/>
        <v/>
      </c>
      <c r="AF54" s="210" t="str">
        <f t="shared" si="7"/>
        <v/>
      </c>
      <c r="AG54" s="219" t="str">
        <f t="shared" si="8"/>
        <v/>
      </c>
      <c r="AH54" s="207" t="str">
        <f t="shared" si="9"/>
        <v/>
      </c>
    </row>
    <row r="55" spans="1:36" s="167" customFormat="1" ht="12.75" customHeight="1">
      <c r="A55" s="181">
        <v>48</v>
      </c>
      <c r="B55" s="177"/>
      <c r="C55" s="182"/>
      <c r="D55" s="179"/>
      <c r="E55" s="180" t="str">
        <f t="shared" si="10"/>
        <v/>
      </c>
      <c r="F55" s="179"/>
      <c r="G55" s="180" t="str">
        <f t="shared" si="11"/>
        <v/>
      </c>
      <c r="H55" s="179"/>
      <c r="I55" s="180" t="str">
        <f t="shared" si="12"/>
        <v/>
      </c>
      <c r="J55" s="179"/>
      <c r="K55" s="180" t="str">
        <f t="shared" si="13"/>
        <v/>
      </c>
      <c r="L55" s="179"/>
      <c r="M55" s="180" t="str">
        <f t="shared" si="14"/>
        <v/>
      </c>
      <c r="N55" s="179"/>
      <c r="O55" s="180" t="str">
        <f t="shared" si="15"/>
        <v/>
      </c>
      <c r="P55" s="179"/>
      <c r="Q55" s="192" t="str">
        <f t="shared" si="0"/>
        <v/>
      </c>
      <c r="R55" s="193"/>
      <c r="S55" s="179"/>
      <c r="T55" s="192" t="str">
        <f t="shared" si="16"/>
        <v/>
      </c>
      <c r="U55" s="193"/>
      <c r="V55" s="179"/>
      <c r="W55" s="192" t="str">
        <f t="shared" si="17"/>
        <v/>
      </c>
      <c r="X55" s="194"/>
      <c r="Y55" s="205" t="str">
        <f t="shared" si="1"/>
        <v/>
      </c>
      <c r="Z55" s="206" t="str">
        <f t="shared" si="2"/>
        <v/>
      </c>
      <c r="AA55" s="206" t="str">
        <f t="shared" si="3"/>
        <v/>
      </c>
      <c r="AB55" s="206" t="str">
        <f t="shared" si="4"/>
        <v/>
      </c>
      <c r="AC55" s="207" t="str">
        <f t="shared" si="5"/>
        <v/>
      </c>
      <c r="AD55" s="208" t="str">
        <f t="shared" si="19"/>
        <v/>
      </c>
      <c r="AE55" s="209" t="str">
        <f t="shared" si="18"/>
        <v/>
      </c>
      <c r="AF55" s="210" t="str">
        <f t="shared" si="7"/>
        <v/>
      </c>
      <c r="AG55" s="219" t="str">
        <f t="shared" si="8"/>
        <v/>
      </c>
      <c r="AH55" s="207" t="str">
        <f t="shared" si="9"/>
        <v/>
      </c>
    </row>
    <row r="56" spans="1:36" s="167" customFormat="1" ht="12.75" customHeight="1">
      <c r="A56" s="181">
        <v>49</v>
      </c>
      <c r="B56" s="177"/>
      <c r="C56" s="182"/>
      <c r="D56" s="179"/>
      <c r="E56" s="180" t="str">
        <f t="shared" si="10"/>
        <v/>
      </c>
      <c r="F56" s="179"/>
      <c r="G56" s="180" t="str">
        <f t="shared" si="11"/>
        <v/>
      </c>
      <c r="H56" s="179"/>
      <c r="I56" s="180" t="str">
        <f t="shared" si="12"/>
        <v/>
      </c>
      <c r="J56" s="179"/>
      <c r="K56" s="180" t="str">
        <f t="shared" si="13"/>
        <v/>
      </c>
      <c r="L56" s="179"/>
      <c r="M56" s="180" t="str">
        <f t="shared" si="14"/>
        <v/>
      </c>
      <c r="N56" s="179"/>
      <c r="O56" s="180" t="str">
        <f t="shared" si="15"/>
        <v/>
      </c>
      <c r="P56" s="179"/>
      <c r="Q56" s="192" t="str">
        <f t="shared" si="0"/>
        <v/>
      </c>
      <c r="R56" s="193"/>
      <c r="S56" s="179"/>
      <c r="T56" s="192" t="str">
        <f t="shared" si="16"/>
        <v/>
      </c>
      <c r="U56" s="193"/>
      <c r="V56" s="179"/>
      <c r="W56" s="192" t="str">
        <f t="shared" si="17"/>
        <v/>
      </c>
      <c r="X56" s="194"/>
      <c r="Y56" s="205" t="str">
        <f t="shared" si="1"/>
        <v/>
      </c>
      <c r="Z56" s="206" t="str">
        <f t="shared" si="2"/>
        <v/>
      </c>
      <c r="AA56" s="206" t="str">
        <f t="shared" si="3"/>
        <v/>
      </c>
      <c r="AB56" s="206" t="str">
        <f t="shared" si="4"/>
        <v/>
      </c>
      <c r="AC56" s="207" t="str">
        <f t="shared" si="5"/>
        <v/>
      </c>
      <c r="AD56" s="208" t="str">
        <f t="shared" si="19"/>
        <v/>
      </c>
      <c r="AE56" s="209" t="str">
        <f t="shared" si="18"/>
        <v/>
      </c>
      <c r="AF56" s="210" t="str">
        <f t="shared" si="7"/>
        <v/>
      </c>
      <c r="AG56" s="219" t="str">
        <f t="shared" si="8"/>
        <v/>
      </c>
      <c r="AH56" s="207" t="str">
        <f t="shared" si="9"/>
        <v/>
      </c>
    </row>
    <row r="57" spans="1:36" s="167" customFormat="1" ht="12.75" customHeight="1">
      <c r="A57" s="181">
        <v>50</v>
      </c>
      <c r="B57" s="177"/>
      <c r="C57" s="182"/>
      <c r="D57" s="179"/>
      <c r="E57" s="180" t="str">
        <f t="shared" si="10"/>
        <v/>
      </c>
      <c r="F57" s="179"/>
      <c r="G57" s="180" t="str">
        <f t="shared" si="11"/>
        <v/>
      </c>
      <c r="H57" s="179"/>
      <c r="I57" s="180" t="str">
        <f t="shared" si="12"/>
        <v/>
      </c>
      <c r="J57" s="179"/>
      <c r="K57" s="180" t="str">
        <f t="shared" si="13"/>
        <v/>
      </c>
      <c r="L57" s="179"/>
      <c r="M57" s="180" t="str">
        <f t="shared" si="14"/>
        <v/>
      </c>
      <c r="N57" s="179"/>
      <c r="O57" s="180" t="str">
        <f t="shared" si="15"/>
        <v/>
      </c>
      <c r="P57" s="179"/>
      <c r="Q57" s="192" t="str">
        <f t="shared" si="0"/>
        <v/>
      </c>
      <c r="R57" s="193"/>
      <c r="S57" s="179"/>
      <c r="T57" s="192" t="str">
        <f t="shared" si="16"/>
        <v/>
      </c>
      <c r="U57" s="193"/>
      <c r="V57" s="179"/>
      <c r="W57" s="192" t="str">
        <f t="shared" si="17"/>
        <v/>
      </c>
      <c r="X57" s="194"/>
      <c r="Y57" s="205" t="str">
        <f t="shared" si="1"/>
        <v/>
      </c>
      <c r="Z57" s="206" t="str">
        <f t="shared" si="2"/>
        <v/>
      </c>
      <c r="AA57" s="206" t="str">
        <f t="shared" si="3"/>
        <v/>
      </c>
      <c r="AB57" s="206" t="str">
        <f t="shared" si="4"/>
        <v/>
      </c>
      <c r="AC57" s="207" t="str">
        <f t="shared" si="5"/>
        <v/>
      </c>
      <c r="AD57" s="208" t="str">
        <f t="shared" si="19"/>
        <v/>
      </c>
      <c r="AE57" s="209" t="str">
        <f t="shared" si="18"/>
        <v/>
      </c>
      <c r="AF57" s="210" t="str">
        <f t="shared" si="7"/>
        <v/>
      </c>
      <c r="AG57" s="219" t="str">
        <f t="shared" si="8"/>
        <v/>
      </c>
      <c r="AH57" s="207" t="str">
        <f t="shared" si="9"/>
        <v/>
      </c>
    </row>
    <row r="58" spans="1:36" s="167" customFormat="1" ht="12.75" customHeight="1">
      <c r="A58" s="181">
        <v>51</v>
      </c>
      <c r="B58" s="177"/>
      <c r="C58" s="182"/>
      <c r="D58" s="179"/>
      <c r="E58" s="180" t="str">
        <f t="shared" si="10"/>
        <v/>
      </c>
      <c r="F58" s="179"/>
      <c r="G58" s="180" t="str">
        <f t="shared" si="11"/>
        <v/>
      </c>
      <c r="H58" s="179"/>
      <c r="I58" s="180" t="str">
        <f t="shared" si="12"/>
        <v/>
      </c>
      <c r="J58" s="179"/>
      <c r="K58" s="180" t="str">
        <f t="shared" si="13"/>
        <v/>
      </c>
      <c r="L58" s="179"/>
      <c r="M58" s="180" t="str">
        <f t="shared" si="14"/>
        <v/>
      </c>
      <c r="N58" s="179"/>
      <c r="O58" s="180" t="str">
        <f t="shared" si="15"/>
        <v/>
      </c>
      <c r="P58" s="179"/>
      <c r="Q58" s="192" t="str">
        <f t="shared" si="0"/>
        <v/>
      </c>
      <c r="R58" s="193"/>
      <c r="S58" s="179"/>
      <c r="T58" s="192" t="str">
        <f t="shared" si="16"/>
        <v/>
      </c>
      <c r="U58" s="193"/>
      <c r="V58" s="179"/>
      <c r="W58" s="192" t="str">
        <f t="shared" si="17"/>
        <v/>
      </c>
      <c r="X58" s="194"/>
      <c r="Y58" s="205" t="str">
        <f t="shared" si="1"/>
        <v/>
      </c>
      <c r="Z58" s="206" t="str">
        <f t="shared" si="2"/>
        <v/>
      </c>
      <c r="AA58" s="206" t="str">
        <f t="shared" si="3"/>
        <v/>
      </c>
      <c r="AB58" s="206" t="str">
        <f t="shared" si="4"/>
        <v/>
      </c>
      <c r="AC58" s="207" t="str">
        <f t="shared" si="5"/>
        <v/>
      </c>
      <c r="AD58" s="208" t="str">
        <f t="shared" si="19"/>
        <v/>
      </c>
      <c r="AE58" s="209" t="str">
        <f t="shared" si="18"/>
        <v/>
      </c>
      <c r="AF58" s="210" t="str">
        <f t="shared" si="7"/>
        <v/>
      </c>
      <c r="AG58" s="219" t="str">
        <f t="shared" si="8"/>
        <v/>
      </c>
      <c r="AH58" s="207" t="str">
        <f t="shared" si="9"/>
        <v/>
      </c>
    </row>
    <row r="59" spans="1:36" s="167" customFormat="1" ht="12.75" customHeight="1">
      <c r="A59" s="181">
        <v>52</v>
      </c>
      <c r="B59" s="177"/>
      <c r="C59" s="182"/>
      <c r="D59" s="179"/>
      <c r="E59" s="180" t="str">
        <f t="shared" si="10"/>
        <v/>
      </c>
      <c r="F59" s="179"/>
      <c r="G59" s="180" t="str">
        <f t="shared" si="11"/>
        <v/>
      </c>
      <c r="H59" s="179"/>
      <c r="I59" s="180" t="str">
        <f t="shared" si="12"/>
        <v/>
      </c>
      <c r="J59" s="179"/>
      <c r="K59" s="180" t="str">
        <f t="shared" si="13"/>
        <v/>
      </c>
      <c r="L59" s="179"/>
      <c r="M59" s="180" t="str">
        <f t="shared" si="14"/>
        <v/>
      </c>
      <c r="N59" s="179"/>
      <c r="O59" s="180" t="str">
        <f t="shared" si="15"/>
        <v/>
      </c>
      <c r="P59" s="179"/>
      <c r="Q59" s="192" t="str">
        <f t="shared" si="0"/>
        <v/>
      </c>
      <c r="R59" s="193"/>
      <c r="S59" s="179"/>
      <c r="T59" s="192" t="str">
        <f t="shared" si="16"/>
        <v/>
      </c>
      <c r="U59" s="193"/>
      <c r="V59" s="179"/>
      <c r="W59" s="192" t="str">
        <f t="shared" si="17"/>
        <v/>
      </c>
      <c r="X59" s="194"/>
      <c r="Y59" s="205" t="str">
        <f t="shared" si="1"/>
        <v/>
      </c>
      <c r="Z59" s="206" t="str">
        <f t="shared" si="2"/>
        <v/>
      </c>
      <c r="AA59" s="206" t="str">
        <f t="shared" si="3"/>
        <v/>
      </c>
      <c r="AB59" s="206" t="str">
        <f t="shared" si="4"/>
        <v/>
      </c>
      <c r="AC59" s="207" t="str">
        <f t="shared" si="5"/>
        <v/>
      </c>
      <c r="AD59" s="208" t="str">
        <f t="shared" si="19"/>
        <v/>
      </c>
      <c r="AE59" s="209" t="str">
        <f t="shared" si="18"/>
        <v/>
      </c>
      <c r="AF59" s="210" t="str">
        <f t="shared" si="7"/>
        <v/>
      </c>
      <c r="AG59" s="219" t="str">
        <f t="shared" si="8"/>
        <v/>
      </c>
      <c r="AH59" s="207" t="str">
        <f t="shared" si="9"/>
        <v/>
      </c>
    </row>
    <row r="60" spans="1:36" s="167" customFormat="1" ht="12.75" customHeight="1">
      <c r="A60" s="181">
        <v>53</v>
      </c>
      <c r="B60" s="177"/>
      <c r="C60" s="182"/>
      <c r="D60" s="179"/>
      <c r="E60" s="180" t="str">
        <f t="shared" si="10"/>
        <v/>
      </c>
      <c r="F60" s="179"/>
      <c r="G60" s="180" t="str">
        <f t="shared" si="11"/>
        <v/>
      </c>
      <c r="H60" s="179"/>
      <c r="I60" s="180" t="str">
        <f t="shared" si="12"/>
        <v/>
      </c>
      <c r="J60" s="179"/>
      <c r="K60" s="180" t="str">
        <f t="shared" si="13"/>
        <v/>
      </c>
      <c r="L60" s="179"/>
      <c r="M60" s="180" t="str">
        <f t="shared" si="14"/>
        <v/>
      </c>
      <c r="N60" s="179"/>
      <c r="O60" s="180" t="str">
        <f t="shared" si="15"/>
        <v/>
      </c>
      <c r="P60" s="179"/>
      <c r="Q60" s="192" t="str">
        <f t="shared" si="0"/>
        <v/>
      </c>
      <c r="R60" s="193"/>
      <c r="S60" s="179"/>
      <c r="T60" s="192" t="str">
        <f t="shared" si="16"/>
        <v/>
      </c>
      <c r="U60" s="193"/>
      <c r="V60" s="179"/>
      <c r="W60" s="192" t="str">
        <f t="shared" si="17"/>
        <v/>
      </c>
      <c r="X60" s="194"/>
      <c r="Y60" s="205" t="str">
        <f t="shared" si="1"/>
        <v/>
      </c>
      <c r="Z60" s="206" t="str">
        <f t="shared" si="2"/>
        <v/>
      </c>
      <c r="AA60" s="206" t="str">
        <f t="shared" si="3"/>
        <v/>
      </c>
      <c r="AB60" s="206" t="str">
        <f t="shared" si="4"/>
        <v/>
      </c>
      <c r="AC60" s="207" t="str">
        <f t="shared" si="5"/>
        <v/>
      </c>
      <c r="AD60" s="208" t="str">
        <f t="shared" si="19"/>
        <v/>
      </c>
      <c r="AE60" s="209" t="str">
        <f t="shared" si="18"/>
        <v/>
      </c>
      <c r="AF60" s="210" t="str">
        <f t="shared" si="7"/>
        <v/>
      </c>
      <c r="AG60" s="219" t="str">
        <f t="shared" si="8"/>
        <v/>
      </c>
      <c r="AH60" s="207" t="str">
        <f t="shared" si="9"/>
        <v/>
      </c>
    </row>
    <row r="61" spans="1:36" s="167" customFormat="1" ht="12.75" customHeight="1">
      <c r="A61" s="181">
        <v>54</v>
      </c>
      <c r="B61" s="177"/>
      <c r="C61" s="182"/>
      <c r="D61" s="179"/>
      <c r="E61" s="180" t="str">
        <f t="shared" si="10"/>
        <v/>
      </c>
      <c r="F61" s="179"/>
      <c r="G61" s="180" t="str">
        <f t="shared" si="11"/>
        <v/>
      </c>
      <c r="H61" s="179"/>
      <c r="I61" s="180" t="str">
        <f t="shared" si="12"/>
        <v/>
      </c>
      <c r="J61" s="179"/>
      <c r="K61" s="180" t="str">
        <f t="shared" si="13"/>
        <v/>
      </c>
      <c r="L61" s="179"/>
      <c r="M61" s="180" t="str">
        <f t="shared" si="14"/>
        <v/>
      </c>
      <c r="N61" s="179"/>
      <c r="O61" s="180" t="str">
        <f t="shared" si="15"/>
        <v/>
      </c>
      <c r="P61" s="179"/>
      <c r="Q61" s="192" t="str">
        <f t="shared" si="0"/>
        <v/>
      </c>
      <c r="R61" s="193"/>
      <c r="S61" s="179"/>
      <c r="T61" s="192" t="str">
        <f t="shared" si="16"/>
        <v/>
      </c>
      <c r="U61" s="193"/>
      <c r="V61" s="179"/>
      <c r="W61" s="192" t="str">
        <f t="shared" si="17"/>
        <v/>
      </c>
      <c r="X61" s="194"/>
      <c r="Y61" s="205" t="str">
        <f t="shared" si="1"/>
        <v/>
      </c>
      <c r="Z61" s="206" t="str">
        <f t="shared" si="2"/>
        <v/>
      </c>
      <c r="AA61" s="206" t="str">
        <f t="shared" si="3"/>
        <v/>
      </c>
      <c r="AB61" s="206" t="str">
        <f t="shared" si="4"/>
        <v/>
      </c>
      <c r="AC61" s="207" t="str">
        <f t="shared" si="5"/>
        <v/>
      </c>
      <c r="AD61" s="208" t="str">
        <f t="shared" si="19"/>
        <v/>
      </c>
      <c r="AE61" s="209" t="str">
        <f t="shared" si="18"/>
        <v/>
      </c>
      <c r="AF61" s="210" t="str">
        <f t="shared" si="7"/>
        <v/>
      </c>
      <c r="AG61" s="219" t="str">
        <f t="shared" si="8"/>
        <v/>
      </c>
      <c r="AH61" s="207" t="str">
        <f t="shared" si="9"/>
        <v/>
      </c>
    </row>
    <row r="62" spans="1:36" s="167" customFormat="1" ht="12.75" customHeight="1">
      <c r="A62" s="181">
        <v>55</v>
      </c>
      <c r="B62" s="177"/>
      <c r="C62" s="182"/>
      <c r="D62" s="179"/>
      <c r="E62" s="180" t="str">
        <f t="shared" si="10"/>
        <v/>
      </c>
      <c r="F62" s="179"/>
      <c r="G62" s="180" t="str">
        <f t="shared" si="11"/>
        <v/>
      </c>
      <c r="H62" s="179"/>
      <c r="I62" s="180" t="str">
        <f t="shared" si="12"/>
        <v/>
      </c>
      <c r="J62" s="179"/>
      <c r="K62" s="180" t="str">
        <f t="shared" si="13"/>
        <v/>
      </c>
      <c r="L62" s="179"/>
      <c r="M62" s="180" t="str">
        <f t="shared" si="14"/>
        <v/>
      </c>
      <c r="N62" s="179"/>
      <c r="O62" s="185" t="str">
        <f t="shared" si="15"/>
        <v/>
      </c>
      <c r="P62" s="179"/>
      <c r="Q62" s="195" t="str">
        <f t="shared" si="0"/>
        <v/>
      </c>
      <c r="R62" s="196"/>
      <c r="S62" s="179"/>
      <c r="T62" s="195" t="str">
        <f t="shared" si="16"/>
        <v/>
      </c>
      <c r="U62" s="196"/>
      <c r="V62" s="179"/>
      <c r="W62" s="195" t="str">
        <f t="shared" si="17"/>
        <v/>
      </c>
      <c r="X62" s="197"/>
      <c r="Y62" s="211" t="str">
        <f t="shared" si="1"/>
        <v/>
      </c>
      <c r="Z62" s="212" t="str">
        <f t="shared" si="2"/>
        <v/>
      </c>
      <c r="AA62" s="212" t="str">
        <f t="shared" si="3"/>
        <v/>
      </c>
      <c r="AB62" s="212" t="str">
        <f t="shared" si="4"/>
        <v/>
      </c>
      <c r="AC62" s="213" t="str">
        <f t="shared" si="5"/>
        <v/>
      </c>
      <c r="AD62" s="214" t="str">
        <f t="shared" si="19"/>
        <v/>
      </c>
      <c r="AE62" s="215" t="str">
        <f t="shared" si="18"/>
        <v/>
      </c>
      <c r="AF62" s="216" t="str">
        <f t="shared" si="7"/>
        <v/>
      </c>
      <c r="AG62" s="220" t="str">
        <f t="shared" si="8"/>
        <v/>
      </c>
      <c r="AH62" s="213" t="str">
        <f t="shared" si="9"/>
        <v/>
      </c>
    </row>
    <row r="63" spans="1:36" s="167" customFormat="1" ht="12.75" customHeight="1">
      <c r="A63" s="342" t="s">
        <v>33</v>
      </c>
      <c r="B63" s="343"/>
      <c r="C63" s="344"/>
      <c r="D63" s="345" t="str">
        <f>IF(COUNTA(D8:D62)=0,"",(SUM(D8:D62)))</f>
        <v/>
      </c>
      <c r="E63" s="346"/>
      <c r="F63" s="345" t="str">
        <f>IF(COUNTA(F8:F62)=0,"",(SUM(F8:F62)))</f>
        <v/>
      </c>
      <c r="G63" s="346"/>
      <c r="H63" s="345" t="str">
        <f t="shared" ref="H63" si="20">IF(COUNTA(H8:H62)=0,"",(SUM(H8:H62)))</f>
        <v/>
      </c>
      <c r="I63" s="346"/>
      <c r="J63" s="345" t="str">
        <f t="shared" ref="J63" si="21">IF(COUNTA(J8:J62)=0,"",(SUM(J8:J62)))</f>
        <v/>
      </c>
      <c r="K63" s="346"/>
      <c r="L63" s="345" t="str">
        <f t="shared" ref="L63" si="22">IF(COUNTA(L8:L62)=0,"",(SUM(L8:L62)))</f>
        <v/>
      </c>
      <c r="M63" s="346"/>
      <c r="N63" s="345" t="str">
        <f t="shared" ref="N63" si="23">IF(COUNTA(N8:N62)=0,"",(SUM(N8:N62)))</f>
        <v/>
      </c>
      <c r="O63" s="346"/>
      <c r="P63" s="345" t="str">
        <f t="shared" ref="P63" si="24">IF(COUNTA(P8:P62)=0,"",(SUM(P8:P62)))</f>
        <v/>
      </c>
      <c r="Q63" s="346"/>
      <c r="R63" s="198"/>
      <c r="S63" s="345" t="str">
        <f t="shared" ref="S63" si="25">IF(COUNTA(S8:S62)=0,"",(SUM(S8:S62)))</f>
        <v/>
      </c>
      <c r="T63" s="346"/>
      <c r="U63" s="199"/>
      <c r="V63" s="345" t="str">
        <f t="shared" ref="V63" si="26">IF(COUNTA(V8:V62)=0,"",(SUM(V8:V62)))</f>
        <v/>
      </c>
      <c r="W63" s="346"/>
      <c r="X63" s="199"/>
      <c r="Y63" s="342" t="s">
        <v>34</v>
      </c>
      <c r="Z63" s="343"/>
      <c r="AA63" s="343"/>
      <c r="AB63" s="343"/>
      <c r="AC63" s="347"/>
      <c r="AD63" s="217" t="str">
        <f>IF(OR(COUNTIF(AD8:AD62,"P")&lt;&gt;0,COUNTIF(AD8:AD62,"F")&lt;&gt;0,COUNTIF(AD8:AD62,"ab")&lt;&gt;0),(COUNTIF(AD8:AD62,"ab")),"")</f>
        <v/>
      </c>
      <c r="AE63" s="217" t="str">
        <f>IF(OR(COUNTIF(AE8:AE62,"P")&lt;&gt;0,COUNTIF(AE8:AE62,"F")&lt;&gt;0,COUNTIF(AE8:AE62,"ab")&lt;&gt;0,COUNTIF(AE8:AE62,"Q1")&lt;&gt;0,COUNTIF(AE8:AE62,"Q2")&lt;&gt;0,COUNTIF(AE8:AE62,"R1")&lt;&gt;0,COUNTIF(AE8:AE62,"R2")&lt;&gt;0),(COUNTIF(AE8:AE62,"ab")),"")</f>
        <v/>
      </c>
      <c r="AF63" s="348" t="s">
        <v>34</v>
      </c>
      <c r="AG63" s="349"/>
      <c r="AH63" s="350"/>
      <c r="AI63" s="221"/>
      <c r="AJ63" s="221"/>
    </row>
    <row r="64" spans="1:36" s="167" customFormat="1" ht="12.75" customHeight="1">
      <c r="A64" s="351" t="s">
        <v>35</v>
      </c>
      <c r="B64" s="352"/>
      <c r="C64" s="353"/>
      <c r="D64" s="354" t="str">
        <f>IF(D63="","",IF(D63=0,0,AVERAGE(D8:D62)))</f>
        <v/>
      </c>
      <c r="E64" s="355"/>
      <c r="F64" s="354" t="str">
        <f>IF(F63="","",IF(F63=0,0,AVERAGE(F8:F62)))</f>
        <v/>
      </c>
      <c r="G64" s="355"/>
      <c r="H64" s="354" t="str">
        <f t="shared" ref="H64" si="27">IF(H63="","",IF(H63=0,0,AVERAGE(H8:H62)))</f>
        <v/>
      </c>
      <c r="I64" s="355"/>
      <c r="J64" s="354" t="str">
        <f t="shared" ref="J64" si="28">IF(J63="","",IF(J63=0,0,AVERAGE(J8:J62)))</f>
        <v/>
      </c>
      <c r="K64" s="355"/>
      <c r="L64" s="354" t="str">
        <f t="shared" ref="L64" si="29">IF(L63="","",IF(L63=0,0,AVERAGE(L8:L62)))</f>
        <v/>
      </c>
      <c r="M64" s="355"/>
      <c r="N64" s="354" t="str">
        <f t="shared" ref="N64" si="30">IF(N63="","",IF(N63=0,0,AVERAGE(N8:N62)))</f>
        <v/>
      </c>
      <c r="O64" s="355"/>
      <c r="P64" s="354" t="str">
        <f t="shared" ref="P64" si="31">IF(P63="","",IF(P63=0,0,AVERAGE(P8:P62)))</f>
        <v/>
      </c>
      <c r="Q64" s="355"/>
      <c r="R64" s="200"/>
      <c r="S64" s="354" t="str">
        <f t="shared" ref="S64" si="32">IF(S63="","",IF(S63=0,0,AVERAGE(S8:S62)))</f>
        <v/>
      </c>
      <c r="T64" s="355"/>
      <c r="U64" s="201"/>
      <c r="V64" s="354" t="str">
        <f t="shared" ref="V64" si="33">IF(V63="","",IF(V63=0,0,AVERAGE(V8:V62)))</f>
        <v/>
      </c>
      <c r="W64" s="355"/>
      <c r="X64" s="201"/>
      <c r="Y64" s="356" t="s">
        <v>36</v>
      </c>
      <c r="Z64" s="357"/>
      <c r="AA64" s="357"/>
      <c r="AB64" s="357"/>
      <c r="AC64" s="358"/>
      <c r="AD64" s="218" t="str">
        <f>IF(OR(COUNTIF(AD8:AD62,"P")&lt;&gt;0,COUNTIF(AD8:AD62,"F")&lt;&gt;0,COUNTIF(AD8:AD62,"ab")&lt;&gt;0),(COUNTIF(AD8:AD62,"P")),"")</f>
        <v/>
      </c>
      <c r="AE64" s="218" t="str">
        <f>IF(OR(COUNTIF(AE8:AE62,"P")&lt;&gt;0,COUNTIF(AE8:AE62,"F")&lt;&gt;0,COUNTIF(AE8:AE62,"ab")&lt;&gt;0,COUNTIF(AE8:AE62,"Q1")&lt;&gt;0,COUNTIF(AE8:AE62,"Q2")&lt;&gt;0,COUNTIF(AE8:AE62,"R1")&lt;&gt;0,COUNTIF(AE8:AE62,"R2")&lt;&gt;0),(COUNTIF(AE8:AE62,"P")),"")</f>
        <v/>
      </c>
      <c r="AF64" s="356" t="s">
        <v>36</v>
      </c>
      <c r="AG64" s="357"/>
      <c r="AH64" s="359"/>
    </row>
    <row r="65" spans="1:66" s="167" customFormat="1" ht="13.2">
      <c r="A65" s="222"/>
      <c r="B65" s="223"/>
      <c r="C65" s="224"/>
      <c r="D65" s="225"/>
      <c r="E65" s="226"/>
      <c r="F65" s="227"/>
      <c r="G65" s="226"/>
      <c r="H65" s="227"/>
      <c r="I65" s="226"/>
      <c r="J65" s="227"/>
      <c r="K65" s="226"/>
      <c r="L65" s="227"/>
      <c r="M65" s="226"/>
      <c r="N65" s="227"/>
      <c r="O65" s="226"/>
      <c r="P65" s="227"/>
      <c r="Q65" s="256"/>
      <c r="R65" s="226"/>
      <c r="S65" s="227"/>
      <c r="T65" s="226"/>
      <c r="U65" s="257"/>
      <c r="V65" s="227"/>
      <c r="W65" s="226"/>
      <c r="X65" s="257"/>
      <c r="Y65" s="351" t="s">
        <v>37</v>
      </c>
      <c r="Z65" s="352"/>
      <c r="AA65" s="352"/>
      <c r="AB65" s="352"/>
      <c r="AC65" s="360"/>
      <c r="AD65" s="283" t="str">
        <f>IF(OR(COUNTIF(AD8:AD62,"P")&lt;&gt;0,COUNTIF(AD8:AD62,"F")&lt;&gt;0,COUNTIF(AD8:AD62,"ab")&lt;&gt;0),(COUNTIF(AD8:AD62,"F")),"")</f>
        <v/>
      </c>
      <c r="AE65" s="218" t="str">
        <f>IF(OR(COUNTIF(AE8:AE62,"P")&lt;&gt;0,COUNTIF(AE8:AE62,"F")&lt;&gt;0,COUNTIF(AE8:AE62,"ab")&lt;&gt;0,COUNTIF(AE8:AE62,"Q1")&lt;&gt;0,COUNTIF(AE8:AE62,"Q2")&lt;&gt;0,COUNTIF(AE8:AE62,"R1")&lt;&gt;0,COUNTIF(AE8:AE62,"R2")&lt;&gt;0),(COUNTIF(AE8:AE62,"Q1")),"")</f>
        <v/>
      </c>
      <c r="AF65" s="356" t="s">
        <v>38</v>
      </c>
      <c r="AG65" s="357"/>
      <c r="AH65" s="359"/>
    </row>
    <row r="66" spans="1:66" s="167" customFormat="1" ht="12" customHeight="1">
      <c r="A66" s="418" t="s">
        <v>39</v>
      </c>
      <c r="B66" s="418"/>
      <c r="C66" s="228" t="s">
        <v>40</v>
      </c>
      <c r="D66" s="229"/>
      <c r="E66" s="192" t="str">
        <f>IF(D$63="","",(COUNTIF(E$8:E$62,"A")))</f>
        <v/>
      </c>
      <c r="F66" s="229"/>
      <c r="G66" s="192" t="str">
        <f>IF(F$63="","",(COUNTIF(G$8:G$62,"A")))</f>
        <v/>
      </c>
      <c r="H66" s="229"/>
      <c r="I66" s="192" t="str">
        <f>IF(H$63="","",(COUNTIF(I$8:I$62,"A")))</f>
        <v/>
      </c>
      <c r="J66" s="229"/>
      <c r="K66" s="192" t="str">
        <f>IF(J$63="","",(COUNTIF(K$8:K$62,"A")))</f>
        <v/>
      </c>
      <c r="L66" s="229"/>
      <c r="M66" s="192" t="str">
        <f>IF(L$63="","",(COUNTIF(M$8:M$62,"A")))</f>
        <v/>
      </c>
      <c r="N66" s="229"/>
      <c r="O66" s="192" t="str">
        <f>IF(N$63="","",(COUNTIF(O$8:O$62,"A")))</f>
        <v/>
      </c>
      <c r="P66" s="229"/>
      <c r="Q66" s="192" t="str">
        <f>IF(P$63="","",(COUNTIF(Q$8:Q$62,"A")))</f>
        <v/>
      </c>
      <c r="R66" s="229"/>
      <c r="S66" s="229"/>
      <c r="T66" s="192" t="str">
        <f>IF(S$63="","",(COUNTIF(T$8:T$62,"A")))</f>
        <v/>
      </c>
      <c r="U66" s="261"/>
      <c r="V66" s="306"/>
      <c r="W66" s="189" t="str">
        <f>IF(V$63="","",(COUNTIF(W$8:W$62,"A")))</f>
        <v/>
      </c>
      <c r="X66" s="307"/>
      <c r="Y66" s="205" t="str">
        <f>IF((COUNT($D66:$W66)=0),"",(SUM($D66:$W66)))</f>
        <v/>
      </c>
      <c r="Z66" s="284"/>
      <c r="AA66" s="284"/>
      <c r="AB66" s="284"/>
      <c r="AC66" s="284"/>
      <c r="AD66" s="285"/>
      <c r="AE66" s="218" t="str">
        <f>IF(OR(COUNTIF(AE8:AE62,"P")&lt;&gt;0,COUNTIF(AE8:AE62,"F")&lt;&gt;0,COUNTIF(AE8:AE62,"ab")&lt;&gt;0,COUNTIF(AE8:AE62,"Q1")&lt;&gt;0,COUNTIF(AE8:AE62,"Q2")&lt;&gt;0,COUNTIF(AE8:AE62,"R1")&lt;&gt;0,COUNTIF(AE8:AE62,"R2")&lt;&gt;0),(COUNTIF(AE8:AE62,"Q2")),"")</f>
        <v/>
      </c>
      <c r="AF66" s="356" t="s">
        <v>41</v>
      </c>
      <c r="AG66" s="357"/>
      <c r="AH66" s="359"/>
    </row>
    <row r="67" spans="1:66" s="167" customFormat="1" ht="12" customHeight="1">
      <c r="A67" s="418"/>
      <c r="B67" s="418"/>
      <c r="C67" s="228" t="s">
        <v>42</v>
      </c>
      <c r="D67" s="229"/>
      <c r="E67" s="192" t="str">
        <f>IF(D$63="","",(COUNTIF(E$8:E$62,"B")))</f>
        <v/>
      </c>
      <c r="F67" s="229"/>
      <c r="G67" s="192" t="str">
        <f>IF(F$63="","",(COUNTIF(G$8:G$62,"B")))</f>
        <v/>
      </c>
      <c r="H67" s="229"/>
      <c r="I67" s="192" t="str">
        <f>IF(H$63="","",(COUNTIF(I$8:I$62,"B")))</f>
        <v/>
      </c>
      <c r="J67" s="229"/>
      <c r="K67" s="192" t="str">
        <f>IF(J$63="","",(COUNTIF(K$8:K$62,"B")))</f>
        <v/>
      </c>
      <c r="L67" s="229"/>
      <c r="M67" s="192" t="str">
        <f>IF(L$63="","",(COUNTIF(M$8:M$62,"B")))</f>
        <v/>
      </c>
      <c r="N67" s="229"/>
      <c r="O67" s="192" t="str">
        <f>IF(N$63="","",(COUNTIF(O$8:O$62,"B")))</f>
        <v/>
      </c>
      <c r="P67" s="229"/>
      <c r="Q67" s="192" t="str">
        <f>IF(P$63="","",(COUNTIF(Q$8:Q$62,"B")))</f>
        <v/>
      </c>
      <c r="R67" s="229"/>
      <c r="S67" s="229"/>
      <c r="T67" s="192" t="str">
        <f>IF(S$63="","",(COUNTIF(T$8:T$62,"B")))</f>
        <v/>
      </c>
      <c r="U67" s="261"/>
      <c r="V67" s="262"/>
      <c r="W67" s="192" t="str">
        <f>IF(V$63="","",(COUNTIF(W$8:W$62,"B")))</f>
        <v/>
      </c>
      <c r="X67" s="264"/>
      <c r="Y67" s="286"/>
      <c r="Z67" s="240" t="str">
        <f>IF((COUNT($D67:$W67)=0),"",SUM($D67:$W67))</f>
        <v/>
      </c>
      <c r="AA67" s="229"/>
      <c r="AB67" s="229"/>
      <c r="AC67" s="229"/>
      <c r="AD67" s="287"/>
      <c r="AE67" s="218" t="str">
        <f>IF(OR(COUNTIF(AE8:AE62,"P")&lt;&gt;0,COUNTIF(AE8:AE62,"F")&lt;&gt;0,COUNTIF(AE8:AE62,"ab")&lt;&gt;0,COUNTIF(AE8:AE62,"Q1")&lt;&gt;0,COUNTIF(AE8:AE62,"Q2")&lt;&gt;0,COUNTIF(AE8:AE62,"R1")&lt;&gt;0,COUNTIF(AE8:AE62,"R2")&lt;&gt;0),(COUNTIF(AE8:AE62,"R1")),"")</f>
        <v/>
      </c>
      <c r="AF67" s="356" t="s">
        <v>43</v>
      </c>
      <c r="AG67" s="357"/>
      <c r="AH67" s="359"/>
    </row>
    <row r="68" spans="1:66" s="167" customFormat="1" ht="12" customHeight="1">
      <c r="A68" s="418"/>
      <c r="B68" s="418"/>
      <c r="C68" s="228" t="s">
        <v>44</v>
      </c>
      <c r="D68" s="229"/>
      <c r="E68" s="192" t="str">
        <f>IF(D$63="","",(COUNTIF(E$8:E$62,"C")))</f>
        <v/>
      </c>
      <c r="F68" s="229"/>
      <c r="G68" s="192" t="str">
        <f>IF(F$63="","",(COUNTIF(G$8:G$62,"C")))</f>
        <v/>
      </c>
      <c r="H68" s="229"/>
      <c r="I68" s="192" t="str">
        <f>IF(H$63="","",(COUNTIF(I$8:I$62,"C")))</f>
        <v/>
      </c>
      <c r="J68" s="229"/>
      <c r="K68" s="192" t="str">
        <f>IF(J$63="","",(COUNTIF(K$8:K$62,"C")))</f>
        <v/>
      </c>
      <c r="L68" s="229"/>
      <c r="M68" s="192" t="str">
        <f>IF(L$63="","",(COUNTIF(M$8:M$62,"C")))</f>
        <v/>
      </c>
      <c r="N68" s="229"/>
      <c r="O68" s="192" t="str">
        <f>IF(N$63="","",(COUNTIF(O$8:O$62,"C")))</f>
        <v/>
      </c>
      <c r="P68" s="229"/>
      <c r="Q68" s="192" t="str">
        <f>IF(P$63="","",(COUNTIF(Q$8:Q$62,"C")))</f>
        <v/>
      </c>
      <c r="R68" s="229"/>
      <c r="S68" s="229"/>
      <c r="T68" s="192" t="str">
        <f>IF(S$63="","",(COUNTIF(T$8:T$62,"C")))</f>
        <v/>
      </c>
      <c r="U68" s="261"/>
      <c r="V68" s="262"/>
      <c r="W68" s="192" t="str">
        <f>IF(V$63="","",(COUNTIF(W$8:W$62,"C")))</f>
        <v/>
      </c>
      <c r="X68" s="264"/>
      <c r="Y68" s="286"/>
      <c r="Z68" s="229"/>
      <c r="AA68" s="240" t="str">
        <f>IF((COUNT($D68:$W68)=0),"",SUM($D68:$W68))</f>
        <v/>
      </c>
      <c r="AB68" s="229"/>
      <c r="AC68" s="229"/>
      <c r="AD68" s="287"/>
      <c r="AE68" s="218" t="str">
        <f>IF(OR(COUNTIF(AE8:AE62,"P")&lt;&gt;0,COUNTIF(AE8:AE62,"F")&lt;&gt;0,COUNTIF(AE8:AE62,"ab")&lt;&gt;0,COUNTIF(AE8:AE62,"Q1")&lt;&gt;0,COUNTIF(AE8:AE62,"Q2")&lt;&gt;0,COUNTIF(AE8:AE62,"R1")&lt;&gt;0,COUNTIF(AE8:AE62,"R2")&lt;&gt;0),(COUNTIF(AE8:AE62,"R2")),"")</f>
        <v/>
      </c>
      <c r="AF68" s="356" t="s">
        <v>45</v>
      </c>
      <c r="AG68" s="357"/>
      <c r="AH68" s="359"/>
    </row>
    <row r="69" spans="1:66" s="167" customFormat="1" ht="12" customHeight="1">
      <c r="A69" s="418"/>
      <c r="B69" s="418"/>
      <c r="C69" s="228" t="s">
        <v>46</v>
      </c>
      <c r="D69" s="229"/>
      <c r="E69" s="192" t="str">
        <f>IF(D$63="","",(COUNTIF(E$8:E$62,"S")))</f>
        <v/>
      </c>
      <c r="F69" s="229"/>
      <c r="G69" s="192" t="str">
        <f>IF(F$63="","",(COUNTIF(G$8:G$62,"S")))</f>
        <v/>
      </c>
      <c r="H69" s="229"/>
      <c r="I69" s="192" t="str">
        <f>IF(H$63="","",(COUNTIF(I$8:I$62,"S")))</f>
        <v/>
      </c>
      <c r="J69" s="229"/>
      <c r="K69" s="192" t="str">
        <f>IF(J$63="","",(COUNTIF(K$8:K$62,"S")))</f>
        <v/>
      </c>
      <c r="L69" s="229"/>
      <c r="M69" s="192" t="str">
        <f>IF(L$63="","",(COUNTIF(M$8:M$62,"S")))</f>
        <v/>
      </c>
      <c r="N69" s="229"/>
      <c r="O69" s="192" t="str">
        <f>IF(N$63="","",(COUNTIF(O$8:O$62,"S")))</f>
        <v/>
      </c>
      <c r="P69" s="229"/>
      <c r="Q69" s="192" t="str">
        <f>IF(P$63="","",(COUNTIF(Q$8:Q$62,"S")))</f>
        <v/>
      </c>
      <c r="R69" s="229"/>
      <c r="S69" s="229"/>
      <c r="T69" s="192" t="str">
        <f>IF(S$63="","",(COUNTIF(T$8:T$62,"S")))</f>
        <v/>
      </c>
      <c r="U69" s="261"/>
      <c r="V69" s="262"/>
      <c r="W69" s="192" t="str">
        <f>IF(V$63="","",(COUNTIF(W$8:W$62,"S")))</f>
        <v/>
      </c>
      <c r="X69" s="264"/>
      <c r="Y69" s="286"/>
      <c r="Z69" s="229"/>
      <c r="AA69" s="229"/>
      <c r="AB69" s="240" t="str">
        <f>IF((COUNT($D69:$W69)=0),"",SUM($D69:$W69))</f>
        <v/>
      </c>
      <c r="AC69" s="229"/>
      <c r="AD69" s="287"/>
      <c r="AE69" s="218" t="str">
        <f>IF(OR(COUNTIF(AE8:AE62,"P")&lt;&gt;0,COUNTIF(AE8:AE62,"F")&lt;&gt;0,COUNTIF(AE8:AE62,"ab")&lt;&gt;0,COUNTIF(AE8:AE62,"Q1")&lt;&gt;0,COUNTIF(AE8:AE62,"Q2")&lt;&gt;0,COUNTIF(AE8:AE62,"R1")&lt;&gt;0,COUNTIF(AE8:AE62,"R2")&lt;&gt;0),(COUNTIF(AE8:AE62,"F")),"")</f>
        <v/>
      </c>
      <c r="AF69" s="356" t="s">
        <v>37</v>
      </c>
      <c r="AG69" s="357"/>
      <c r="AH69" s="359"/>
    </row>
    <row r="70" spans="1:66" s="167" customFormat="1" ht="12" customHeight="1">
      <c r="A70" s="418"/>
      <c r="B70" s="418"/>
      <c r="C70" s="228" t="s">
        <v>32</v>
      </c>
      <c r="D70" s="229"/>
      <c r="E70" s="192" t="str">
        <f>IF(D$63="","",(COUNTIF(E$8:E$62,"W")))</f>
        <v/>
      </c>
      <c r="F70" s="229"/>
      <c r="G70" s="192" t="str">
        <f>IF(F$63="","",(COUNTIF(G$8:G$62,"W")))</f>
        <v/>
      </c>
      <c r="H70" s="229"/>
      <c r="I70" s="192" t="str">
        <f>IF(H$63="","",(COUNTIF(I$8:I$62,"W")))</f>
        <v/>
      </c>
      <c r="J70" s="229"/>
      <c r="K70" s="192" t="str">
        <f>IF(J$63="","",(COUNTIF(K$8:K$62,"W")))</f>
        <v/>
      </c>
      <c r="L70" s="229"/>
      <c r="M70" s="192" t="str">
        <f>IF(L$63="","",(COUNTIF(M$8:M$62,"W")))</f>
        <v/>
      </c>
      <c r="N70" s="229"/>
      <c r="O70" s="192" t="str">
        <f>IF(N$63="","",(COUNTIF(O$8:O$62,"W")))</f>
        <v/>
      </c>
      <c r="P70" s="229"/>
      <c r="Q70" s="192" t="str">
        <f>IF(P$63="","",(COUNTIF(Q$8:Q$62,"W")))</f>
        <v/>
      </c>
      <c r="R70" s="229"/>
      <c r="S70" s="229"/>
      <c r="T70" s="192" t="str">
        <f>IF(S$63="","",(COUNTIF(T$8:T$62,"W")))</f>
        <v/>
      </c>
      <c r="U70" s="261"/>
      <c r="V70" s="265"/>
      <c r="W70" s="192" t="str">
        <f>IF(V$63="","",(COUNTIF(W$8:W$62,"W")))</f>
        <v/>
      </c>
      <c r="X70" s="266"/>
      <c r="Y70" s="286"/>
      <c r="Z70" s="229"/>
      <c r="AA70" s="229"/>
      <c r="AB70" s="229"/>
      <c r="AC70" s="240" t="str">
        <f>IF((COUNT($D70:$W70)=0),"",SUM($D70:$W70))</f>
        <v/>
      </c>
      <c r="AD70" s="287"/>
      <c r="AE70" s="283" t="str">
        <f>IF(AND(AE63="",AE64="",AE65="",AE66="",AE67="",AE68="",AE69=""),"",SUM(AE63:AE69))</f>
        <v/>
      </c>
      <c r="AF70" s="351" t="s">
        <v>33</v>
      </c>
      <c r="AG70" s="352"/>
      <c r="AH70" s="353"/>
    </row>
    <row r="71" spans="1:66" s="167" customFormat="1" ht="12" customHeight="1">
      <c r="A71" s="419"/>
      <c r="B71" s="419"/>
      <c r="C71" s="230" t="s">
        <v>47</v>
      </c>
      <c r="D71" s="231"/>
      <c r="E71" s="232" t="str">
        <f>IF(D$63="","",(COUNTIF(E$8:E$62,"ab")))</f>
        <v/>
      </c>
      <c r="F71" s="231"/>
      <c r="G71" s="232" t="str">
        <f>IF(F$63="","",(COUNTIF(G$8:G$62,"ab")))</f>
        <v/>
      </c>
      <c r="H71" s="231"/>
      <c r="I71" s="232" t="str">
        <f>IF(H$63="","",(COUNTIF(I$8:I$62,"ab")))</f>
        <v/>
      </c>
      <c r="J71" s="231"/>
      <c r="K71" s="232" t="str">
        <f>IF(J$63="","",(COUNTIF(K$8:K$62,"ab")))</f>
        <v/>
      </c>
      <c r="L71" s="231"/>
      <c r="M71" s="232" t="str">
        <f>IF(L$63="","",(COUNTIF(M$8:M$62,"ab")))</f>
        <v/>
      </c>
      <c r="N71" s="231"/>
      <c r="O71" s="232" t="str">
        <f>IF(N$63="","",(COUNTIF(O$8:O$62,"ab")))</f>
        <v/>
      </c>
      <c r="P71" s="231"/>
      <c r="Q71" s="232" t="str">
        <f>IF(P$63="","",(COUNTIF(Q$8:Q$62,"ab")))</f>
        <v/>
      </c>
      <c r="R71" s="231"/>
      <c r="S71" s="231"/>
      <c r="T71" s="232" t="str">
        <f>IF(S$63="","",(COUNTIF(T$8:T$62,"ab")))</f>
        <v/>
      </c>
      <c r="U71" s="267"/>
      <c r="V71" s="268"/>
      <c r="W71" s="269" t="str">
        <f>IF(V$63="","",(COUNTIF(W$8:W$62,"ab")))</f>
        <v/>
      </c>
      <c r="X71" s="270"/>
      <c r="Y71" s="288"/>
      <c r="Z71" s="288"/>
      <c r="AA71" s="288"/>
      <c r="AB71" s="288"/>
      <c r="AC71" s="288"/>
      <c r="AD71" s="289" t="str">
        <f>IF((COUNT($D71:$W71)=0),"",SUM($D71:$W71))</f>
        <v/>
      </c>
      <c r="AE71" s="290"/>
      <c r="AF71" s="257"/>
      <c r="AG71" s="257"/>
      <c r="AH71" s="288"/>
    </row>
    <row r="72" spans="1:66" s="167" customFormat="1" ht="12" customHeight="1">
      <c r="A72" s="361" t="s">
        <v>33</v>
      </c>
      <c r="B72" s="362"/>
      <c r="C72" s="362"/>
      <c r="D72" s="233"/>
      <c r="E72" s="234" t="str">
        <f>IF(D$63="","",(SUM(E$66:E$71)))</f>
        <v/>
      </c>
      <c r="F72" s="233"/>
      <c r="G72" s="234" t="str">
        <f>IF(F$63="","",(SUM(G$66:G$71)))</f>
        <v/>
      </c>
      <c r="H72" s="233"/>
      <c r="I72" s="234" t="str">
        <f>IF(H$63="","",(SUM(I$66:I$71)))</f>
        <v/>
      </c>
      <c r="J72" s="233"/>
      <c r="K72" s="234" t="str">
        <f>IF(J$63="","",(SUM(K$66:K$71)))</f>
        <v/>
      </c>
      <c r="L72" s="233"/>
      <c r="M72" s="234" t="str">
        <f>IF(L$63="","",(SUM(M$66:M$71)))</f>
        <v/>
      </c>
      <c r="N72" s="233"/>
      <c r="O72" s="234" t="str">
        <f>IF(N$63="","",(SUM(O$66:O$71)))</f>
        <v/>
      </c>
      <c r="P72" s="233"/>
      <c r="Q72" s="234" t="str">
        <f>IF(P$63="","",(SUM(Q$66:Q$71)))</f>
        <v/>
      </c>
      <c r="R72" s="233"/>
      <c r="S72" s="233"/>
      <c r="T72" s="234" t="str">
        <f>IF(S$63="","",(SUM(T$66:T$71)))</f>
        <v/>
      </c>
      <c r="U72" s="271"/>
      <c r="V72" s="272"/>
      <c r="W72" s="273" t="str">
        <f>IF(V$63="","",(SUM(W$66:W$71)))</f>
        <v/>
      </c>
      <c r="X72" s="274"/>
      <c r="Y72" s="274"/>
      <c r="Z72" s="288"/>
      <c r="AA72" s="288"/>
      <c r="AB72" s="288"/>
      <c r="AC72" s="288"/>
      <c r="AD72" s="290"/>
      <c r="AE72" s="290"/>
      <c r="AF72" s="257"/>
      <c r="AG72" s="257"/>
      <c r="AH72" s="288"/>
    </row>
    <row r="73" spans="1:66" s="167" customFormat="1" ht="9.75" customHeight="1">
      <c r="A73" s="221"/>
      <c r="B73" s="221"/>
      <c r="C73" s="221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89"/>
      <c r="AE73" s="289"/>
      <c r="AF73" s="291"/>
      <c r="AG73" s="291"/>
      <c r="AH73" s="235"/>
    </row>
    <row r="74" spans="1:66" s="167" customFormat="1" ht="15" customHeight="1">
      <c r="A74" s="221"/>
      <c r="B74" s="221"/>
      <c r="C74" s="236" t="s">
        <v>48</v>
      </c>
      <c r="D74" s="237" t="str">
        <f>IF(D$63="","",(COUNTIFS(D$8:D$62,"&lt;=39",D$8:D$62,"&gt;=30")))</f>
        <v/>
      </c>
      <c r="E74" s="238"/>
      <c r="F74" s="237" t="str">
        <f>IF(F$63="","",(COUNTIFS(F$8:F$62,"&lt;=39",F$8:F$62,"&gt;=30")))</f>
        <v/>
      </c>
      <c r="G74" s="238"/>
      <c r="H74" s="237" t="str">
        <f>IF(H$63="","",(COUNTIFS(H$8:H$62,"&lt;=39",H$8:H$62,"&gt;=30")))</f>
        <v/>
      </c>
      <c r="I74" s="238"/>
      <c r="J74" s="237" t="str">
        <f>IF(J$63="","",(COUNTIFS(J$8:J$62,"&lt;=39",J$8:J$62,"&gt;=30")))</f>
        <v/>
      </c>
      <c r="K74" s="238"/>
      <c r="L74" s="237" t="str">
        <f>IF(L$63="","",(COUNTIFS(L$8:L$62,"&lt;=39",L$8:L$62,"&gt;=30")))</f>
        <v/>
      </c>
      <c r="M74" s="238"/>
      <c r="N74" s="237" t="str">
        <f>IF(N$63="","",(COUNTIFS(N$8:N$62,"&lt;=39",N$8:N$62,"&gt;=30")))</f>
        <v/>
      </c>
      <c r="O74" s="238"/>
      <c r="P74" s="237" t="str">
        <f>IF(P$63="","",(COUNTIFS(P$8:P$62,"&lt;=39",P$8:P$62,"&gt;=30")))</f>
        <v/>
      </c>
      <c r="Q74" s="238"/>
      <c r="R74" s="238"/>
      <c r="S74" s="237" t="str">
        <f>IF(S$63="","",(COUNTIFS(S$8:S$62,"&lt;=39",S$8:S$62,"&gt;=30")))</f>
        <v/>
      </c>
      <c r="T74" s="238"/>
      <c r="U74" s="238"/>
      <c r="V74" s="275" t="str">
        <f>IF(V$63="","",(COUNTIFS(V$8:V$62,"&lt;=39",V$8:V$62,"&gt;=30")))</f>
        <v/>
      </c>
      <c r="W74" s="276"/>
      <c r="X74" s="277"/>
      <c r="Y74" s="235"/>
      <c r="Z74" s="363" t="s">
        <v>49</v>
      </c>
      <c r="AA74" s="364"/>
      <c r="AB74" s="364"/>
      <c r="AC74" s="364"/>
      <c r="AD74" s="365"/>
      <c r="AE74" s="366" t="s">
        <v>50</v>
      </c>
      <c r="AF74" s="367"/>
      <c r="AG74" s="367"/>
      <c r="AH74" s="368"/>
    </row>
    <row r="75" spans="1:66" s="167" customFormat="1" ht="13.2">
      <c r="A75" s="221"/>
      <c r="B75" s="221"/>
      <c r="C75" s="239" t="s">
        <v>51</v>
      </c>
      <c r="D75" s="240" t="str">
        <f>IF(D$63="","",(COUNTIFS(D$8:D$62,"&lt;=29",D$8:D$62,"&gt;=20")))</f>
        <v/>
      </c>
      <c r="E75" s="229"/>
      <c r="F75" s="240" t="str">
        <f>IF(F$63="","",(COUNTIFS(F$8:F$62,"&lt;=29",F$8:F$62,"&gt;=20")))</f>
        <v/>
      </c>
      <c r="G75" s="229"/>
      <c r="H75" s="240" t="str">
        <f>IF(H$63="","",(COUNTIFS(H$8:H$62,"&lt;=29",H$8:H$62,"&gt;=20")))</f>
        <v/>
      </c>
      <c r="I75" s="229"/>
      <c r="J75" s="240" t="str">
        <f>IF(J$63="","",(COUNTIFS(J$8:J$62,"&lt;=29",J$8:J$62,"&gt;=20")))</f>
        <v/>
      </c>
      <c r="K75" s="229"/>
      <c r="L75" s="240" t="str">
        <f>IF(L$63="","",(COUNTIFS(L$8:L$62,"&lt;=29",L$8:L$62,"&gt;=20")))</f>
        <v/>
      </c>
      <c r="M75" s="229"/>
      <c r="N75" s="240" t="str">
        <f>IF(N$63="","",(COUNTIFS(N$8:N$62,"&lt;=29",N$8:N$62,"&gt;=20")))</f>
        <v/>
      </c>
      <c r="O75" s="229"/>
      <c r="P75" s="240" t="str">
        <f>IF(P$63="","",(COUNTIFS(P$8:P$62,"&lt;=29",P$8:P$62,"&gt;=20")))</f>
        <v/>
      </c>
      <c r="Q75" s="229"/>
      <c r="R75" s="229"/>
      <c r="S75" s="240" t="str">
        <f>IF(S$63="","",(COUNTIFS(S$8:S$62,"&lt;=29",S$8:S$62,"&gt;=20")))</f>
        <v/>
      </c>
      <c r="T75" s="229"/>
      <c r="U75" s="229"/>
      <c r="V75" s="278" t="str">
        <f>IF(V$63="","",(COUNTIFS(V$8:V$62,"&lt;=29",V$8:V$62,"&gt;=20")))</f>
        <v/>
      </c>
      <c r="W75" s="279"/>
      <c r="X75" s="270"/>
      <c r="Y75" s="235"/>
      <c r="Z75" s="363" t="s">
        <v>20</v>
      </c>
      <c r="AA75" s="364"/>
      <c r="AB75" s="364"/>
      <c r="AC75" s="364"/>
      <c r="AD75" s="364"/>
      <c r="AE75" s="364"/>
      <c r="AF75" s="364"/>
      <c r="AG75" s="364"/>
      <c r="AH75" s="365"/>
    </row>
    <row r="76" spans="1:66" s="167" customFormat="1" ht="13.2">
      <c r="A76" s="221"/>
      <c r="B76" s="221"/>
      <c r="C76" s="241" t="s">
        <v>52</v>
      </c>
      <c r="D76" s="240" t="str">
        <f>IF(D$63="","",(COUNTIFS(D$8:D$62,"&gt;=10",D$8:D$62,"&lt;=19")))</f>
        <v/>
      </c>
      <c r="E76" s="229"/>
      <c r="F76" s="240" t="str">
        <f>IF(F$63="","",(COUNTIFS(F$8:F$62,"&gt;=10",F$8:F$62,"&lt;=19")))</f>
        <v/>
      </c>
      <c r="G76" s="229"/>
      <c r="H76" s="240" t="str">
        <f>IF(H$63="","",(COUNTIFS(H$8:H$62,"&gt;=10",H$8:H$62,"&lt;=19")))</f>
        <v/>
      </c>
      <c r="I76" s="229"/>
      <c r="J76" s="240" t="str">
        <f>IF(J$63="","",(COUNTIFS(J$8:J$62,"&gt;=10",J$8:J$62,"&lt;=19")))</f>
        <v/>
      </c>
      <c r="K76" s="229"/>
      <c r="L76" s="240" t="str">
        <f>IF(L$63="","",(COUNTIFS(L$8:L$62,"&gt;=10",L$8:L$62,"&lt;=19")))</f>
        <v/>
      </c>
      <c r="M76" s="229"/>
      <c r="N76" s="240" t="str">
        <f>IF(N$63="","",(COUNTIFS(N$8:N$62,"&gt;=10",N$8:N$62,"&lt;=19")))</f>
        <v/>
      </c>
      <c r="O76" s="229"/>
      <c r="P76" s="240" t="str">
        <f>IF(P$63="","",(COUNTIFS(P$8:P$62,"&gt;=10",P$8:P$62,"&lt;=19")))</f>
        <v/>
      </c>
      <c r="Q76" s="229"/>
      <c r="R76" s="229"/>
      <c r="S76" s="240" t="str">
        <f>IF(S$63="","",(COUNTIFS(S$8:S$62,"&gt;=10",S$8:S$62,"&lt;=19")))</f>
        <v/>
      </c>
      <c r="T76" s="229"/>
      <c r="U76" s="229"/>
      <c r="V76" s="278" t="str">
        <f>IF(V$63="","",(COUNTIFS(V$8:V$62,"&gt;=10",V$8:V$62,"&lt;=19")))</f>
        <v/>
      </c>
      <c r="W76" s="279"/>
      <c r="X76" s="270"/>
      <c r="Z76" s="292" t="s">
        <v>53</v>
      </c>
      <c r="AA76" s="369" t="s">
        <v>54</v>
      </c>
      <c r="AB76" s="370"/>
      <c r="AC76" s="370"/>
      <c r="AD76" s="370"/>
      <c r="AE76" s="370"/>
      <c r="AF76" s="370"/>
      <c r="AG76" s="370"/>
      <c r="AH76" s="371"/>
    </row>
    <row r="77" spans="1:66" s="167" customFormat="1" ht="13.2">
      <c r="A77" s="221"/>
      <c r="B77" s="221"/>
      <c r="C77" s="242" t="s">
        <v>55</v>
      </c>
      <c r="D77" s="243" t="str">
        <f>IF(D$63="","",(COUNTIFS(D$8:D$62,"&gt;=0",D$8:D$62,"&lt;=9")))</f>
        <v/>
      </c>
      <c r="E77" s="244"/>
      <c r="F77" s="243" t="str">
        <f>IF(F$63="","",(COUNTIFS(F$8:F$62,"&gt;=0",F$8:F$62,"&lt;=9")))</f>
        <v/>
      </c>
      <c r="G77" s="244"/>
      <c r="H77" s="243" t="str">
        <f>IF(H$63="","",(COUNTIFS(H$8:H$62,"&gt;=0",H$8:H$62,"&lt;=9")))</f>
        <v/>
      </c>
      <c r="I77" s="244"/>
      <c r="J77" s="243" t="str">
        <f>IF(J$63="","",(COUNTIFS(J$8:J$62,"&gt;=0",J$8:J$62,"&lt;=9")))</f>
        <v/>
      </c>
      <c r="K77" s="244"/>
      <c r="L77" s="243" t="str">
        <f>IF(L$63="","",(COUNTIFS(L$8:L$62,"&gt;=0",L$8:L$62,"&lt;=9")))</f>
        <v/>
      </c>
      <c r="M77" s="244"/>
      <c r="N77" s="243" t="str">
        <f>IF(N$63="","",(COUNTIFS(N$8:N$62,"&gt;=0",N$8:N$62,"&lt;=9")))</f>
        <v/>
      </c>
      <c r="O77" s="244"/>
      <c r="P77" s="243" t="str">
        <f>IF(P$63="","",(COUNTIFS(P$8:P$62,"&gt;=0",P$8:P$62,"&lt;=9")))</f>
        <v/>
      </c>
      <c r="Q77" s="244"/>
      <c r="R77" s="244"/>
      <c r="S77" s="243" t="str">
        <f>IF(S$63="","",(COUNTIFS(S$8:S$62,"&gt;=0",S$8:S$62,"&lt;=9")))</f>
        <v/>
      </c>
      <c r="T77" s="244"/>
      <c r="U77" s="244"/>
      <c r="V77" s="280" t="str">
        <f>IF(V$63="","",(COUNTIFS(V$8:V$62,"&gt;=0",V$8:V$62,"&lt;=9")))</f>
        <v/>
      </c>
      <c r="W77" s="281"/>
      <c r="X77" s="282"/>
      <c r="Y77" s="235"/>
      <c r="Z77" s="293" t="s">
        <v>56</v>
      </c>
      <c r="AA77" s="372" t="s">
        <v>57</v>
      </c>
      <c r="AB77" s="373"/>
      <c r="AC77" s="373"/>
      <c r="AD77" s="373"/>
      <c r="AE77" s="373"/>
      <c r="AF77" s="373"/>
      <c r="AG77" s="373"/>
      <c r="AH77" s="374"/>
    </row>
    <row r="78" spans="1:66" ht="13.5" customHeight="1">
      <c r="A78" s="70"/>
      <c r="B78" s="70"/>
      <c r="C78" s="245"/>
      <c r="D78" s="70"/>
      <c r="E78" s="246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246"/>
      <c r="Z78" s="294" t="s">
        <v>58</v>
      </c>
      <c r="AA78" s="372" t="s">
        <v>59</v>
      </c>
      <c r="AB78" s="373"/>
      <c r="AC78" s="373"/>
      <c r="AD78" s="373"/>
      <c r="AE78" s="373"/>
      <c r="AF78" s="373"/>
      <c r="AG78" s="373"/>
      <c r="AH78" s="374"/>
    </row>
    <row r="79" spans="1:66" s="167" customFormat="1" ht="14.25" customHeight="1">
      <c r="A79" s="221"/>
      <c r="B79" s="247" t="s">
        <v>27</v>
      </c>
      <c r="C79" s="375" t="s">
        <v>60</v>
      </c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76"/>
      <c r="W79" s="377"/>
      <c r="X79" s="221"/>
      <c r="Y79" s="235"/>
      <c r="Z79" s="295" t="s">
        <v>61</v>
      </c>
      <c r="AA79" s="372" t="s">
        <v>62</v>
      </c>
      <c r="AB79" s="373"/>
      <c r="AC79" s="373"/>
      <c r="AD79" s="373"/>
      <c r="AE79" s="373"/>
      <c r="AF79" s="373"/>
      <c r="AG79" s="373"/>
      <c r="AH79" s="374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/>
      <c r="AX79" s="221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  <c r="BM79" s="221"/>
      <c r="BN79" s="221"/>
    </row>
    <row r="80" spans="1:66" s="167" customFormat="1" ht="12" customHeight="1">
      <c r="A80" s="221"/>
      <c r="B80" s="378" t="s">
        <v>15</v>
      </c>
      <c r="C80" s="379"/>
      <c r="D80" s="380" t="s">
        <v>16</v>
      </c>
      <c r="E80" s="381"/>
      <c r="F80" s="381"/>
      <c r="G80" s="381"/>
      <c r="H80" s="381"/>
      <c r="I80" s="381"/>
      <c r="J80" s="381"/>
      <c r="K80" s="381"/>
      <c r="L80" s="381"/>
      <c r="M80" s="382"/>
      <c r="N80" s="380" t="s">
        <v>17</v>
      </c>
      <c r="O80" s="381"/>
      <c r="P80" s="381"/>
      <c r="Q80" s="381"/>
      <c r="R80" s="381"/>
      <c r="S80" s="381"/>
      <c r="T80" s="381"/>
      <c r="U80" s="381"/>
      <c r="V80" s="381"/>
      <c r="W80" s="382"/>
      <c r="X80" s="221"/>
      <c r="Y80" s="235"/>
      <c r="Z80" s="296" t="s">
        <v>63</v>
      </c>
      <c r="AA80" s="372" t="s">
        <v>64</v>
      </c>
      <c r="AB80" s="373"/>
      <c r="AC80" s="373"/>
      <c r="AD80" s="373"/>
      <c r="AE80" s="373"/>
      <c r="AF80" s="373"/>
      <c r="AG80" s="373"/>
      <c r="AH80" s="374"/>
      <c r="AJ80" s="221"/>
      <c r="AK80" s="221"/>
      <c r="AL80" s="221"/>
      <c r="AM80" s="221"/>
      <c r="AN80" s="221"/>
      <c r="AO80" s="221"/>
      <c r="AP80" s="221"/>
      <c r="AQ80" s="221"/>
      <c r="AR80" s="221"/>
      <c r="AS80" s="221"/>
      <c r="AT80" s="221"/>
      <c r="AU80" s="221"/>
      <c r="AV80" s="221"/>
      <c r="AW80" s="221"/>
      <c r="AX80" s="221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</row>
    <row r="81" spans="1:66" s="167" customFormat="1" ht="12" customHeight="1">
      <c r="A81" s="221"/>
      <c r="B81" s="248" t="s">
        <v>65</v>
      </c>
      <c r="C81" s="249" t="s">
        <v>66</v>
      </c>
      <c r="D81" s="383" t="s">
        <v>67</v>
      </c>
      <c r="E81" s="384"/>
      <c r="F81" s="385" t="s">
        <v>68</v>
      </c>
      <c r="G81" s="386"/>
      <c r="H81" s="386"/>
      <c r="I81" s="386"/>
      <c r="J81" s="386"/>
      <c r="K81" s="386"/>
      <c r="L81" s="386"/>
      <c r="M81" s="387"/>
      <c r="N81" s="383" t="s">
        <v>69</v>
      </c>
      <c r="O81" s="384"/>
      <c r="P81" s="386" t="s">
        <v>70</v>
      </c>
      <c r="Q81" s="386"/>
      <c r="R81" s="386"/>
      <c r="S81" s="386"/>
      <c r="T81" s="386"/>
      <c r="U81" s="386"/>
      <c r="V81" s="386"/>
      <c r="W81" s="387"/>
      <c r="X81" s="221"/>
      <c r="Y81" s="235"/>
      <c r="Z81" s="297" t="s">
        <v>71</v>
      </c>
      <c r="AA81" s="372" t="s">
        <v>72</v>
      </c>
      <c r="AB81" s="373"/>
      <c r="AC81" s="373"/>
      <c r="AD81" s="373"/>
      <c r="AE81" s="373"/>
      <c r="AF81" s="373"/>
      <c r="AG81" s="373"/>
      <c r="AH81" s="374"/>
      <c r="AI81" s="221"/>
      <c r="AJ81" s="298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221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</row>
    <row r="82" spans="1:66" s="167" customFormat="1" ht="12" customHeight="1">
      <c r="A82" s="221"/>
      <c r="B82" s="250" t="s">
        <v>73</v>
      </c>
      <c r="C82" s="251" t="s">
        <v>74</v>
      </c>
      <c r="D82" s="388" t="s">
        <v>75</v>
      </c>
      <c r="E82" s="389"/>
      <c r="F82" s="390" t="s">
        <v>76</v>
      </c>
      <c r="G82" s="391"/>
      <c r="H82" s="391"/>
      <c r="I82" s="391"/>
      <c r="J82" s="391"/>
      <c r="K82" s="391"/>
      <c r="L82" s="391"/>
      <c r="M82" s="392"/>
      <c r="N82" s="388" t="s">
        <v>77</v>
      </c>
      <c r="O82" s="389"/>
      <c r="P82" s="391" t="s">
        <v>78</v>
      </c>
      <c r="Q82" s="391"/>
      <c r="R82" s="391"/>
      <c r="S82" s="391"/>
      <c r="T82" s="391"/>
      <c r="U82" s="391"/>
      <c r="V82" s="391"/>
      <c r="W82" s="392"/>
      <c r="X82" s="221"/>
      <c r="Y82" s="416" t="s">
        <v>79</v>
      </c>
      <c r="Z82" s="416"/>
      <c r="AA82" s="416"/>
      <c r="AB82" s="417" t="s">
        <v>80</v>
      </c>
      <c r="AC82" s="417"/>
      <c r="AD82" s="417"/>
      <c r="AE82" s="417"/>
      <c r="AF82" s="417"/>
      <c r="AG82" s="417"/>
      <c r="AH82" s="417"/>
      <c r="AI82" s="221"/>
      <c r="AJ82" s="298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</row>
    <row r="83" spans="1:66" s="167" customFormat="1" ht="12" customHeight="1">
      <c r="A83" s="221"/>
      <c r="B83" s="250" t="s">
        <v>81</v>
      </c>
      <c r="C83" s="251" t="s">
        <v>82</v>
      </c>
      <c r="D83" s="388" t="s">
        <v>83</v>
      </c>
      <c r="E83" s="389"/>
      <c r="F83" s="390" t="s">
        <v>84</v>
      </c>
      <c r="G83" s="391"/>
      <c r="H83" s="391"/>
      <c r="I83" s="391"/>
      <c r="J83" s="391"/>
      <c r="K83" s="391"/>
      <c r="L83" s="391"/>
      <c r="M83" s="392"/>
      <c r="N83" s="388" t="s">
        <v>85</v>
      </c>
      <c r="O83" s="389"/>
      <c r="P83" s="391" t="s">
        <v>86</v>
      </c>
      <c r="Q83" s="391"/>
      <c r="R83" s="391"/>
      <c r="S83" s="391"/>
      <c r="T83" s="391"/>
      <c r="U83" s="391"/>
      <c r="V83" s="391"/>
      <c r="W83" s="392"/>
      <c r="X83" s="221"/>
      <c r="Y83" s="416"/>
      <c r="Z83" s="416"/>
      <c r="AA83" s="416"/>
      <c r="AB83" s="416"/>
      <c r="AC83" s="416"/>
      <c r="AD83" s="416"/>
      <c r="AE83" s="416"/>
      <c r="AF83" s="416"/>
      <c r="AG83" s="416"/>
      <c r="AH83" s="416"/>
      <c r="AI83" s="221"/>
      <c r="AJ83" s="298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</row>
    <row r="84" spans="1:66" s="167" customFormat="1" ht="12" customHeight="1">
      <c r="A84" s="221"/>
      <c r="B84" s="250" t="s">
        <v>87</v>
      </c>
      <c r="C84" s="251" t="s">
        <v>88</v>
      </c>
      <c r="D84" s="388" t="s">
        <v>89</v>
      </c>
      <c r="E84" s="389"/>
      <c r="F84" s="390" t="s">
        <v>90</v>
      </c>
      <c r="G84" s="391"/>
      <c r="H84" s="391"/>
      <c r="I84" s="391"/>
      <c r="J84" s="391"/>
      <c r="K84" s="391"/>
      <c r="L84" s="391"/>
      <c r="M84" s="392"/>
      <c r="N84" s="388" t="s">
        <v>91</v>
      </c>
      <c r="O84" s="389"/>
      <c r="P84" s="391" t="s">
        <v>92</v>
      </c>
      <c r="Q84" s="391"/>
      <c r="R84" s="391"/>
      <c r="S84" s="391"/>
      <c r="T84" s="391"/>
      <c r="U84" s="391"/>
      <c r="V84" s="391"/>
      <c r="W84" s="392"/>
      <c r="X84" s="221"/>
      <c r="Y84" s="415" t="s">
        <v>93</v>
      </c>
      <c r="Z84" s="415"/>
      <c r="AA84" s="415"/>
      <c r="AB84" s="415"/>
      <c r="AC84" s="416" t="s">
        <v>80</v>
      </c>
      <c r="AD84" s="416"/>
      <c r="AE84" s="416"/>
      <c r="AF84" s="416"/>
      <c r="AG84" s="416"/>
      <c r="AH84" s="416"/>
      <c r="AI84" s="221"/>
      <c r="AJ84" s="298"/>
      <c r="AK84" s="221"/>
      <c r="AL84" s="221"/>
      <c r="AM84" s="221"/>
      <c r="AN84" s="221"/>
      <c r="AO84" s="221"/>
      <c r="AP84" s="221"/>
      <c r="AQ84" s="221"/>
      <c r="AR84" s="221"/>
      <c r="AS84" s="221"/>
      <c r="AT84" s="221"/>
      <c r="AU84" s="221"/>
      <c r="AV84" s="221"/>
      <c r="AW84" s="221"/>
      <c r="AX84" s="221"/>
      <c r="AY84" s="221"/>
      <c r="AZ84" s="221"/>
      <c r="BA84" s="221"/>
      <c r="BB84" s="221"/>
      <c r="BC84" s="221"/>
      <c r="BD84" s="221"/>
      <c r="BE84" s="221"/>
      <c r="BF84" s="221"/>
      <c r="BG84" s="221"/>
      <c r="BH84" s="221"/>
      <c r="BI84" s="221"/>
      <c r="BJ84" s="221"/>
      <c r="BK84" s="221"/>
      <c r="BL84" s="221"/>
      <c r="BM84" s="221"/>
      <c r="BN84" s="221"/>
    </row>
    <row r="85" spans="1:66" s="167" customFormat="1" ht="12" customHeight="1">
      <c r="A85" s="221"/>
      <c r="B85" s="250" t="s">
        <v>94</v>
      </c>
      <c r="C85" s="252"/>
      <c r="D85" s="388" t="s">
        <v>95</v>
      </c>
      <c r="E85" s="389"/>
      <c r="F85" s="390" t="s">
        <v>96</v>
      </c>
      <c r="G85" s="391"/>
      <c r="H85" s="391"/>
      <c r="I85" s="391"/>
      <c r="J85" s="391"/>
      <c r="K85" s="391"/>
      <c r="L85" s="391"/>
      <c r="M85" s="392"/>
      <c r="N85" s="388" t="s">
        <v>97</v>
      </c>
      <c r="O85" s="389"/>
      <c r="P85" s="391" t="s">
        <v>98</v>
      </c>
      <c r="Q85" s="391"/>
      <c r="R85" s="391"/>
      <c r="S85" s="391"/>
      <c r="T85" s="391"/>
      <c r="U85" s="391"/>
      <c r="V85" s="391"/>
      <c r="W85" s="392"/>
      <c r="X85" s="221"/>
      <c r="Y85" s="415"/>
      <c r="Z85" s="415"/>
      <c r="AA85" s="415"/>
      <c r="AB85" s="415"/>
      <c r="AC85" s="416"/>
      <c r="AD85" s="416"/>
      <c r="AE85" s="416"/>
      <c r="AF85" s="416"/>
      <c r="AG85" s="416"/>
      <c r="AH85" s="416"/>
      <c r="AI85" s="221"/>
    </row>
    <row r="86" spans="1:66" s="167" customFormat="1" ht="12" customHeight="1">
      <c r="A86" s="221"/>
      <c r="B86" s="250" t="s">
        <v>99</v>
      </c>
      <c r="C86" s="253"/>
      <c r="D86" s="388" t="s">
        <v>100</v>
      </c>
      <c r="E86" s="389"/>
      <c r="F86" s="390" t="s">
        <v>101</v>
      </c>
      <c r="G86" s="391"/>
      <c r="H86" s="391"/>
      <c r="I86" s="391"/>
      <c r="J86" s="391"/>
      <c r="K86" s="391"/>
      <c r="L86" s="391"/>
      <c r="M86" s="392"/>
      <c r="N86" s="388" t="s">
        <v>102</v>
      </c>
      <c r="O86" s="389"/>
      <c r="P86" s="391" t="s">
        <v>103</v>
      </c>
      <c r="Q86" s="391"/>
      <c r="R86" s="391"/>
      <c r="S86" s="391"/>
      <c r="T86" s="391"/>
      <c r="U86" s="391"/>
      <c r="V86" s="391"/>
      <c r="W86" s="392"/>
      <c r="X86" s="221"/>
      <c r="Y86" s="413" t="s">
        <v>104</v>
      </c>
      <c r="Z86" s="413"/>
      <c r="AA86" s="413"/>
      <c r="AB86" s="413"/>
      <c r="AC86" s="413"/>
      <c r="AD86" s="414" t="s">
        <v>80</v>
      </c>
      <c r="AE86" s="414"/>
      <c r="AF86" s="414"/>
      <c r="AG86" s="414"/>
      <c r="AH86" s="414"/>
    </row>
    <row r="87" spans="1:66" s="167" customFormat="1" ht="12" customHeight="1">
      <c r="A87" s="221"/>
      <c r="B87" s="250" t="s">
        <v>105</v>
      </c>
      <c r="C87" s="253"/>
      <c r="D87" s="388" t="s">
        <v>106</v>
      </c>
      <c r="E87" s="389"/>
      <c r="F87" s="393"/>
      <c r="G87" s="394"/>
      <c r="H87" s="394"/>
      <c r="I87" s="394"/>
      <c r="J87" s="394"/>
      <c r="K87" s="394"/>
      <c r="L87" s="394"/>
      <c r="M87" s="395"/>
      <c r="N87" s="388" t="s">
        <v>107</v>
      </c>
      <c r="O87" s="389"/>
      <c r="P87" s="391" t="s">
        <v>108</v>
      </c>
      <c r="Q87" s="391"/>
      <c r="R87" s="391"/>
      <c r="S87" s="391"/>
      <c r="T87" s="391"/>
      <c r="U87" s="391"/>
      <c r="V87" s="391"/>
      <c r="W87" s="392"/>
      <c r="X87" s="221"/>
      <c r="Y87" s="413"/>
      <c r="Z87" s="413"/>
      <c r="AA87" s="413"/>
      <c r="AB87" s="413"/>
      <c r="AC87" s="413"/>
      <c r="AD87" s="414"/>
      <c r="AE87" s="414"/>
      <c r="AF87" s="414"/>
      <c r="AG87" s="414"/>
      <c r="AH87" s="414"/>
      <c r="AI87" s="299"/>
      <c r="AJ87" s="300"/>
      <c r="AK87" s="301"/>
    </row>
    <row r="88" spans="1:66" s="167" customFormat="1" ht="12" customHeight="1">
      <c r="A88" s="221"/>
      <c r="B88" s="254" t="s">
        <v>109</v>
      </c>
      <c r="C88" s="255"/>
      <c r="D88" s="396" t="s">
        <v>110</v>
      </c>
      <c r="E88" s="397"/>
      <c r="F88" s="398"/>
      <c r="G88" s="399"/>
      <c r="H88" s="399"/>
      <c r="I88" s="399"/>
      <c r="J88" s="399"/>
      <c r="K88" s="399"/>
      <c r="L88" s="399"/>
      <c r="M88" s="400"/>
      <c r="N88" s="396" t="s">
        <v>111</v>
      </c>
      <c r="O88" s="397"/>
      <c r="P88" s="399"/>
      <c r="Q88" s="399"/>
      <c r="R88" s="399"/>
      <c r="S88" s="399"/>
      <c r="T88" s="399"/>
      <c r="U88" s="399"/>
      <c r="V88" s="399"/>
      <c r="W88" s="400"/>
      <c r="X88" s="221"/>
      <c r="Y88" s="413"/>
      <c r="Z88" s="413"/>
      <c r="AA88" s="413"/>
      <c r="AB88" s="413"/>
      <c r="AC88" s="413"/>
      <c r="AD88" s="414"/>
      <c r="AE88" s="414"/>
      <c r="AF88" s="414"/>
      <c r="AG88" s="414"/>
      <c r="AH88" s="414"/>
      <c r="AI88" s="299"/>
      <c r="AJ88" s="300"/>
      <c r="AK88" s="301"/>
    </row>
    <row r="89" spans="1:66">
      <c r="A89" s="401" t="s">
        <v>112</v>
      </c>
      <c r="B89" s="401"/>
      <c r="C89" s="401"/>
      <c r="D89" s="401"/>
      <c r="E89" s="401"/>
      <c r="F89" s="401"/>
      <c r="G89" s="401"/>
      <c r="H89" s="401"/>
      <c r="I89" s="401"/>
      <c r="J89" s="401"/>
      <c r="K89" s="401"/>
      <c r="L89" s="401"/>
      <c r="M89" s="401"/>
      <c r="N89" s="401"/>
      <c r="O89" s="401"/>
      <c r="P89" s="401"/>
      <c r="Q89" s="401"/>
      <c r="R89" s="401"/>
      <c r="S89" s="401"/>
      <c r="T89" s="401"/>
      <c r="U89" s="401"/>
      <c r="V89" s="401"/>
      <c r="W89" s="401"/>
      <c r="X89" s="401"/>
      <c r="Y89" s="401"/>
      <c r="Z89" s="401"/>
      <c r="AA89" s="401"/>
      <c r="AB89" s="401"/>
      <c r="AC89" s="401"/>
      <c r="AD89" s="401"/>
      <c r="AE89" s="401"/>
      <c r="AF89" s="401"/>
      <c r="AG89" s="401"/>
      <c r="AH89" s="401"/>
    </row>
  </sheetData>
  <sheetProtection algorithmName="SHA-512" hashValue="uQLTqOEB8ltyQTRb4gECso5ny5MuQDH5pD1hbIQ09hs0AxG8IzC0l9lyQD2YMRrrthubZ97qdln32XoStMfxgA==" saltValue="6cV2sXvjEB4xRgRTKZ6CiQ==" spinCount="100000" sheet="1" objects="1" scenarios="1"/>
  <mergeCells count="115">
    <mergeCell ref="A89:AH89"/>
    <mergeCell ref="A6:A7"/>
    <mergeCell ref="B6:B7"/>
    <mergeCell ref="AD6:AD7"/>
    <mergeCell ref="AE6:AE7"/>
    <mergeCell ref="AF6:AF7"/>
    <mergeCell ref="AG6:AG7"/>
    <mergeCell ref="AH6:AH7"/>
    <mergeCell ref="Y86:AC88"/>
    <mergeCell ref="AD86:AH88"/>
    <mergeCell ref="Y84:AB85"/>
    <mergeCell ref="AC84:AH85"/>
    <mergeCell ref="AB82:AH83"/>
    <mergeCell ref="Y82:AA83"/>
    <mergeCell ref="A66:B71"/>
    <mergeCell ref="D86:E86"/>
    <mergeCell ref="F86:M86"/>
    <mergeCell ref="N86:O86"/>
    <mergeCell ref="P86:W86"/>
    <mergeCell ref="D87:E87"/>
    <mergeCell ref="F87:M87"/>
    <mergeCell ref="N87:O87"/>
    <mergeCell ref="P87:W87"/>
    <mergeCell ref="D88:E88"/>
    <mergeCell ref="F88:M88"/>
    <mergeCell ref="N88:O88"/>
    <mergeCell ref="P88:W88"/>
    <mergeCell ref="D83:E83"/>
    <mergeCell ref="F83:M83"/>
    <mergeCell ref="N83:O83"/>
    <mergeCell ref="P83:W83"/>
    <mergeCell ref="D84:E84"/>
    <mergeCell ref="F84:M84"/>
    <mergeCell ref="N84:O84"/>
    <mergeCell ref="P84:W84"/>
    <mergeCell ref="D85:E85"/>
    <mergeCell ref="F85:M85"/>
    <mergeCell ref="N85:O85"/>
    <mergeCell ref="P85:W85"/>
    <mergeCell ref="D81:E81"/>
    <mergeCell ref="F81:M81"/>
    <mergeCell ref="N81:O81"/>
    <mergeCell ref="P81:W81"/>
    <mergeCell ref="AA81:AH81"/>
    <mergeCell ref="D82:E82"/>
    <mergeCell ref="F82:M82"/>
    <mergeCell ref="N82:O82"/>
    <mergeCell ref="P82:W82"/>
    <mergeCell ref="Z75:AH75"/>
    <mergeCell ref="AA76:AH76"/>
    <mergeCell ref="AA77:AH77"/>
    <mergeCell ref="AA78:AH78"/>
    <mergeCell ref="C79:W79"/>
    <mergeCell ref="AA79:AH79"/>
    <mergeCell ref="B80:C80"/>
    <mergeCell ref="D80:M80"/>
    <mergeCell ref="N80:W80"/>
    <mergeCell ref="AA80:AH80"/>
    <mergeCell ref="Y65:AC65"/>
    <mergeCell ref="AF65:AH65"/>
    <mergeCell ref="AF66:AH66"/>
    <mergeCell ref="AF67:AH67"/>
    <mergeCell ref="AF68:AH68"/>
    <mergeCell ref="AF69:AH69"/>
    <mergeCell ref="AF70:AH70"/>
    <mergeCell ref="A72:C72"/>
    <mergeCell ref="Z74:AD74"/>
    <mergeCell ref="AE74:AH74"/>
    <mergeCell ref="AF63:AH63"/>
    <mergeCell ref="A64:C64"/>
    <mergeCell ref="D64:E64"/>
    <mergeCell ref="F64:G64"/>
    <mergeCell ref="H64:I64"/>
    <mergeCell ref="J64:K64"/>
    <mergeCell ref="L64:M64"/>
    <mergeCell ref="N64:O64"/>
    <mergeCell ref="P64:Q64"/>
    <mergeCell ref="S64:T64"/>
    <mergeCell ref="V64:W64"/>
    <mergeCell ref="Y64:AC64"/>
    <mergeCell ref="AF64:AH64"/>
    <mergeCell ref="Y6:AC6"/>
    <mergeCell ref="A63:C63"/>
    <mergeCell ref="D63:E63"/>
    <mergeCell ref="F63:G63"/>
    <mergeCell ref="H63:I63"/>
    <mergeCell ref="J63:K63"/>
    <mergeCell ref="L63:M63"/>
    <mergeCell ref="N63:O63"/>
    <mergeCell ref="P63:Q63"/>
    <mergeCell ref="S63:T63"/>
    <mergeCell ref="V63:W63"/>
    <mergeCell ref="Y63:AC63"/>
    <mergeCell ref="D6:E6"/>
    <mergeCell ref="F6:G6"/>
    <mergeCell ref="H6:I6"/>
    <mergeCell ref="J6:K6"/>
    <mergeCell ref="L6:M6"/>
    <mergeCell ref="N6:O6"/>
    <mergeCell ref="P6:R6"/>
    <mergeCell ref="S6:U6"/>
    <mergeCell ref="V6:X6"/>
    <mergeCell ref="A3:AH3"/>
    <mergeCell ref="A4:C4"/>
    <mergeCell ref="D4:R4"/>
    <mergeCell ref="S4:V4"/>
    <mergeCell ref="W4:AB4"/>
    <mergeCell ref="AC4:AF4"/>
    <mergeCell ref="AG4:AH4"/>
    <mergeCell ref="A5:C5"/>
    <mergeCell ref="D5:I5"/>
    <mergeCell ref="J5:M5"/>
    <mergeCell ref="N5:R5"/>
    <mergeCell ref="S5:V5"/>
    <mergeCell ref="W5:AH5"/>
  </mergeCells>
  <conditionalFormatting sqref="B8:B62">
    <cfRule type="expression" dxfId="509" priority="1">
      <formula>$AE8="F"</formula>
    </cfRule>
    <cfRule type="expression" dxfId="508" priority="2">
      <formula>$AE8="R2"</formula>
    </cfRule>
    <cfRule type="expression" dxfId="507" priority="3">
      <formula>$AE8="R1"</formula>
    </cfRule>
    <cfRule type="expression" dxfId="506" priority="4">
      <formula>$AE8="Q2"</formula>
    </cfRule>
    <cfRule type="expression" dxfId="505" priority="5">
      <formula>$AE8="Q1"</formula>
    </cfRule>
    <cfRule type="expression" dxfId="504" priority="21">
      <formula>$AE$8="P"</formula>
    </cfRule>
  </conditionalFormatting>
  <conditionalFormatting sqref="D8:D62">
    <cfRule type="cellIs" dxfId="503" priority="64" operator="between">
      <formula>10</formula>
      <formula>19</formula>
    </cfRule>
    <cfRule type="cellIs" dxfId="502" priority="63" operator="between">
      <formula>20</formula>
      <formula>29</formula>
    </cfRule>
    <cfRule type="cellIs" dxfId="501" priority="62" operator="between">
      <formula>30</formula>
      <formula>39</formula>
    </cfRule>
    <cfRule type="cellIs" dxfId="500" priority="66" operator="between">
      <formula>0</formula>
      <formula>9</formula>
    </cfRule>
    <cfRule type="containsBlanks" dxfId="499" priority="65">
      <formula>LEN(TRIM(D8))=0</formula>
    </cfRule>
  </conditionalFormatting>
  <conditionalFormatting sqref="F8:F62">
    <cfRule type="cellIs" dxfId="498" priority="16" operator="between">
      <formula>30</formula>
      <formula>39</formula>
    </cfRule>
    <cfRule type="cellIs" dxfId="497" priority="17" operator="between">
      <formula>20</formula>
      <formula>29</formula>
    </cfRule>
    <cfRule type="cellIs" dxfId="496" priority="18" operator="between">
      <formula>10</formula>
      <formula>19</formula>
    </cfRule>
    <cfRule type="containsBlanks" dxfId="495" priority="19">
      <formula>LEN(TRIM(F8))=0</formula>
    </cfRule>
    <cfRule type="cellIs" dxfId="494" priority="20" operator="between">
      <formula>0</formula>
      <formula>9</formula>
    </cfRule>
  </conditionalFormatting>
  <conditionalFormatting sqref="H8:H62">
    <cfRule type="cellIs" dxfId="493" priority="13" operator="between">
      <formula>10</formula>
      <formula>19</formula>
    </cfRule>
    <cfRule type="cellIs" dxfId="492" priority="11" operator="between">
      <formula>30</formula>
      <formula>39</formula>
    </cfRule>
    <cfRule type="cellIs" dxfId="491" priority="12" operator="between">
      <formula>20</formula>
      <formula>29</formula>
    </cfRule>
    <cfRule type="containsBlanks" dxfId="490" priority="14">
      <formula>LEN(TRIM(H8))=0</formula>
    </cfRule>
    <cfRule type="cellIs" dxfId="489" priority="15" operator="between">
      <formula>0</formula>
      <formula>9</formula>
    </cfRule>
  </conditionalFormatting>
  <conditionalFormatting sqref="J8:J62">
    <cfRule type="cellIs" dxfId="488" priority="6" operator="between">
      <formula>30</formula>
      <formula>39</formula>
    </cfRule>
    <cfRule type="cellIs" dxfId="487" priority="8" operator="between">
      <formula>10</formula>
      <formula>19</formula>
    </cfRule>
    <cfRule type="containsBlanks" dxfId="486" priority="9">
      <formula>LEN(TRIM(J8))=0</formula>
    </cfRule>
    <cfRule type="cellIs" dxfId="485" priority="10" operator="between">
      <formula>0</formula>
      <formula>9</formula>
    </cfRule>
    <cfRule type="cellIs" dxfId="484" priority="7" operator="between">
      <formula>20</formula>
      <formula>29</formula>
    </cfRule>
  </conditionalFormatting>
  <conditionalFormatting sqref="L8:L62">
    <cfRule type="cellIs" dxfId="483" priority="42" operator="between">
      <formula>30</formula>
      <formula>39</formula>
    </cfRule>
    <cfRule type="cellIs" dxfId="482" priority="43" operator="between">
      <formula>20</formula>
      <formula>29</formula>
    </cfRule>
    <cfRule type="cellIs" dxfId="481" priority="44" operator="between">
      <formula>10</formula>
      <formula>19</formula>
    </cfRule>
    <cfRule type="cellIs" dxfId="480" priority="46" operator="between">
      <formula>0</formula>
      <formula>9</formula>
    </cfRule>
    <cfRule type="containsBlanks" dxfId="479" priority="45">
      <formula>LEN(TRIM(L8))=0</formula>
    </cfRule>
  </conditionalFormatting>
  <conditionalFormatting sqref="N8:N62">
    <cfRule type="cellIs" dxfId="478" priority="37" operator="between">
      <formula>30</formula>
      <formula>39</formula>
    </cfRule>
    <cfRule type="cellIs" dxfId="477" priority="38" operator="between">
      <formula>20</formula>
      <formula>29</formula>
    </cfRule>
    <cfRule type="containsBlanks" dxfId="476" priority="40">
      <formula>LEN(TRIM(N8))=0</formula>
    </cfRule>
    <cfRule type="cellIs" dxfId="475" priority="41" operator="between">
      <formula>0</formula>
      <formula>9</formula>
    </cfRule>
    <cfRule type="cellIs" dxfId="474" priority="39" operator="between">
      <formula>10</formula>
      <formula>19</formula>
    </cfRule>
  </conditionalFormatting>
  <conditionalFormatting sqref="P8:P62">
    <cfRule type="cellIs" dxfId="473" priority="33" operator="between">
      <formula>20</formula>
      <formula>29</formula>
    </cfRule>
    <cfRule type="cellIs" dxfId="472" priority="34" operator="between">
      <formula>10</formula>
      <formula>19</formula>
    </cfRule>
    <cfRule type="containsBlanks" dxfId="471" priority="35">
      <formula>LEN(TRIM(P8))=0</formula>
    </cfRule>
    <cfRule type="cellIs" dxfId="470" priority="36" operator="between">
      <formula>0</formula>
      <formula>9</formula>
    </cfRule>
    <cfRule type="cellIs" dxfId="469" priority="32" operator="between">
      <formula>30</formula>
      <formula>39</formula>
    </cfRule>
  </conditionalFormatting>
  <conditionalFormatting sqref="S8:S62">
    <cfRule type="cellIs" dxfId="468" priority="26" operator="between">
      <formula>0</formula>
      <formula>9</formula>
    </cfRule>
    <cfRule type="containsBlanks" dxfId="467" priority="25">
      <formula>LEN(TRIM(S8))=0</formula>
    </cfRule>
    <cfRule type="cellIs" dxfId="466" priority="24" operator="between">
      <formula>10</formula>
      <formula>19</formula>
    </cfRule>
    <cfRule type="cellIs" dxfId="465" priority="23" operator="between">
      <formula>20</formula>
      <formula>29</formula>
    </cfRule>
    <cfRule type="cellIs" dxfId="464" priority="22" operator="between">
      <formula>30</formula>
      <formula>39</formula>
    </cfRule>
  </conditionalFormatting>
  <conditionalFormatting sqref="V8:V62">
    <cfRule type="cellIs" dxfId="463" priority="27" operator="between">
      <formula>30</formula>
      <formula>39</formula>
    </cfRule>
    <cfRule type="cellIs" dxfId="462" priority="28" operator="between">
      <formula>20</formula>
      <formula>29</formula>
    </cfRule>
    <cfRule type="cellIs" dxfId="461" priority="29" operator="between">
      <formula>10</formula>
      <formula>19</formula>
    </cfRule>
    <cfRule type="containsBlanks" dxfId="460" priority="30">
      <formula>LEN(TRIM(V8))=0</formula>
    </cfRule>
    <cfRule type="cellIs" dxfId="459" priority="31" operator="between">
      <formula>0</formula>
      <formula>9</formula>
    </cfRule>
  </conditionalFormatting>
  <dataValidations count="9">
    <dataValidation type="custom" allowBlank="1" showInputMessage="1" showErrorMessage="1" sqref="AK6" xr:uid="{00000000-0002-0000-0000-000000000000}">
      <formula1>EXACT(AK6,LOWER(AK10))</formula1>
    </dataValidation>
    <dataValidation type="custom" allowBlank="1" showInputMessage="1" showErrorMessage="1" sqref="AI74" xr:uid="{00000000-0002-0000-0000-000001000000}">
      <formula1>OR(AND(AI74&gt;=0,AI74&lt;=100),AI74="ab")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8:D10 F8:F10 H8:H10 J8:J10 L8:L10 N8:N10 P8:P10 S8:S10 V8:V10" xr:uid="{00000000-0002-0000-0000-000002000000}">
      <formula1>OR(AND(D8:D62&gt;=0,D8:D62&lt;=100),D8:D62="ab")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11:D23 F11:F23 H11:H23 J11:J23 L11:L23 N11:N23 P11:P23 S11:S23 V11:V23" xr:uid="{00000000-0002-0000-0000-000003000000}">
      <formula1>OR(AND(D11:D66&gt;=0,D11:D66&lt;=100),D11:D66="ab")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24:D53 F24:F53 H24:H53 J24:J53 L24:L53 N24:N53 P24:P53 S24:S53 V24:V53" xr:uid="{00000000-0002-0000-0000-000004000000}">
      <formula1>OR(AND(D24:D83&gt;=0,D24:D83&lt;=100),D24:D83="ab")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54:D62 F54:F62 H54:H62 J54:J62 L54:L62 N54:N62 P54:P62 S54:S62 V54:V62" xr:uid="{00000000-0002-0000-0000-000005000000}">
      <formula1>OR(AND(D54:D114&gt;=0,D54:D114&lt;=100),D54:D114="ab")</formula1>
    </dataValidation>
    <dataValidation type="list" allowBlank="1" showInputMessage="1" showErrorMessage="1" sqref="R8:R62" xr:uid="{00000000-0002-0000-0000-000006000000}">
      <formula1>$B$81:$B$88</formula1>
    </dataValidation>
    <dataValidation type="list" allowBlank="1" showInputMessage="1" showErrorMessage="1" sqref="U8:U62" xr:uid="{00000000-0002-0000-0000-000007000000}">
      <formula1>$D$81:$D$88</formula1>
    </dataValidation>
    <dataValidation type="list" allowBlank="1" showInputMessage="1" showErrorMessage="1" sqref="X8:X62" xr:uid="{00000000-0002-0000-0000-000008000000}">
      <formula1>$N$81:$N$88</formula1>
    </dataValidation>
  </dataValidations>
  <pageMargins left="0.196850393700787" right="0.196850393700787" top="0.23622047244094499" bottom="0" header="0.31496062992126" footer="0.31496062992126"/>
  <pageSetup paperSize="8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N89"/>
  <sheetViews>
    <sheetView topLeftCell="A61" workbookViewId="0">
      <selection activeCell="I62" sqref="I62"/>
    </sheetView>
  </sheetViews>
  <sheetFormatPr defaultColWidth="9.109375" defaultRowHeight="13.8"/>
  <cols>
    <col min="1" max="1" width="3.33203125" style="168" customWidth="1"/>
    <col min="2" max="2" width="5.88671875" style="168" customWidth="1"/>
    <col min="3" max="3" width="25.33203125" style="168" customWidth="1"/>
    <col min="4" max="4" width="3.6640625" style="168" customWidth="1"/>
    <col min="5" max="5" width="3" style="168" customWidth="1"/>
    <col min="6" max="6" width="3.6640625" style="168" customWidth="1"/>
    <col min="7" max="7" width="3" style="168" customWidth="1"/>
    <col min="8" max="8" width="3.6640625" style="168" customWidth="1"/>
    <col min="9" max="9" width="3" style="168" customWidth="1"/>
    <col min="10" max="10" width="3.6640625" style="168" customWidth="1"/>
    <col min="11" max="11" width="3" style="168" customWidth="1"/>
    <col min="12" max="12" width="3.6640625" style="168" customWidth="1"/>
    <col min="13" max="13" width="3" style="168" customWidth="1"/>
    <col min="14" max="14" width="3.6640625" style="168" customWidth="1"/>
    <col min="15" max="15" width="3" style="168" customWidth="1"/>
    <col min="16" max="16" width="3.6640625" style="168" customWidth="1"/>
    <col min="17" max="17" width="3" style="168" customWidth="1"/>
    <col min="18" max="18" width="3.33203125" style="168" customWidth="1"/>
    <col min="19" max="19" width="3.6640625" style="168" customWidth="1"/>
    <col min="20" max="20" width="3" style="168" customWidth="1"/>
    <col min="21" max="21" width="3.33203125" style="168" customWidth="1"/>
    <col min="22" max="22" width="3.6640625" style="168" customWidth="1"/>
    <col min="23" max="23" width="3" style="168" customWidth="1"/>
    <col min="24" max="24" width="3.33203125" style="168" customWidth="1"/>
    <col min="25" max="29" width="3.5546875" style="169" customWidth="1"/>
    <col min="30" max="30" width="3" style="170" customWidth="1"/>
    <col min="31" max="31" width="3.5546875" style="170" customWidth="1"/>
    <col min="32" max="32" width="4.88671875" style="171" customWidth="1"/>
    <col min="33" max="33" width="5.88671875" style="171" customWidth="1"/>
    <col min="34" max="34" width="3.88671875" style="169" customWidth="1"/>
    <col min="35" max="16384" width="9.109375" style="168"/>
  </cols>
  <sheetData>
    <row r="2" spans="1:34" ht="7.5" customHeight="1"/>
    <row r="3" spans="1:34" ht="19.5" customHeight="1">
      <c r="A3" s="308" t="s">
        <v>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</row>
    <row r="4" spans="1:34" s="166" customFormat="1" ht="15.75" customHeight="1">
      <c r="A4" s="310" t="s">
        <v>1</v>
      </c>
      <c r="B4" s="310"/>
      <c r="C4" s="310"/>
      <c r="D4" s="311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3" t="s">
        <v>2</v>
      </c>
      <c r="T4" s="314"/>
      <c r="U4" s="314"/>
      <c r="V4" s="315"/>
      <c r="W4" s="316"/>
      <c r="X4" s="317"/>
      <c r="Y4" s="317"/>
      <c r="Z4" s="317"/>
      <c r="AA4" s="317"/>
      <c r="AB4" s="318"/>
      <c r="AC4" s="319" t="s">
        <v>3</v>
      </c>
      <c r="AD4" s="320"/>
      <c r="AE4" s="321"/>
      <c r="AF4" s="321"/>
      <c r="AG4" s="316"/>
      <c r="AH4" s="318"/>
    </row>
    <row r="5" spans="1:34" s="166" customFormat="1" ht="15.75" customHeight="1">
      <c r="A5" s="310" t="s">
        <v>4</v>
      </c>
      <c r="B5" s="310"/>
      <c r="C5" s="310"/>
      <c r="D5" s="322"/>
      <c r="E5" s="322"/>
      <c r="F5" s="322"/>
      <c r="G5" s="322"/>
      <c r="H5" s="322"/>
      <c r="I5" s="322"/>
      <c r="J5" s="323" t="s">
        <v>5</v>
      </c>
      <c r="K5" s="323"/>
      <c r="L5" s="323"/>
      <c r="M5" s="323"/>
      <c r="N5" s="311"/>
      <c r="O5" s="312"/>
      <c r="P5" s="312"/>
      <c r="Q5" s="312"/>
      <c r="R5" s="312"/>
      <c r="S5" s="324" t="s">
        <v>6</v>
      </c>
      <c r="T5" s="325"/>
      <c r="U5" s="325"/>
      <c r="V5" s="326"/>
      <c r="W5" s="327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9"/>
    </row>
    <row r="6" spans="1:34" ht="76.5" customHeight="1">
      <c r="A6" s="402"/>
      <c r="B6" s="404" t="s">
        <v>7</v>
      </c>
      <c r="C6" s="172" t="s">
        <v>8</v>
      </c>
      <c r="D6" s="330" t="s">
        <v>9</v>
      </c>
      <c r="E6" s="331"/>
      <c r="F6" s="330" t="s">
        <v>10</v>
      </c>
      <c r="G6" s="331"/>
      <c r="H6" s="332" t="s">
        <v>11</v>
      </c>
      <c r="I6" s="333"/>
      <c r="J6" s="330" t="s">
        <v>12</v>
      </c>
      <c r="K6" s="331"/>
      <c r="L6" s="330" t="s">
        <v>13</v>
      </c>
      <c r="M6" s="331"/>
      <c r="N6" s="330" t="s">
        <v>14</v>
      </c>
      <c r="O6" s="334"/>
      <c r="P6" s="335" t="s">
        <v>15</v>
      </c>
      <c r="Q6" s="336"/>
      <c r="R6" s="337"/>
      <c r="S6" s="332" t="s">
        <v>16</v>
      </c>
      <c r="T6" s="338"/>
      <c r="U6" s="333"/>
      <c r="V6" s="332" t="s">
        <v>17</v>
      </c>
      <c r="W6" s="338"/>
      <c r="X6" s="333"/>
      <c r="Y6" s="339" t="s">
        <v>18</v>
      </c>
      <c r="Z6" s="340"/>
      <c r="AA6" s="340"/>
      <c r="AB6" s="340"/>
      <c r="AC6" s="341"/>
      <c r="AD6" s="406" t="s">
        <v>19</v>
      </c>
      <c r="AE6" s="408" t="s">
        <v>20</v>
      </c>
      <c r="AF6" s="332" t="s">
        <v>21</v>
      </c>
      <c r="AG6" s="338" t="s">
        <v>22</v>
      </c>
      <c r="AH6" s="333" t="s">
        <v>23</v>
      </c>
    </row>
    <row r="7" spans="1:34" ht="18" customHeight="1">
      <c r="A7" s="403"/>
      <c r="B7" s="405"/>
      <c r="C7" s="173" t="s">
        <v>24</v>
      </c>
      <c r="D7" s="174" t="s">
        <v>25</v>
      </c>
      <c r="E7" s="175" t="s">
        <v>26</v>
      </c>
      <c r="F7" s="174" t="s">
        <v>25</v>
      </c>
      <c r="G7" s="175" t="s">
        <v>26</v>
      </c>
      <c r="H7" s="174" t="s">
        <v>25</v>
      </c>
      <c r="I7" s="175" t="s">
        <v>26</v>
      </c>
      <c r="J7" s="174" t="s">
        <v>25</v>
      </c>
      <c r="K7" s="175" t="s">
        <v>26</v>
      </c>
      <c r="L7" s="174" t="s">
        <v>25</v>
      </c>
      <c r="M7" s="175" t="s">
        <v>26</v>
      </c>
      <c r="N7" s="174" t="s">
        <v>25</v>
      </c>
      <c r="O7" s="183" t="s">
        <v>26</v>
      </c>
      <c r="P7" s="174" t="s">
        <v>25</v>
      </c>
      <c r="Q7" s="186" t="s">
        <v>26</v>
      </c>
      <c r="R7" s="187" t="s">
        <v>27</v>
      </c>
      <c r="S7" s="174" t="s">
        <v>25</v>
      </c>
      <c r="T7" s="186" t="s">
        <v>26</v>
      </c>
      <c r="U7" s="188" t="s">
        <v>27</v>
      </c>
      <c r="V7" s="174" t="s">
        <v>25</v>
      </c>
      <c r="W7" s="186" t="s">
        <v>26</v>
      </c>
      <c r="X7" s="188" t="s">
        <v>27</v>
      </c>
      <c r="Y7" s="202" t="s">
        <v>28</v>
      </c>
      <c r="Z7" s="203" t="s">
        <v>29</v>
      </c>
      <c r="AA7" s="203" t="s">
        <v>30</v>
      </c>
      <c r="AB7" s="203" t="s">
        <v>31</v>
      </c>
      <c r="AC7" s="204" t="s">
        <v>32</v>
      </c>
      <c r="AD7" s="407"/>
      <c r="AE7" s="409"/>
      <c r="AF7" s="410"/>
      <c r="AG7" s="411"/>
      <c r="AH7" s="412"/>
    </row>
    <row r="8" spans="1:34" s="167" customFormat="1" ht="12.75" customHeight="1">
      <c r="A8" s="176">
        <v>1</v>
      </c>
      <c r="B8" s="177"/>
      <c r="C8" s="178"/>
      <c r="D8" s="179"/>
      <c r="E8" s="180" t="str">
        <f>IF(D8="","",IF(D8="ab","ab",IF(D8&gt;=75,"A",(IF(D8&gt;=65,"B",IF(D8&gt;=50,"C",IF(D8&gt;=40,"S","W")))))))</f>
        <v/>
      </c>
      <c r="F8" s="179"/>
      <c r="G8" s="180" t="str">
        <f>IF(F8="","",IF(F8="ab","ab",IF(F8&gt;=75,"A",(IF(F8&gt;=65,"B",IF(F8&gt;=50,"C",IF(F8&gt;=40,"S","W")))))))</f>
        <v/>
      </c>
      <c r="H8" s="179"/>
      <c r="I8" s="180" t="str">
        <f>IF(H8="","",IF(H8="ab","ab",IF(H8&gt;=75,"A",(IF(H8&gt;=65,"B",IF(H8&gt;=50,"C",IF(H8&gt;=40,"S","W")))))))</f>
        <v/>
      </c>
      <c r="J8" s="179"/>
      <c r="K8" s="180" t="str">
        <f>IF(J8="","",IF(J8="ab","ab",IF(J8&gt;=75,"A",(IF(J8&gt;=65,"B",IF(J8&gt;=50,"C",IF(J8&gt;=40,"S","W")))))))</f>
        <v/>
      </c>
      <c r="L8" s="179"/>
      <c r="M8" s="180" t="str">
        <f>IF(L8="","",IF(L8="ab","ab",IF(L8&gt;=75,"A",(IF(L8&gt;=65,"B",IF(L8&gt;=50,"C",IF(L8&gt;=40,"S","W")))))))</f>
        <v/>
      </c>
      <c r="N8" s="179"/>
      <c r="O8" s="184" t="str">
        <f>IF(N8="","",IF(N8="ab","ab",IF(N8&gt;=75,"A",(IF(N8&gt;=65,"B",IF(N8&gt;=50,"C",IF(N8&gt;=40,"S","W")))))))</f>
        <v/>
      </c>
      <c r="P8" s="179"/>
      <c r="Q8" s="189" t="str">
        <f t="shared" ref="Q8:Q62" si="0">IF(P8="","",IF(P8="ab","ab",IF(P8&gt;=75,"A",(IF(P8&gt;=65,"B",IF(P8&gt;=50,"C",IF(P8&gt;=40,"S","W")))))))</f>
        <v/>
      </c>
      <c r="R8" s="190"/>
      <c r="S8" s="179"/>
      <c r="T8" s="189" t="str">
        <f>IF(S8="","",IF(S8="ab","ab",IF(S8&gt;=75,"A",(IF(S8&gt;=65,"B",IF(S8&gt;=50,"C",IF(S8&gt;=40,"S","W")))))))</f>
        <v/>
      </c>
      <c r="U8" s="190"/>
      <c r="V8" s="179"/>
      <c r="W8" s="189" t="str">
        <f>IF(V8="","",IF(V8="ab","ab",IF(V8&gt;=75,"A",(IF(V8&gt;=65,"B",IF(V8&gt;=50,"C",IF(V8&gt;=40,"S","W")))))))</f>
        <v/>
      </c>
      <c r="X8" s="191"/>
      <c r="Y8" s="205" t="str">
        <f t="shared" ref="Y8:Y62" si="1">IF(AND($D8="ab",$F8="ab",$H8="ab",$J8="ab",$L8="ab",$N8="ab",$P8="ab",$S8="ab",$V8="ab"),"-",IF(COUNT($D8:$W8)=0,"",(COUNTIF($D8:$W8,"A"))))</f>
        <v/>
      </c>
      <c r="Z8" s="206" t="str">
        <f t="shared" ref="Z8:Z62" si="2">IF(AND($D8="ab",$F8="ab",$H8="ab",$J8="ab",$L8="ab",$N8="ab",$P8="ab",$S8="ab",$V8="ab"),"-",IF(COUNT($D8:$W8)=0,"",(COUNTIF($D8:$W8,"B"))))</f>
        <v/>
      </c>
      <c r="AA8" s="206" t="str">
        <f t="shared" ref="AA8:AA62" si="3">IF(AND($D8="ab",$F8="ab",$H8="ab",$J8="ab",$L8="ab",$N8="ab",$P8="ab",$S8="ab",$V8="ab"),"-",IF(COUNT($D8:$W8)=0,"",(COUNTIF($D8:$W8,"C"))))</f>
        <v/>
      </c>
      <c r="AB8" s="206" t="str">
        <f t="shared" ref="AB8:AB62" si="4">IF(AND($D8="ab",$F8="ab",$H8="ab",$J8="ab",$L8="ab",$N8="ab",$P8="ab",$S8="ab",$V8="ab"),"-",IF(COUNT($D8:$W8)=0,"",(COUNTIF($D8:$W8,"S"))))</f>
        <v/>
      </c>
      <c r="AC8" s="207" t="str">
        <f t="shared" ref="AC8:AC62" si="5">IF(AND($D8="ab",$F8="ab",$H8="ab",$J8="ab",$L8="ab",$N8="ab",$P8="ab",$S8="ab",$V8="ab"),"-",IF(COUNT($D8:$W8)=0,"",(COUNTIF($D8:$W8,"W"))))</f>
        <v/>
      </c>
      <c r="AD8" s="208" t="str">
        <f t="shared" ref="AD8:AD62" si="6">IF(AND(D8="ab",F8="ab",H8="ab",J8="ab",L8="ab",N8="ab",P8="ab",S8="ab",V8="ab"),"ab",IF(AND(Y8="",Z8="",AA8="",AB8="",AC8=""),"",IF(AND((D8&gt;=40),(H8&gt;=40),(Y8+Z8+AA8+AB8)&gt;=6,(Y8+Z8+AA8)&gt;=3),"P","F")))</f>
        <v/>
      </c>
      <c r="AE8" s="209" t="str">
        <f>IF(AD8="","",IF(AD8="P","P",IF(AND(AD8="F",H8&gt;=40,D8&gt;=40,(Y8+Z8+AA8+AB8)&gt;=6,(Y8+Z8+AA8)=2),"Q1",IF(AND(AD8="F",(OR(H8&gt;=40,D8&gt;=40)),(Y8+Z8+AA8+AB8)&gt;=5,(Y8+Z8+AA8)&gt;=3),"Q2",IF((COUNTIF(D8:X8,"&gt;=40"))&gt;=5,"R1",IF((COUNTIF(D8:X8,"&gt;=20"))&gt;=5,"R2","F"))))))</f>
        <v/>
      </c>
      <c r="AF8" s="210" t="str">
        <f t="shared" ref="AF8:AF62" si="7">IF(AND(D8="",F8="",H8="",J8="",L8="",N8="",P8="",S8="",V8=""),"",IF(AND(D8="ab",F8="ab",H8="ab",J8="ab",L8="ab",N8="ab",P8="ab",S8="ab",V8="ab"),"ab",IF(COUNT(D8:W8)=0,"",(SUM(D8:V8)))))</f>
        <v/>
      </c>
      <c r="AG8" s="219" t="str">
        <f t="shared" ref="AG8:AG62" si="8">IF(AF8="","",IF(AF8="ab","ab",IF(AF8=0,0,(AVERAGE(D8:V8)))))</f>
        <v/>
      </c>
      <c r="AH8" s="207" t="str">
        <f t="shared" ref="AH8:AH62" si="9">IF(AF8="","",IF(AF8="ab","ab",(RANK(AF8,$AF$8:$AF$62))))</f>
        <v/>
      </c>
    </row>
    <row r="9" spans="1:34" s="167" customFormat="1" ht="12.75" customHeight="1">
      <c r="A9" s="181">
        <v>2</v>
      </c>
      <c r="B9" s="177"/>
      <c r="C9" s="182"/>
      <c r="D9" s="179"/>
      <c r="E9" s="180" t="str">
        <f t="shared" ref="E9:E62" si="10">IF(D9="","",IF(D9="ab","ab",IF(D9&gt;=75,"A",(IF(D9&gt;=65,"B",IF(D9&gt;=50,"C",IF(D9&gt;=40,"S","W")))))))</f>
        <v/>
      </c>
      <c r="F9" s="179"/>
      <c r="G9" s="180" t="str">
        <f t="shared" ref="G9:G62" si="11">IF(F9="","",IF(F9="ab","ab",IF(F9&gt;=75,"A",(IF(F9&gt;=65,"B",IF(F9&gt;=50,"C",IF(F9&gt;=40,"S","W")))))))</f>
        <v/>
      </c>
      <c r="H9" s="179"/>
      <c r="I9" s="180" t="str">
        <f t="shared" ref="I9:I62" si="12">IF(H9="","",IF(H9="ab","ab",IF(H9&gt;=75,"A",(IF(H9&gt;=65,"B",IF(H9&gt;=50,"C",IF(H9&gt;=40,"S","W")))))))</f>
        <v/>
      </c>
      <c r="J9" s="179"/>
      <c r="K9" s="180" t="str">
        <f t="shared" ref="K9:K62" si="13">IF(J9="","",IF(J9="ab","ab",IF(J9&gt;=75,"A",(IF(J9&gt;=65,"B",IF(J9&gt;=50,"C",IF(J9&gt;=40,"S","W")))))))</f>
        <v/>
      </c>
      <c r="L9" s="179"/>
      <c r="M9" s="180" t="str">
        <f t="shared" ref="M9:M62" si="14">IF(L9="","",IF(L9="ab","ab",IF(L9&gt;=75,"A",(IF(L9&gt;=65,"B",IF(L9&gt;=50,"C",IF(L9&gt;=40,"S","W")))))))</f>
        <v/>
      </c>
      <c r="N9" s="179"/>
      <c r="O9" s="180" t="str">
        <f t="shared" ref="O9:O62" si="15">IF(N9="","",IF(N9="ab","ab",IF(N9&gt;=75,"A",(IF(N9&gt;=65,"B",IF(N9&gt;=50,"C",IF(N9&gt;=40,"S","W")))))))</f>
        <v/>
      </c>
      <c r="P9" s="179"/>
      <c r="Q9" s="192" t="str">
        <f t="shared" si="0"/>
        <v/>
      </c>
      <c r="R9" s="193"/>
      <c r="S9" s="179"/>
      <c r="T9" s="192" t="str">
        <f t="shared" ref="T9:T62" si="16">IF(S9="","",IF(S9="ab","ab",IF(S9&gt;=75,"A",(IF(S9&gt;=65,"B",IF(S9&gt;=50,"C",IF(S9&gt;=40,"S","W")))))))</f>
        <v/>
      </c>
      <c r="U9" s="193"/>
      <c r="V9" s="179"/>
      <c r="W9" s="192" t="str">
        <f t="shared" ref="W9:W62" si="17">IF(V9="","",IF(V9="ab","ab",IF(V9&gt;=75,"A",(IF(V9&gt;=65,"B",IF(V9&gt;=50,"C",IF(V9&gt;=40,"S","W")))))))</f>
        <v/>
      </c>
      <c r="X9" s="194"/>
      <c r="Y9" s="205" t="str">
        <f t="shared" si="1"/>
        <v/>
      </c>
      <c r="Z9" s="206" t="str">
        <f t="shared" si="2"/>
        <v/>
      </c>
      <c r="AA9" s="206" t="str">
        <f t="shared" si="3"/>
        <v/>
      </c>
      <c r="AB9" s="206" t="str">
        <f t="shared" si="4"/>
        <v/>
      </c>
      <c r="AC9" s="207" t="str">
        <f t="shared" si="5"/>
        <v/>
      </c>
      <c r="AD9" s="208" t="str">
        <f t="shared" si="6"/>
        <v/>
      </c>
      <c r="AE9" s="209" t="str">
        <f t="shared" ref="AE9:AE62" si="18">IF(AD9="","",IF(AD9="P","P",IF(AND(AD9="F",H9&gt;=40,D9&gt;=40,(Y9+Z9+AA9+AB9)&gt;=6,(Y9+Z9+AA9)=2),"Q1",IF(AND(AD9="F",(OR(H9&gt;=40,D9&gt;=40)),(Y9+Z9+AA9+AB9)&gt;=5,(Y9+Z9+AA9)&gt;=3),"Q2",IF((COUNTIF(D9:X9,"&gt;=40"))&gt;=5,"R1",IF((COUNTIF(D9:X9,"&gt;=20"))&gt;=5,"R2","F"))))))</f>
        <v/>
      </c>
      <c r="AF9" s="210" t="str">
        <f t="shared" si="7"/>
        <v/>
      </c>
      <c r="AG9" s="219" t="str">
        <f t="shared" si="8"/>
        <v/>
      </c>
      <c r="AH9" s="207" t="str">
        <f t="shared" si="9"/>
        <v/>
      </c>
    </row>
    <row r="10" spans="1:34" s="167" customFormat="1" ht="12.75" customHeight="1">
      <c r="A10" s="181">
        <v>3</v>
      </c>
      <c r="B10" s="177"/>
      <c r="C10" s="182"/>
      <c r="D10" s="179"/>
      <c r="E10" s="180" t="str">
        <f t="shared" si="10"/>
        <v/>
      </c>
      <c r="F10" s="179"/>
      <c r="G10" s="180" t="str">
        <f t="shared" si="11"/>
        <v/>
      </c>
      <c r="H10" s="179"/>
      <c r="I10" s="180" t="str">
        <f t="shared" si="12"/>
        <v/>
      </c>
      <c r="J10" s="179"/>
      <c r="K10" s="180" t="str">
        <f t="shared" si="13"/>
        <v/>
      </c>
      <c r="L10" s="179"/>
      <c r="M10" s="180" t="str">
        <f t="shared" si="14"/>
        <v/>
      </c>
      <c r="N10" s="179"/>
      <c r="O10" s="180" t="str">
        <f t="shared" si="15"/>
        <v/>
      </c>
      <c r="P10" s="179"/>
      <c r="Q10" s="192" t="str">
        <f t="shared" si="0"/>
        <v/>
      </c>
      <c r="R10" s="193"/>
      <c r="S10" s="179"/>
      <c r="T10" s="192" t="str">
        <f t="shared" si="16"/>
        <v/>
      </c>
      <c r="U10" s="193"/>
      <c r="V10" s="179"/>
      <c r="W10" s="192" t="str">
        <f t="shared" si="17"/>
        <v/>
      </c>
      <c r="X10" s="194"/>
      <c r="Y10" s="205" t="str">
        <f t="shared" si="1"/>
        <v/>
      </c>
      <c r="Z10" s="206" t="str">
        <f t="shared" si="2"/>
        <v/>
      </c>
      <c r="AA10" s="206" t="str">
        <f t="shared" si="3"/>
        <v/>
      </c>
      <c r="AB10" s="206" t="str">
        <f t="shared" si="4"/>
        <v/>
      </c>
      <c r="AC10" s="207" t="str">
        <f t="shared" si="5"/>
        <v/>
      </c>
      <c r="AD10" s="208" t="str">
        <f t="shared" si="6"/>
        <v/>
      </c>
      <c r="AE10" s="209" t="str">
        <f t="shared" si="18"/>
        <v/>
      </c>
      <c r="AF10" s="210" t="str">
        <f t="shared" si="7"/>
        <v/>
      </c>
      <c r="AG10" s="219" t="str">
        <f t="shared" si="8"/>
        <v/>
      </c>
      <c r="AH10" s="207" t="str">
        <f t="shared" si="9"/>
        <v/>
      </c>
    </row>
    <row r="11" spans="1:34" s="167" customFormat="1" ht="12.75" customHeight="1">
      <c r="A11" s="181">
        <v>4</v>
      </c>
      <c r="B11" s="177"/>
      <c r="C11" s="182"/>
      <c r="D11" s="179"/>
      <c r="E11" s="180" t="str">
        <f t="shared" si="10"/>
        <v/>
      </c>
      <c r="F11" s="179"/>
      <c r="G11" s="180" t="str">
        <f t="shared" si="11"/>
        <v/>
      </c>
      <c r="H11" s="179"/>
      <c r="I11" s="180" t="str">
        <f t="shared" si="12"/>
        <v/>
      </c>
      <c r="J11" s="179"/>
      <c r="K11" s="180" t="str">
        <f t="shared" si="13"/>
        <v/>
      </c>
      <c r="L11" s="179"/>
      <c r="M11" s="180" t="str">
        <f t="shared" si="14"/>
        <v/>
      </c>
      <c r="N11" s="179"/>
      <c r="O11" s="180" t="str">
        <f t="shared" si="15"/>
        <v/>
      </c>
      <c r="P11" s="179"/>
      <c r="Q11" s="192" t="str">
        <f t="shared" si="0"/>
        <v/>
      </c>
      <c r="R11" s="193"/>
      <c r="S11" s="179"/>
      <c r="T11" s="192" t="str">
        <f t="shared" si="16"/>
        <v/>
      </c>
      <c r="U11" s="193"/>
      <c r="V11" s="179"/>
      <c r="W11" s="192" t="str">
        <f t="shared" si="17"/>
        <v/>
      </c>
      <c r="X11" s="194"/>
      <c r="Y11" s="205" t="str">
        <f t="shared" si="1"/>
        <v/>
      </c>
      <c r="Z11" s="206" t="str">
        <f t="shared" si="2"/>
        <v/>
      </c>
      <c r="AA11" s="206" t="str">
        <f t="shared" si="3"/>
        <v/>
      </c>
      <c r="AB11" s="206" t="str">
        <f t="shared" si="4"/>
        <v/>
      </c>
      <c r="AC11" s="207" t="str">
        <f t="shared" si="5"/>
        <v/>
      </c>
      <c r="AD11" s="208" t="str">
        <f t="shared" si="6"/>
        <v/>
      </c>
      <c r="AE11" s="209" t="str">
        <f t="shared" si="18"/>
        <v/>
      </c>
      <c r="AF11" s="210" t="str">
        <f t="shared" si="7"/>
        <v/>
      </c>
      <c r="AG11" s="219" t="str">
        <f t="shared" si="8"/>
        <v/>
      </c>
      <c r="AH11" s="207" t="str">
        <f t="shared" si="9"/>
        <v/>
      </c>
    </row>
    <row r="12" spans="1:34" s="167" customFormat="1" ht="12.75" customHeight="1">
      <c r="A12" s="181">
        <v>5</v>
      </c>
      <c r="B12" s="177"/>
      <c r="C12" s="182"/>
      <c r="D12" s="179"/>
      <c r="E12" s="180" t="str">
        <f t="shared" si="10"/>
        <v/>
      </c>
      <c r="F12" s="179"/>
      <c r="G12" s="180" t="str">
        <f t="shared" si="11"/>
        <v/>
      </c>
      <c r="H12" s="179"/>
      <c r="I12" s="180" t="str">
        <f t="shared" si="12"/>
        <v/>
      </c>
      <c r="J12" s="179"/>
      <c r="K12" s="180" t="str">
        <f t="shared" si="13"/>
        <v/>
      </c>
      <c r="L12" s="179"/>
      <c r="M12" s="180" t="str">
        <f t="shared" si="14"/>
        <v/>
      </c>
      <c r="N12" s="179"/>
      <c r="O12" s="180" t="str">
        <f t="shared" si="15"/>
        <v/>
      </c>
      <c r="P12" s="179"/>
      <c r="Q12" s="192" t="str">
        <f t="shared" si="0"/>
        <v/>
      </c>
      <c r="R12" s="193"/>
      <c r="S12" s="179"/>
      <c r="T12" s="192" t="str">
        <f t="shared" si="16"/>
        <v/>
      </c>
      <c r="U12" s="193"/>
      <c r="V12" s="179"/>
      <c r="W12" s="192" t="str">
        <f t="shared" si="17"/>
        <v/>
      </c>
      <c r="X12" s="194"/>
      <c r="Y12" s="205" t="str">
        <f t="shared" si="1"/>
        <v/>
      </c>
      <c r="Z12" s="206" t="str">
        <f t="shared" si="2"/>
        <v/>
      </c>
      <c r="AA12" s="206" t="str">
        <f t="shared" si="3"/>
        <v/>
      </c>
      <c r="AB12" s="206" t="str">
        <f t="shared" si="4"/>
        <v/>
      </c>
      <c r="AC12" s="207" t="str">
        <f t="shared" si="5"/>
        <v/>
      </c>
      <c r="AD12" s="208" t="str">
        <f t="shared" si="6"/>
        <v/>
      </c>
      <c r="AE12" s="209" t="str">
        <f t="shared" si="18"/>
        <v/>
      </c>
      <c r="AF12" s="210" t="str">
        <f t="shared" si="7"/>
        <v/>
      </c>
      <c r="AG12" s="219" t="str">
        <f t="shared" si="8"/>
        <v/>
      </c>
      <c r="AH12" s="207" t="str">
        <f t="shared" si="9"/>
        <v/>
      </c>
    </row>
    <row r="13" spans="1:34" s="167" customFormat="1" ht="12.75" customHeight="1">
      <c r="A13" s="181">
        <v>6</v>
      </c>
      <c r="B13" s="177"/>
      <c r="C13" s="182"/>
      <c r="D13" s="179"/>
      <c r="E13" s="180" t="str">
        <f t="shared" si="10"/>
        <v/>
      </c>
      <c r="F13" s="179"/>
      <c r="G13" s="180" t="str">
        <f t="shared" si="11"/>
        <v/>
      </c>
      <c r="H13" s="179"/>
      <c r="I13" s="180" t="str">
        <f t="shared" si="12"/>
        <v/>
      </c>
      <c r="J13" s="179"/>
      <c r="K13" s="180" t="str">
        <f t="shared" si="13"/>
        <v/>
      </c>
      <c r="L13" s="179"/>
      <c r="M13" s="180" t="str">
        <f t="shared" si="14"/>
        <v/>
      </c>
      <c r="N13" s="179"/>
      <c r="O13" s="180" t="str">
        <f t="shared" si="15"/>
        <v/>
      </c>
      <c r="P13" s="179"/>
      <c r="Q13" s="192" t="str">
        <f t="shared" si="0"/>
        <v/>
      </c>
      <c r="R13" s="193"/>
      <c r="S13" s="179"/>
      <c r="T13" s="192" t="str">
        <f t="shared" si="16"/>
        <v/>
      </c>
      <c r="U13" s="193"/>
      <c r="V13" s="179"/>
      <c r="W13" s="192" t="str">
        <f t="shared" si="17"/>
        <v/>
      </c>
      <c r="X13" s="194"/>
      <c r="Y13" s="205" t="str">
        <f t="shared" si="1"/>
        <v/>
      </c>
      <c r="Z13" s="206" t="str">
        <f t="shared" si="2"/>
        <v/>
      </c>
      <c r="AA13" s="206" t="str">
        <f t="shared" si="3"/>
        <v/>
      </c>
      <c r="AB13" s="206" t="str">
        <f t="shared" si="4"/>
        <v/>
      </c>
      <c r="AC13" s="207" t="str">
        <f t="shared" si="5"/>
        <v/>
      </c>
      <c r="AD13" s="208" t="str">
        <f t="shared" si="6"/>
        <v/>
      </c>
      <c r="AE13" s="209" t="str">
        <f t="shared" si="18"/>
        <v/>
      </c>
      <c r="AF13" s="210" t="str">
        <f t="shared" si="7"/>
        <v/>
      </c>
      <c r="AG13" s="219" t="str">
        <f t="shared" si="8"/>
        <v/>
      </c>
      <c r="AH13" s="207" t="str">
        <f t="shared" si="9"/>
        <v/>
      </c>
    </row>
    <row r="14" spans="1:34" s="167" customFormat="1" ht="12.75" customHeight="1">
      <c r="A14" s="181">
        <v>7</v>
      </c>
      <c r="B14" s="177"/>
      <c r="C14" s="182"/>
      <c r="D14" s="179"/>
      <c r="E14" s="180" t="str">
        <f t="shared" si="10"/>
        <v/>
      </c>
      <c r="F14" s="179"/>
      <c r="G14" s="180" t="str">
        <f t="shared" si="11"/>
        <v/>
      </c>
      <c r="H14" s="179"/>
      <c r="I14" s="180" t="str">
        <f t="shared" si="12"/>
        <v/>
      </c>
      <c r="J14" s="179"/>
      <c r="K14" s="180" t="str">
        <f t="shared" si="13"/>
        <v/>
      </c>
      <c r="L14" s="179"/>
      <c r="M14" s="180" t="str">
        <f t="shared" si="14"/>
        <v/>
      </c>
      <c r="N14" s="179"/>
      <c r="O14" s="180" t="str">
        <f t="shared" si="15"/>
        <v/>
      </c>
      <c r="P14" s="179"/>
      <c r="Q14" s="192" t="str">
        <f t="shared" si="0"/>
        <v/>
      </c>
      <c r="R14" s="193"/>
      <c r="S14" s="179"/>
      <c r="T14" s="192" t="str">
        <f t="shared" si="16"/>
        <v/>
      </c>
      <c r="U14" s="193"/>
      <c r="V14" s="179"/>
      <c r="W14" s="192" t="str">
        <f t="shared" si="17"/>
        <v/>
      </c>
      <c r="X14" s="194"/>
      <c r="Y14" s="205" t="str">
        <f t="shared" si="1"/>
        <v/>
      </c>
      <c r="Z14" s="206" t="str">
        <f t="shared" si="2"/>
        <v/>
      </c>
      <c r="AA14" s="206" t="str">
        <f t="shared" si="3"/>
        <v/>
      </c>
      <c r="AB14" s="206" t="str">
        <f t="shared" si="4"/>
        <v/>
      </c>
      <c r="AC14" s="207" t="str">
        <f t="shared" si="5"/>
        <v/>
      </c>
      <c r="AD14" s="208" t="str">
        <f t="shared" si="6"/>
        <v/>
      </c>
      <c r="AE14" s="209" t="str">
        <f t="shared" si="18"/>
        <v/>
      </c>
      <c r="AF14" s="210" t="str">
        <f t="shared" si="7"/>
        <v/>
      </c>
      <c r="AG14" s="219" t="str">
        <f t="shared" si="8"/>
        <v/>
      </c>
      <c r="AH14" s="207" t="str">
        <f t="shared" si="9"/>
        <v/>
      </c>
    </row>
    <row r="15" spans="1:34" s="167" customFormat="1" ht="12.75" customHeight="1">
      <c r="A15" s="181">
        <v>8</v>
      </c>
      <c r="B15" s="177"/>
      <c r="C15" s="182"/>
      <c r="D15" s="179"/>
      <c r="E15" s="180" t="str">
        <f t="shared" si="10"/>
        <v/>
      </c>
      <c r="F15" s="179"/>
      <c r="G15" s="180" t="str">
        <f t="shared" si="11"/>
        <v/>
      </c>
      <c r="H15" s="179"/>
      <c r="I15" s="180" t="str">
        <f t="shared" si="12"/>
        <v/>
      </c>
      <c r="J15" s="179"/>
      <c r="K15" s="180" t="str">
        <f t="shared" si="13"/>
        <v/>
      </c>
      <c r="L15" s="179"/>
      <c r="M15" s="180" t="str">
        <f t="shared" si="14"/>
        <v/>
      </c>
      <c r="N15" s="179"/>
      <c r="O15" s="180" t="str">
        <f t="shared" si="15"/>
        <v/>
      </c>
      <c r="P15" s="179"/>
      <c r="Q15" s="192" t="str">
        <f t="shared" si="0"/>
        <v/>
      </c>
      <c r="R15" s="193"/>
      <c r="S15" s="179"/>
      <c r="T15" s="192" t="str">
        <f t="shared" si="16"/>
        <v/>
      </c>
      <c r="U15" s="193"/>
      <c r="V15" s="179"/>
      <c r="W15" s="192" t="str">
        <f t="shared" si="17"/>
        <v/>
      </c>
      <c r="X15" s="194"/>
      <c r="Y15" s="205" t="str">
        <f t="shared" si="1"/>
        <v/>
      </c>
      <c r="Z15" s="206" t="str">
        <f t="shared" si="2"/>
        <v/>
      </c>
      <c r="AA15" s="206" t="str">
        <f t="shared" si="3"/>
        <v/>
      </c>
      <c r="AB15" s="206" t="str">
        <f t="shared" si="4"/>
        <v/>
      </c>
      <c r="AC15" s="207" t="str">
        <f t="shared" si="5"/>
        <v/>
      </c>
      <c r="AD15" s="208" t="str">
        <f t="shared" si="6"/>
        <v/>
      </c>
      <c r="AE15" s="209" t="str">
        <f t="shared" si="18"/>
        <v/>
      </c>
      <c r="AF15" s="210" t="str">
        <f t="shared" si="7"/>
        <v/>
      </c>
      <c r="AG15" s="219" t="str">
        <f t="shared" si="8"/>
        <v/>
      </c>
      <c r="AH15" s="207" t="str">
        <f t="shared" si="9"/>
        <v/>
      </c>
    </row>
    <row r="16" spans="1:34" s="167" customFormat="1" ht="12.75" customHeight="1">
      <c r="A16" s="181">
        <v>9</v>
      </c>
      <c r="B16" s="177"/>
      <c r="C16" s="182"/>
      <c r="D16" s="179"/>
      <c r="E16" s="180" t="str">
        <f t="shared" si="10"/>
        <v/>
      </c>
      <c r="F16" s="179"/>
      <c r="G16" s="180" t="str">
        <f t="shared" si="11"/>
        <v/>
      </c>
      <c r="H16" s="179"/>
      <c r="I16" s="180" t="str">
        <f t="shared" si="12"/>
        <v/>
      </c>
      <c r="J16" s="179"/>
      <c r="K16" s="180" t="str">
        <f t="shared" si="13"/>
        <v/>
      </c>
      <c r="L16" s="179"/>
      <c r="M16" s="180" t="str">
        <f t="shared" si="14"/>
        <v/>
      </c>
      <c r="N16" s="179"/>
      <c r="O16" s="180" t="str">
        <f t="shared" si="15"/>
        <v/>
      </c>
      <c r="P16" s="179"/>
      <c r="Q16" s="192" t="str">
        <f t="shared" si="0"/>
        <v/>
      </c>
      <c r="R16" s="193"/>
      <c r="S16" s="179"/>
      <c r="T16" s="192" t="str">
        <f t="shared" si="16"/>
        <v/>
      </c>
      <c r="U16" s="193"/>
      <c r="V16" s="179"/>
      <c r="W16" s="192" t="str">
        <f t="shared" si="17"/>
        <v/>
      </c>
      <c r="X16" s="194"/>
      <c r="Y16" s="205" t="str">
        <f t="shared" si="1"/>
        <v/>
      </c>
      <c r="Z16" s="206" t="str">
        <f t="shared" si="2"/>
        <v/>
      </c>
      <c r="AA16" s="206" t="str">
        <f t="shared" si="3"/>
        <v/>
      </c>
      <c r="AB16" s="206" t="str">
        <f t="shared" si="4"/>
        <v/>
      </c>
      <c r="AC16" s="207" t="str">
        <f t="shared" si="5"/>
        <v/>
      </c>
      <c r="AD16" s="208" t="str">
        <f t="shared" si="6"/>
        <v/>
      </c>
      <c r="AE16" s="209" t="str">
        <f t="shared" si="18"/>
        <v/>
      </c>
      <c r="AF16" s="210" t="str">
        <f t="shared" si="7"/>
        <v/>
      </c>
      <c r="AG16" s="219" t="str">
        <f t="shared" si="8"/>
        <v/>
      </c>
      <c r="AH16" s="207" t="str">
        <f t="shared" si="9"/>
        <v/>
      </c>
    </row>
    <row r="17" spans="1:34" s="167" customFormat="1" ht="12.75" customHeight="1">
      <c r="A17" s="181">
        <v>10</v>
      </c>
      <c r="B17" s="177"/>
      <c r="C17" s="182"/>
      <c r="D17" s="179"/>
      <c r="E17" s="180" t="str">
        <f t="shared" si="10"/>
        <v/>
      </c>
      <c r="F17" s="179"/>
      <c r="G17" s="180" t="str">
        <f t="shared" si="11"/>
        <v/>
      </c>
      <c r="H17" s="179"/>
      <c r="I17" s="180" t="str">
        <f t="shared" si="12"/>
        <v/>
      </c>
      <c r="J17" s="179"/>
      <c r="K17" s="180" t="str">
        <f t="shared" si="13"/>
        <v/>
      </c>
      <c r="L17" s="179"/>
      <c r="M17" s="180" t="str">
        <f t="shared" si="14"/>
        <v/>
      </c>
      <c r="N17" s="179"/>
      <c r="O17" s="180" t="str">
        <f t="shared" si="15"/>
        <v/>
      </c>
      <c r="P17" s="179"/>
      <c r="Q17" s="192" t="str">
        <f t="shared" si="0"/>
        <v/>
      </c>
      <c r="R17" s="193"/>
      <c r="S17" s="179"/>
      <c r="T17" s="192" t="str">
        <f t="shared" si="16"/>
        <v/>
      </c>
      <c r="U17" s="193"/>
      <c r="V17" s="179"/>
      <c r="W17" s="192" t="str">
        <f t="shared" si="17"/>
        <v/>
      </c>
      <c r="X17" s="194"/>
      <c r="Y17" s="205" t="str">
        <f t="shared" si="1"/>
        <v/>
      </c>
      <c r="Z17" s="206" t="str">
        <f t="shared" si="2"/>
        <v/>
      </c>
      <c r="AA17" s="206" t="str">
        <f t="shared" si="3"/>
        <v/>
      </c>
      <c r="AB17" s="206" t="str">
        <f t="shared" si="4"/>
        <v/>
      </c>
      <c r="AC17" s="207" t="str">
        <f t="shared" si="5"/>
        <v/>
      </c>
      <c r="AD17" s="208" t="str">
        <f t="shared" si="6"/>
        <v/>
      </c>
      <c r="AE17" s="209" t="str">
        <f t="shared" si="18"/>
        <v/>
      </c>
      <c r="AF17" s="210" t="str">
        <f t="shared" si="7"/>
        <v/>
      </c>
      <c r="AG17" s="219" t="str">
        <f t="shared" si="8"/>
        <v/>
      </c>
      <c r="AH17" s="207" t="str">
        <f t="shared" si="9"/>
        <v/>
      </c>
    </row>
    <row r="18" spans="1:34" s="167" customFormat="1" ht="12.75" customHeight="1">
      <c r="A18" s="181">
        <v>11</v>
      </c>
      <c r="B18" s="177"/>
      <c r="C18" s="182"/>
      <c r="D18" s="179"/>
      <c r="E18" s="180" t="str">
        <f t="shared" si="10"/>
        <v/>
      </c>
      <c r="F18" s="179"/>
      <c r="G18" s="180" t="str">
        <f t="shared" si="11"/>
        <v/>
      </c>
      <c r="H18" s="179"/>
      <c r="I18" s="180" t="str">
        <f t="shared" si="12"/>
        <v/>
      </c>
      <c r="J18" s="179"/>
      <c r="K18" s="180" t="str">
        <f t="shared" si="13"/>
        <v/>
      </c>
      <c r="L18" s="179"/>
      <c r="M18" s="180" t="str">
        <f t="shared" si="14"/>
        <v/>
      </c>
      <c r="N18" s="179"/>
      <c r="O18" s="180" t="str">
        <f t="shared" si="15"/>
        <v/>
      </c>
      <c r="P18" s="179"/>
      <c r="Q18" s="192" t="str">
        <f t="shared" si="0"/>
        <v/>
      </c>
      <c r="R18" s="193"/>
      <c r="S18" s="179"/>
      <c r="T18" s="192" t="str">
        <f t="shared" si="16"/>
        <v/>
      </c>
      <c r="U18" s="193"/>
      <c r="V18" s="179"/>
      <c r="W18" s="192" t="str">
        <f t="shared" si="17"/>
        <v/>
      </c>
      <c r="X18" s="194"/>
      <c r="Y18" s="205" t="str">
        <f t="shared" si="1"/>
        <v/>
      </c>
      <c r="Z18" s="206" t="str">
        <f t="shared" si="2"/>
        <v/>
      </c>
      <c r="AA18" s="206" t="str">
        <f t="shared" si="3"/>
        <v/>
      </c>
      <c r="AB18" s="206" t="str">
        <f t="shared" si="4"/>
        <v/>
      </c>
      <c r="AC18" s="207" t="str">
        <f t="shared" si="5"/>
        <v/>
      </c>
      <c r="AD18" s="208" t="str">
        <f t="shared" si="6"/>
        <v/>
      </c>
      <c r="AE18" s="209" t="str">
        <f t="shared" si="18"/>
        <v/>
      </c>
      <c r="AF18" s="210" t="str">
        <f t="shared" si="7"/>
        <v/>
      </c>
      <c r="AG18" s="219" t="str">
        <f t="shared" si="8"/>
        <v/>
      </c>
      <c r="AH18" s="207" t="str">
        <f t="shared" si="9"/>
        <v/>
      </c>
    </row>
    <row r="19" spans="1:34" s="167" customFormat="1" ht="12.75" customHeight="1">
      <c r="A19" s="181">
        <v>12</v>
      </c>
      <c r="B19" s="177"/>
      <c r="C19" s="182"/>
      <c r="D19" s="179"/>
      <c r="E19" s="180" t="str">
        <f t="shared" si="10"/>
        <v/>
      </c>
      <c r="F19" s="179"/>
      <c r="G19" s="180" t="str">
        <f t="shared" si="11"/>
        <v/>
      </c>
      <c r="H19" s="179"/>
      <c r="I19" s="180" t="str">
        <f t="shared" si="12"/>
        <v/>
      </c>
      <c r="J19" s="179"/>
      <c r="K19" s="180" t="str">
        <f t="shared" si="13"/>
        <v/>
      </c>
      <c r="L19" s="179"/>
      <c r="M19" s="180" t="str">
        <f t="shared" si="14"/>
        <v/>
      </c>
      <c r="N19" s="179"/>
      <c r="O19" s="180" t="str">
        <f t="shared" si="15"/>
        <v/>
      </c>
      <c r="P19" s="179"/>
      <c r="Q19" s="192" t="str">
        <f t="shared" si="0"/>
        <v/>
      </c>
      <c r="R19" s="193"/>
      <c r="S19" s="179"/>
      <c r="T19" s="192" t="str">
        <f t="shared" si="16"/>
        <v/>
      </c>
      <c r="U19" s="193"/>
      <c r="V19" s="179"/>
      <c r="W19" s="192" t="str">
        <f t="shared" si="17"/>
        <v/>
      </c>
      <c r="X19" s="194"/>
      <c r="Y19" s="205" t="str">
        <f t="shared" si="1"/>
        <v/>
      </c>
      <c r="Z19" s="206" t="str">
        <f t="shared" si="2"/>
        <v/>
      </c>
      <c r="AA19" s="206" t="str">
        <f t="shared" si="3"/>
        <v/>
      </c>
      <c r="AB19" s="206" t="str">
        <f t="shared" si="4"/>
        <v/>
      </c>
      <c r="AC19" s="207" t="str">
        <f t="shared" si="5"/>
        <v/>
      </c>
      <c r="AD19" s="208" t="str">
        <f t="shared" si="6"/>
        <v/>
      </c>
      <c r="AE19" s="209" t="str">
        <f t="shared" si="18"/>
        <v/>
      </c>
      <c r="AF19" s="210" t="str">
        <f t="shared" si="7"/>
        <v/>
      </c>
      <c r="AG19" s="219" t="str">
        <f t="shared" si="8"/>
        <v/>
      </c>
      <c r="AH19" s="207" t="str">
        <f t="shared" si="9"/>
        <v/>
      </c>
    </row>
    <row r="20" spans="1:34" s="167" customFormat="1" ht="12.75" customHeight="1">
      <c r="A20" s="181">
        <v>13</v>
      </c>
      <c r="B20" s="177"/>
      <c r="C20" s="182"/>
      <c r="D20" s="179"/>
      <c r="E20" s="180" t="str">
        <f t="shared" si="10"/>
        <v/>
      </c>
      <c r="F20" s="179"/>
      <c r="G20" s="180" t="str">
        <f t="shared" si="11"/>
        <v/>
      </c>
      <c r="H20" s="179"/>
      <c r="I20" s="180" t="str">
        <f t="shared" si="12"/>
        <v/>
      </c>
      <c r="J20" s="179"/>
      <c r="K20" s="180" t="str">
        <f t="shared" si="13"/>
        <v/>
      </c>
      <c r="L20" s="179"/>
      <c r="M20" s="180" t="str">
        <f t="shared" si="14"/>
        <v/>
      </c>
      <c r="N20" s="179"/>
      <c r="O20" s="180" t="str">
        <f t="shared" si="15"/>
        <v/>
      </c>
      <c r="P20" s="179"/>
      <c r="Q20" s="192" t="str">
        <f t="shared" si="0"/>
        <v/>
      </c>
      <c r="R20" s="193"/>
      <c r="S20" s="179"/>
      <c r="T20" s="192" t="str">
        <f t="shared" si="16"/>
        <v/>
      </c>
      <c r="U20" s="193"/>
      <c r="V20" s="179"/>
      <c r="W20" s="192" t="str">
        <f t="shared" si="17"/>
        <v/>
      </c>
      <c r="X20" s="194"/>
      <c r="Y20" s="205" t="str">
        <f t="shared" si="1"/>
        <v/>
      </c>
      <c r="Z20" s="206" t="str">
        <f t="shared" si="2"/>
        <v/>
      </c>
      <c r="AA20" s="206" t="str">
        <f t="shared" si="3"/>
        <v/>
      </c>
      <c r="AB20" s="206" t="str">
        <f t="shared" si="4"/>
        <v/>
      </c>
      <c r="AC20" s="207" t="str">
        <f t="shared" si="5"/>
        <v/>
      </c>
      <c r="AD20" s="208" t="str">
        <f t="shared" si="6"/>
        <v/>
      </c>
      <c r="AE20" s="209" t="str">
        <f t="shared" si="18"/>
        <v/>
      </c>
      <c r="AF20" s="210" t="str">
        <f t="shared" si="7"/>
        <v/>
      </c>
      <c r="AG20" s="219" t="str">
        <f t="shared" si="8"/>
        <v/>
      </c>
      <c r="AH20" s="207" t="str">
        <f t="shared" si="9"/>
        <v/>
      </c>
    </row>
    <row r="21" spans="1:34" s="167" customFormat="1" ht="12.75" customHeight="1">
      <c r="A21" s="181">
        <v>14</v>
      </c>
      <c r="B21" s="177"/>
      <c r="C21" s="182"/>
      <c r="D21" s="179"/>
      <c r="E21" s="180" t="str">
        <f t="shared" si="10"/>
        <v/>
      </c>
      <c r="F21" s="179"/>
      <c r="G21" s="180" t="str">
        <f t="shared" si="11"/>
        <v/>
      </c>
      <c r="H21" s="179"/>
      <c r="I21" s="180" t="str">
        <f t="shared" si="12"/>
        <v/>
      </c>
      <c r="J21" s="179"/>
      <c r="K21" s="180" t="str">
        <f t="shared" si="13"/>
        <v/>
      </c>
      <c r="L21" s="179"/>
      <c r="M21" s="180" t="str">
        <f t="shared" si="14"/>
        <v/>
      </c>
      <c r="N21" s="179"/>
      <c r="O21" s="180" t="str">
        <f t="shared" si="15"/>
        <v/>
      </c>
      <c r="P21" s="179"/>
      <c r="Q21" s="192" t="str">
        <f t="shared" si="0"/>
        <v/>
      </c>
      <c r="R21" s="193"/>
      <c r="S21" s="179"/>
      <c r="T21" s="192" t="str">
        <f t="shared" si="16"/>
        <v/>
      </c>
      <c r="U21" s="193"/>
      <c r="V21" s="179"/>
      <c r="W21" s="192" t="str">
        <f t="shared" si="17"/>
        <v/>
      </c>
      <c r="X21" s="194"/>
      <c r="Y21" s="205" t="str">
        <f t="shared" si="1"/>
        <v/>
      </c>
      <c r="Z21" s="206" t="str">
        <f t="shared" si="2"/>
        <v/>
      </c>
      <c r="AA21" s="206" t="str">
        <f t="shared" si="3"/>
        <v/>
      </c>
      <c r="AB21" s="206" t="str">
        <f t="shared" si="4"/>
        <v/>
      </c>
      <c r="AC21" s="207" t="str">
        <f t="shared" si="5"/>
        <v/>
      </c>
      <c r="AD21" s="208" t="str">
        <f t="shared" si="6"/>
        <v/>
      </c>
      <c r="AE21" s="209" t="str">
        <f t="shared" si="18"/>
        <v/>
      </c>
      <c r="AF21" s="210" t="str">
        <f t="shared" si="7"/>
        <v/>
      </c>
      <c r="AG21" s="219" t="str">
        <f t="shared" si="8"/>
        <v/>
      </c>
      <c r="AH21" s="207" t="str">
        <f t="shared" si="9"/>
        <v/>
      </c>
    </row>
    <row r="22" spans="1:34" s="167" customFormat="1" ht="12.75" customHeight="1">
      <c r="A22" s="181">
        <v>15</v>
      </c>
      <c r="B22" s="177"/>
      <c r="C22" s="182"/>
      <c r="D22" s="179"/>
      <c r="E22" s="180" t="str">
        <f t="shared" si="10"/>
        <v/>
      </c>
      <c r="F22" s="179"/>
      <c r="G22" s="180" t="str">
        <f t="shared" si="11"/>
        <v/>
      </c>
      <c r="H22" s="179"/>
      <c r="I22" s="180" t="str">
        <f t="shared" si="12"/>
        <v/>
      </c>
      <c r="J22" s="179"/>
      <c r="K22" s="180" t="str">
        <f t="shared" si="13"/>
        <v/>
      </c>
      <c r="L22" s="179"/>
      <c r="M22" s="180" t="str">
        <f t="shared" si="14"/>
        <v/>
      </c>
      <c r="N22" s="179"/>
      <c r="O22" s="180" t="str">
        <f t="shared" si="15"/>
        <v/>
      </c>
      <c r="P22" s="179"/>
      <c r="Q22" s="192" t="str">
        <f t="shared" si="0"/>
        <v/>
      </c>
      <c r="R22" s="193"/>
      <c r="S22" s="179"/>
      <c r="T22" s="192" t="str">
        <f t="shared" si="16"/>
        <v/>
      </c>
      <c r="U22" s="193"/>
      <c r="V22" s="179"/>
      <c r="W22" s="192" t="str">
        <f t="shared" si="17"/>
        <v/>
      </c>
      <c r="X22" s="194"/>
      <c r="Y22" s="205" t="str">
        <f t="shared" si="1"/>
        <v/>
      </c>
      <c r="Z22" s="206" t="str">
        <f t="shared" si="2"/>
        <v/>
      </c>
      <c r="AA22" s="206" t="str">
        <f t="shared" si="3"/>
        <v/>
      </c>
      <c r="AB22" s="206" t="str">
        <f t="shared" si="4"/>
        <v/>
      </c>
      <c r="AC22" s="207" t="str">
        <f t="shared" si="5"/>
        <v/>
      </c>
      <c r="AD22" s="208" t="str">
        <f t="shared" si="6"/>
        <v/>
      </c>
      <c r="AE22" s="209" t="str">
        <f t="shared" si="18"/>
        <v/>
      </c>
      <c r="AF22" s="210" t="str">
        <f t="shared" si="7"/>
        <v/>
      </c>
      <c r="AG22" s="219" t="str">
        <f t="shared" si="8"/>
        <v/>
      </c>
      <c r="AH22" s="207" t="str">
        <f t="shared" si="9"/>
        <v/>
      </c>
    </row>
    <row r="23" spans="1:34" s="167" customFormat="1" ht="12.75" customHeight="1">
      <c r="A23" s="181">
        <v>16</v>
      </c>
      <c r="B23" s="177"/>
      <c r="C23" s="182"/>
      <c r="D23" s="179"/>
      <c r="E23" s="180" t="str">
        <f t="shared" si="10"/>
        <v/>
      </c>
      <c r="F23" s="179"/>
      <c r="G23" s="180" t="str">
        <f t="shared" si="11"/>
        <v/>
      </c>
      <c r="H23" s="179"/>
      <c r="I23" s="180" t="str">
        <f t="shared" si="12"/>
        <v/>
      </c>
      <c r="J23" s="179"/>
      <c r="K23" s="180" t="str">
        <f t="shared" si="13"/>
        <v/>
      </c>
      <c r="L23" s="179"/>
      <c r="M23" s="180" t="str">
        <f t="shared" si="14"/>
        <v/>
      </c>
      <c r="N23" s="179"/>
      <c r="O23" s="180" t="str">
        <f t="shared" si="15"/>
        <v/>
      </c>
      <c r="P23" s="179"/>
      <c r="Q23" s="192" t="str">
        <f t="shared" si="0"/>
        <v/>
      </c>
      <c r="R23" s="193"/>
      <c r="S23" s="179"/>
      <c r="T23" s="192" t="str">
        <f t="shared" si="16"/>
        <v/>
      </c>
      <c r="U23" s="193"/>
      <c r="V23" s="179"/>
      <c r="W23" s="192" t="str">
        <f t="shared" si="17"/>
        <v/>
      </c>
      <c r="X23" s="194"/>
      <c r="Y23" s="205" t="str">
        <f t="shared" si="1"/>
        <v/>
      </c>
      <c r="Z23" s="206" t="str">
        <f t="shared" si="2"/>
        <v/>
      </c>
      <c r="AA23" s="206" t="str">
        <f t="shared" si="3"/>
        <v/>
      </c>
      <c r="AB23" s="206" t="str">
        <f t="shared" si="4"/>
        <v/>
      </c>
      <c r="AC23" s="207" t="str">
        <f t="shared" si="5"/>
        <v/>
      </c>
      <c r="AD23" s="208" t="str">
        <f t="shared" si="6"/>
        <v/>
      </c>
      <c r="AE23" s="209" t="str">
        <f t="shared" si="18"/>
        <v/>
      </c>
      <c r="AF23" s="210" t="str">
        <f t="shared" si="7"/>
        <v/>
      </c>
      <c r="AG23" s="219" t="str">
        <f t="shared" si="8"/>
        <v/>
      </c>
      <c r="AH23" s="207" t="str">
        <f t="shared" si="9"/>
        <v/>
      </c>
    </row>
    <row r="24" spans="1:34" s="167" customFormat="1" ht="12.75" customHeight="1">
      <c r="A24" s="181">
        <v>17</v>
      </c>
      <c r="B24" s="177"/>
      <c r="C24" s="182"/>
      <c r="D24" s="179"/>
      <c r="E24" s="180" t="str">
        <f t="shared" si="10"/>
        <v/>
      </c>
      <c r="F24" s="179"/>
      <c r="G24" s="180" t="str">
        <f t="shared" si="11"/>
        <v/>
      </c>
      <c r="H24" s="179"/>
      <c r="I24" s="180" t="str">
        <f t="shared" si="12"/>
        <v/>
      </c>
      <c r="J24" s="179"/>
      <c r="K24" s="180" t="str">
        <f t="shared" si="13"/>
        <v/>
      </c>
      <c r="L24" s="179"/>
      <c r="M24" s="180" t="str">
        <f t="shared" si="14"/>
        <v/>
      </c>
      <c r="N24" s="179"/>
      <c r="O24" s="180" t="str">
        <f t="shared" si="15"/>
        <v/>
      </c>
      <c r="P24" s="179"/>
      <c r="Q24" s="192" t="str">
        <f t="shared" si="0"/>
        <v/>
      </c>
      <c r="R24" s="193"/>
      <c r="S24" s="179"/>
      <c r="T24" s="192" t="str">
        <f t="shared" si="16"/>
        <v/>
      </c>
      <c r="U24" s="193"/>
      <c r="V24" s="179"/>
      <c r="W24" s="192" t="str">
        <f t="shared" si="17"/>
        <v/>
      </c>
      <c r="X24" s="194"/>
      <c r="Y24" s="205" t="str">
        <f t="shared" si="1"/>
        <v/>
      </c>
      <c r="Z24" s="206" t="str">
        <f t="shared" si="2"/>
        <v/>
      </c>
      <c r="AA24" s="206" t="str">
        <f t="shared" si="3"/>
        <v/>
      </c>
      <c r="AB24" s="206" t="str">
        <f t="shared" si="4"/>
        <v/>
      </c>
      <c r="AC24" s="207" t="str">
        <f t="shared" si="5"/>
        <v/>
      </c>
      <c r="AD24" s="208" t="str">
        <f t="shared" si="6"/>
        <v/>
      </c>
      <c r="AE24" s="209" t="str">
        <f t="shared" si="18"/>
        <v/>
      </c>
      <c r="AF24" s="210" t="str">
        <f t="shared" si="7"/>
        <v/>
      </c>
      <c r="AG24" s="219" t="str">
        <f t="shared" si="8"/>
        <v/>
      </c>
      <c r="AH24" s="207" t="str">
        <f t="shared" si="9"/>
        <v/>
      </c>
    </row>
    <row r="25" spans="1:34" s="167" customFormat="1" ht="12.75" customHeight="1">
      <c r="A25" s="181">
        <v>18</v>
      </c>
      <c r="B25" s="177"/>
      <c r="C25" s="182"/>
      <c r="D25" s="179"/>
      <c r="E25" s="180" t="str">
        <f t="shared" si="10"/>
        <v/>
      </c>
      <c r="F25" s="179"/>
      <c r="G25" s="180" t="str">
        <f t="shared" si="11"/>
        <v/>
      </c>
      <c r="H25" s="179"/>
      <c r="I25" s="180" t="str">
        <f t="shared" si="12"/>
        <v/>
      </c>
      <c r="J25" s="179"/>
      <c r="K25" s="180" t="str">
        <f t="shared" si="13"/>
        <v/>
      </c>
      <c r="L25" s="179"/>
      <c r="M25" s="180" t="str">
        <f t="shared" si="14"/>
        <v/>
      </c>
      <c r="N25" s="179"/>
      <c r="O25" s="180" t="str">
        <f t="shared" si="15"/>
        <v/>
      </c>
      <c r="P25" s="179"/>
      <c r="Q25" s="192" t="str">
        <f t="shared" si="0"/>
        <v/>
      </c>
      <c r="R25" s="193"/>
      <c r="S25" s="179"/>
      <c r="T25" s="192" t="str">
        <f t="shared" si="16"/>
        <v/>
      </c>
      <c r="U25" s="193"/>
      <c r="V25" s="179"/>
      <c r="W25" s="192" t="str">
        <f t="shared" si="17"/>
        <v/>
      </c>
      <c r="X25" s="194"/>
      <c r="Y25" s="205" t="str">
        <f t="shared" si="1"/>
        <v/>
      </c>
      <c r="Z25" s="206" t="str">
        <f t="shared" si="2"/>
        <v/>
      </c>
      <c r="AA25" s="206" t="str">
        <f t="shared" si="3"/>
        <v/>
      </c>
      <c r="AB25" s="206" t="str">
        <f t="shared" si="4"/>
        <v/>
      </c>
      <c r="AC25" s="207" t="str">
        <f t="shared" si="5"/>
        <v/>
      </c>
      <c r="AD25" s="208" t="str">
        <f t="shared" si="6"/>
        <v/>
      </c>
      <c r="AE25" s="209" t="str">
        <f t="shared" si="18"/>
        <v/>
      </c>
      <c r="AF25" s="210" t="str">
        <f t="shared" si="7"/>
        <v/>
      </c>
      <c r="AG25" s="219" t="str">
        <f t="shared" si="8"/>
        <v/>
      </c>
      <c r="AH25" s="207" t="str">
        <f t="shared" si="9"/>
        <v/>
      </c>
    </row>
    <row r="26" spans="1:34" s="167" customFormat="1" ht="12.75" customHeight="1">
      <c r="A26" s="181">
        <v>19</v>
      </c>
      <c r="B26" s="177"/>
      <c r="C26" s="182"/>
      <c r="D26" s="179"/>
      <c r="E26" s="180" t="str">
        <f t="shared" si="10"/>
        <v/>
      </c>
      <c r="F26" s="179"/>
      <c r="G26" s="180" t="str">
        <f t="shared" si="11"/>
        <v/>
      </c>
      <c r="H26" s="179"/>
      <c r="I26" s="180" t="str">
        <f t="shared" si="12"/>
        <v/>
      </c>
      <c r="J26" s="179"/>
      <c r="K26" s="180" t="str">
        <f t="shared" si="13"/>
        <v/>
      </c>
      <c r="L26" s="179"/>
      <c r="M26" s="180" t="str">
        <f t="shared" si="14"/>
        <v/>
      </c>
      <c r="N26" s="179"/>
      <c r="O26" s="180" t="str">
        <f t="shared" si="15"/>
        <v/>
      </c>
      <c r="P26" s="179"/>
      <c r="Q26" s="192" t="str">
        <f t="shared" si="0"/>
        <v/>
      </c>
      <c r="R26" s="193"/>
      <c r="S26" s="179"/>
      <c r="T26" s="192" t="str">
        <f t="shared" si="16"/>
        <v/>
      </c>
      <c r="U26" s="193"/>
      <c r="V26" s="179"/>
      <c r="W26" s="192" t="str">
        <f t="shared" si="17"/>
        <v/>
      </c>
      <c r="X26" s="194"/>
      <c r="Y26" s="205" t="str">
        <f t="shared" si="1"/>
        <v/>
      </c>
      <c r="Z26" s="206" t="str">
        <f t="shared" si="2"/>
        <v/>
      </c>
      <c r="AA26" s="206" t="str">
        <f t="shared" si="3"/>
        <v/>
      </c>
      <c r="AB26" s="206" t="str">
        <f t="shared" si="4"/>
        <v/>
      </c>
      <c r="AC26" s="207" t="str">
        <f t="shared" si="5"/>
        <v/>
      </c>
      <c r="AD26" s="208" t="str">
        <f t="shared" si="6"/>
        <v/>
      </c>
      <c r="AE26" s="209" t="str">
        <f t="shared" si="18"/>
        <v/>
      </c>
      <c r="AF26" s="210" t="str">
        <f t="shared" si="7"/>
        <v/>
      </c>
      <c r="AG26" s="219" t="str">
        <f t="shared" si="8"/>
        <v/>
      </c>
      <c r="AH26" s="207" t="str">
        <f t="shared" si="9"/>
        <v/>
      </c>
    </row>
    <row r="27" spans="1:34" s="167" customFormat="1" ht="12.75" customHeight="1">
      <c r="A27" s="181">
        <v>20</v>
      </c>
      <c r="B27" s="177"/>
      <c r="C27" s="182"/>
      <c r="D27" s="179"/>
      <c r="E27" s="180" t="str">
        <f t="shared" si="10"/>
        <v/>
      </c>
      <c r="F27" s="179"/>
      <c r="G27" s="180" t="str">
        <f t="shared" si="11"/>
        <v/>
      </c>
      <c r="H27" s="179"/>
      <c r="I27" s="180" t="str">
        <f t="shared" si="12"/>
        <v/>
      </c>
      <c r="J27" s="179"/>
      <c r="K27" s="180" t="str">
        <f t="shared" si="13"/>
        <v/>
      </c>
      <c r="L27" s="179"/>
      <c r="M27" s="180" t="str">
        <f t="shared" si="14"/>
        <v/>
      </c>
      <c r="N27" s="179"/>
      <c r="O27" s="180" t="str">
        <f t="shared" si="15"/>
        <v/>
      </c>
      <c r="P27" s="179"/>
      <c r="Q27" s="192" t="str">
        <f t="shared" si="0"/>
        <v/>
      </c>
      <c r="R27" s="193"/>
      <c r="S27" s="179"/>
      <c r="T27" s="192" t="str">
        <f t="shared" si="16"/>
        <v/>
      </c>
      <c r="U27" s="193"/>
      <c r="V27" s="179"/>
      <c r="W27" s="192" t="str">
        <f t="shared" si="17"/>
        <v/>
      </c>
      <c r="X27" s="194"/>
      <c r="Y27" s="205" t="str">
        <f t="shared" si="1"/>
        <v/>
      </c>
      <c r="Z27" s="206" t="str">
        <f t="shared" si="2"/>
        <v/>
      </c>
      <c r="AA27" s="206" t="str">
        <f t="shared" si="3"/>
        <v/>
      </c>
      <c r="AB27" s="206" t="str">
        <f t="shared" si="4"/>
        <v/>
      </c>
      <c r="AC27" s="207" t="str">
        <f t="shared" si="5"/>
        <v/>
      </c>
      <c r="AD27" s="208" t="str">
        <f t="shared" si="6"/>
        <v/>
      </c>
      <c r="AE27" s="209" t="str">
        <f t="shared" si="18"/>
        <v/>
      </c>
      <c r="AF27" s="210" t="str">
        <f t="shared" si="7"/>
        <v/>
      </c>
      <c r="AG27" s="219" t="str">
        <f t="shared" si="8"/>
        <v/>
      </c>
      <c r="AH27" s="207" t="str">
        <f t="shared" si="9"/>
        <v/>
      </c>
    </row>
    <row r="28" spans="1:34" s="167" customFormat="1" ht="12.75" customHeight="1">
      <c r="A28" s="181">
        <v>21</v>
      </c>
      <c r="B28" s="177"/>
      <c r="C28" s="182"/>
      <c r="D28" s="179"/>
      <c r="E28" s="180" t="str">
        <f t="shared" si="10"/>
        <v/>
      </c>
      <c r="F28" s="179"/>
      <c r="G28" s="180" t="str">
        <f t="shared" si="11"/>
        <v/>
      </c>
      <c r="H28" s="179"/>
      <c r="I28" s="180" t="str">
        <f t="shared" si="12"/>
        <v/>
      </c>
      <c r="J28" s="179"/>
      <c r="K28" s="180" t="str">
        <f t="shared" si="13"/>
        <v/>
      </c>
      <c r="L28" s="179"/>
      <c r="M28" s="180" t="str">
        <f t="shared" si="14"/>
        <v/>
      </c>
      <c r="N28" s="179"/>
      <c r="O28" s="180" t="str">
        <f t="shared" si="15"/>
        <v/>
      </c>
      <c r="P28" s="179"/>
      <c r="Q28" s="192" t="str">
        <f t="shared" si="0"/>
        <v/>
      </c>
      <c r="R28" s="193"/>
      <c r="S28" s="179"/>
      <c r="T28" s="192" t="str">
        <f t="shared" si="16"/>
        <v/>
      </c>
      <c r="U28" s="193"/>
      <c r="V28" s="179"/>
      <c r="W28" s="192" t="str">
        <f t="shared" si="17"/>
        <v/>
      </c>
      <c r="X28" s="194"/>
      <c r="Y28" s="205" t="str">
        <f t="shared" si="1"/>
        <v/>
      </c>
      <c r="Z28" s="206" t="str">
        <f t="shared" si="2"/>
        <v/>
      </c>
      <c r="AA28" s="206" t="str">
        <f t="shared" si="3"/>
        <v/>
      </c>
      <c r="AB28" s="206" t="str">
        <f t="shared" si="4"/>
        <v/>
      </c>
      <c r="AC28" s="207" t="str">
        <f t="shared" si="5"/>
        <v/>
      </c>
      <c r="AD28" s="208" t="str">
        <f t="shared" si="6"/>
        <v/>
      </c>
      <c r="AE28" s="209" t="str">
        <f t="shared" si="18"/>
        <v/>
      </c>
      <c r="AF28" s="210" t="str">
        <f t="shared" si="7"/>
        <v/>
      </c>
      <c r="AG28" s="219" t="str">
        <f t="shared" si="8"/>
        <v/>
      </c>
      <c r="AH28" s="207" t="str">
        <f t="shared" si="9"/>
        <v/>
      </c>
    </row>
    <row r="29" spans="1:34" s="167" customFormat="1" ht="12.75" customHeight="1">
      <c r="A29" s="181">
        <v>22</v>
      </c>
      <c r="B29" s="177"/>
      <c r="C29" s="182"/>
      <c r="D29" s="179"/>
      <c r="E29" s="180" t="str">
        <f t="shared" si="10"/>
        <v/>
      </c>
      <c r="F29" s="179"/>
      <c r="G29" s="180" t="str">
        <f t="shared" si="11"/>
        <v/>
      </c>
      <c r="H29" s="179"/>
      <c r="I29" s="180" t="str">
        <f t="shared" si="12"/>
        <v/>
      </c>
      <c r="J29" s="179"/>
      <c r="K29" s="180" t="str">
        <f t="shared" si="13"/>
        <v/>
      </c>
      <c r="L29" s="179"/>
      <c r="M29" s="180" t="str">
        <f t="shared" si="14"/>
        <v/>
      </c>
      <c r="N29" s="179"/>
      <c r="O29" s="180" t="str">
        <f t="shared" si="15"/>
        <v/>
      </c>
      <c r="P29" s="179"/>
      <c r="Q29" s="192" t="str">
        <f t="shared" si="0"/>
        <v/>
      </c>
      <c r="R29" s="193"/>
      <c r="S29" s="179"/>
      <c r="T29" s="192" t="str">
        <f t="shared" si="16"/>
        <v/>
      </c>
      <c r="U29" s="193"/>
      <c r="V29" s="179"/>
      <c r="W29" s="192" t="str">
        <f t="shared" si="17"/>
        <v/>
      </c>
      <c r="X29" s="194"/>
      <c r="Y29" s="205" t="str">
        <f t="shared" si="1"/>
        <v/>
      </c>
      <c r="Z29" s="206" t="str">
        <f t="shared" si="2"/>
        <v/>
      </c>
      <c r="AA29" s="206" t="str">
        <f t="shared" si="3"/>
        <v/>
      </c>
      <c r="AB29" s="206" t="str">
        <f t="shared" si="4"/>
        <v/>
      </c>
      <c r="AC29" s="207" t="str">
        <f t="shared" si="5"/>
        <v/>
      </c>
      <c r="AD29" s="208" t="str">
        <f t="shared" si="6"/>
        <v/>
      </c>
      <c r="AE29" s="209" t="str">
        <f t="shared" si="18"/>
        <v/>
      </c>
      <c r="AF29" s="210" t="str">
        <f t="shared" si="7"/>
        <v/>
      </c>
      <c r="AG29" s="219" t="str">
        <f t="shared" si="8"/>
        <v/>
      </c>
      <c r="AH29" s="207" t="str">
        <f t="shared" si="9"/>
        <v/>
      </c>
    </row>
    <row r="30" spans="1:34" s="167" customFormat="1" ht="12.75" customHeight="1">
      <c r="A30" s="181">
        <v>23</v>
      </c>
      <c r="B30" s="177"/>
      <c r="C30" s="182"/>
      <c r="D30" s="179"/>
      <c r="E30" s="180" t="str">
        <f t="shared" si="10"/>
        <v/>
      </c>
      <c r="F30" s="179"/>
      <c r="G30" s="180" t="str">
        <f t="shared" si="11"/>
        <v/>
      </c>
      <c r="H30" s="179"/>
      <c r="I30" s="180" t="str">
        <f t="shared" si="12"/>
        <v/>
      </c>
      <c r="J30" s="179"/>
      <c r="K30" s="180" t="str">
        <f t="shared" si="13"/>
        <v/>
      </c>
      <c r="L30" s="179"/>
      <c r="M30" s="180" t="str">
        <f t="shared" si="14"/>
        <v/>
      </c>
      <c r="N30" s="179"/>
      <c r="O30" s="180" t="str">
        <f t="shared" si="15"/>
        <v/>
      </c>
      <c r="P30" s="179"/>
      <c r="Q30" s="192" t="str">
        <f t="shared" si="0"/>
        <v/>
      </c>
      <c r="R30" s="193"/>
      <c r="S30" s="179"/>
      <c r="T30" s="192" t="str">
        <f t="shared" si="16"/>
        <v/>
      </c>
      <c r="U30" s="193"/>
      <c r="V30" s="179"/>
      <c r="W30" s="192" t="str">
        <f t="shared" si="17"/>
        <v/>
      </c>
      <c r="X30" s="194"/>
      <c r="Y30" s="205" t="str">
        <f t="shared" si="1"/>
        <v/>
      </c>
      <c r="Z30" s="206" t="str">
        <f t="shared" si="2"/>
        <v/>
      </c>
      <c r="AA30" s="206" t="str">
        <f t="shared" si="3"/>
        <v/>
      </c>
      <c r="AB30" s="206" t="str">
        <f t="shared" si="4"/>
        <v/>
      </c>
      <c r="AC30" s="207" t="str">
        <f t="shared" si="5"/>
        <v/>
      </c>
      <c r="AD30" s="208" t="str">
        <f t="shared" si="6"/>
        <v/>
      </c>
      <c r="AE30" s="209" t="str">
        <f t="shared" si="18"/>
        <v/>
      </c>
      <c r="AF30" s="210" t="str">
        <f t="shared" si="7"/>
        <v/>
      </c>
      <c r="AG30" s="219" t="str">
        <f t="shared" si="8"/>
        <v/>
      </c>
      <c r="AH30" s="207" t="str">
        <f t="shared" si="9"/>
        <v/>
      </c>
    </row>
    <row r="31" spans="1:34" s="167" customFormat="1" ht="12.75" customHeight="1">
      <c r="A31" s="181">
        <v>24</v>
      </c>
      <c r="B31" s="177"/>
      <c r="C31" s="182"/>
      <c r="D31" s="179"/>
      <c r="E31" s="180" t="str">
        <f t="shared" si="10"/>
        <v/>
      </c>
      <c r="F31" s="179"/>
      <c r="G31" s="180" t="str">
        <f t="shared" si="11"/>
        <v/>
      </c>
      <c r="H31" s="179"/>
      <c r="I31" s="180" t="str">
        <f t="shared" si="12"/>
        <v/>
      </c>
      <c r="J31" s="179"/>
      <c r="K31" s="180" t="str">
        <f t="shared" si="13"/>
        <v/>
      </c>
      <c r="L31" s="179"/>
      <c r="M31" s="180" t="str">
        <f t="shared" si="14"/>
        <v/>
      </c>
      <c r="N31" s="179"/>
      <c r="O31" s="180" t="str">
        <f t="shared" si="15"/>
        <v/>
      </c>
      <c r="P31" s="179"/>
      <c r="Q31" s="192" t="str">
        <f t="shared" si="0"/>
        <v/>
      </c>
      <c r="R31" s="193"/>
      <c r="S31" s="179"/>
      <c r="T31" s="192" t="str">
        <f t="shared" si="16"/>
        <v/>
      </c>
      <c r="U31" s="193"/>
      <c r="V31" s="179"/>
      <c r="W31" s="192" t="str">
        <f t="shared" si="17"/>
        <v/>
      </c>
      <c r="X31" s="194"/>
      <c r="Y31" s="205" t="str">
        <f t="shared" si="1"/>
        <v/>
      </c>
      <c r="Z31" s="206" t="str">
        <f t="shared" si="2"/>
        <v/>
      </c>
      <c r="AA31" s="206" t="str">
        <f t="shared" si="3"/>
        <v/>
      </c>
      <c r="AB31" s="206" t="str">
        <f t="shared" si="4"/>
        <v/>
      </c>
      <c r="AC31" s="207" t="str">
        <f t="shared" si="5"/>
        <v/>
      </c>
      <c r="AD31" s="208" t="str">
        <f t="shared" si="6"/>
        <v/>
      </c>
      <c r="AE31" s="209" t="str">
        <f t="shared" si="18"/>
        <v/>
      </c>
      <c r="AF31" s="210" t="str">
        <f t="shared" si="7"/>
        <v/>
      </c>
      <c r="AG31" s="219" t="str">
        <f t="shared" si="8"/>
        <v/>
      </c>
      <c r="AH31" s="207" t="str">
        <f t="shared" si="9"/>
        <v/>
      </c>
    </row>
    <row r="32" spans="1:34" s="167" customFormat="1" ht="12.75" customHeight="1">
      <c r="A32" s="181">
        <v>25</v>
      </c>
      <c r="B32" s="177"/>
      <c r="C32" s="182"/>
      <c r="D32" s="179"/>
      <c r="E32" s="180" t="str">
        <f t="shared" si="10"/>
        <v/>
      </c>
      <c r="F32" s="179"/>
      <c r="G32" s="180" t="str">
        <f t="shared" si="11"/>
        <v/>
      </c>
      <c r="H32" s="179"/>
      <c r="I32" s="180" t="str">
        <f t="shared" si="12"/>
        <v/>
      </c>
      <c r="J32" s="179"/>
      <c r="K32" s="180" t="str">
        <f t="shared" si="13"/>
        <v/>
      </c>
      <c r="L32" s="179"/>
      <c r="M32" s="180" t="str">
        <f t="shared" si="14"/>
        <v/>
      </c>
      <c r="N32" s="179"/>
      <c r="O32" s="180" t="str">
        <f t="shared" si="15"/>
        <v/>
      </c>
      <c r="P32" s="179"/>
      <c r="Q32" s="192" t="str">
        <f t="shared" si="0"/>
        <v/>
      </c>
      <c r="R32" s="193"/>
      <c r="S32" s="179"/>
      <c r="T32" s="192" t="str">
        <f t="shared" si="16"/>
        <v/>
      </c>
      <c r="U32" s="193"/>
      <c r="V32" s="179"/>
      <c r="W32" s="192" t="str">
        <f t="shared" si="17"/>
        <v/>
      </c>
      <c r="X32" s="194"/>
      <c r="Y32" s="205" t="str">
        <f t="shared" si="1"/>
        <v/>
      </c>
      <c r="Z32" s="206" t="str">
        <f t="shared" si="2"/>
        <v/>
      </c>
      <c r="AA32" s="206" t="str">
        <f t="shared" si="3"/>
        <v/>
      </c>
      <c r="AB32" s="206" t="str">
        <f t="shared" si="4"/>
        <v/>
      </c>
      <c r="AC32" s="207" t="str">
        <f t="shared" si="5"/>
        <v/>
      </c>
      <c r="AD32" s="208" t="str">
        <f t="shared" si="6"/>
        <v/>
      </c>
      <c r="AE32" s="209" t="str">
        <f t="shared" si="18"/>
        <v/>
      </c>
      <c r="AF32" s="210" t="str">
        <f t="shared" si="7"/>
        <v/>
      </c>
      <c r="AG32" s="219" t="str">
        <f t="shared" si="8"/>
        <v/>
      </c>
      <c r="AH32" s="207" t="str">
        <f t="shared" si="9"/>
        <v/>
      </c>
    </row>
    <row r="33" spans="1:34" s="167" customFormat="1" ht="12.75" customHeight="1">
      <c r="A33" s="181">
        <v>26</v>
      </c>
      <c r="B33" s="177"/>
      <c r="C33" s="182"/>
      <c r="D33" s="179"/>
      <c r="E33" s="180" t="str">
        <f t="shared" si="10"/>
        <v/>
      </c>
      <c r="F33" s="179"/>
      <c r="G33" s="180" t="str">
        <f t="shared" si="11"/>
        <v/>
      </c>
      <c r="H33" s="179"/>
      <c r="I33" s="180" t="str">
        <f t="shared" si="12"/>
        <v/>
      </c>
      <c r="J33" s="179"/>
      <c r="K33" s="180" t="str">
        <f t="shared" si="13"/>
        <v/>
      </c>
      <c r="L33" s="179"/>
      <c r="M33" s="180" t="str">
        <f t="shared" si="14"/>
        <v/>
      </c>
      <c r="N33" s="179"/>
      <c r="O33" s="180" t="str">
        <f t="shared" si="15"/>
        <v/>
      </c>
      <c r="P33" s="179"/>
      <c r="Q33" s="192" t="str">
        <f t="shared" si="0"/>
        <v/>
      </c>
      <c r="R33" s="193"/>
      <c r="S33" s="179"/>
      <c r="T33" s="192" t="str">
        <f t="shared" si="16"/>
        <v/>
      </c>
      <c r="U33" s="193"/>
      <c r="V33" s="179"/>
      <c r="W33" s="192" t="str">
        <f t="shared" si="17"/>
        <v/>
      </c>
      <c r="X33" s="194"/>
      <c r="Y33" s="205" t="str">
        <f t="shared" si="1"/>
        <v/>
      </c>
      <c r="Z33" s="206" t="str">
        <f t="shared" si="2"/>
        <v/>
      </c>
      <c r="AA33" s="206" t="str">
        <f t="shared" si="3"/>
        <v/>
      </c>
      <c r="AB33" s="206" t="str">
        <f t="shared" si="4"/>
        <v/>
      </c>
      <c r="AC33" s="207" t="str">
        <f t="shared" si="5"/>
        <v/>
      </c>
      <c r="AD33" s="208" t="str">
        <f t="shared" si="6"/>
        <v/>
      </c>
      <c r="AE33" s="209" t="str">
        <f t="shared" si="18"/>
        <v/>
      </c>
      <c r="AF33" s="210" t="str">
        <f t="shared" si="7"/>
        <v/>
      </c>
      <c r="AG33" s="219" t="str">
        <f t="shared" si="8"/>
        <v/>
      </c>
      <c r="AH33" s="207" t="str">
        <f t="shared" si="9"/>
        <v/>
      </c>
    </row>
    <row r="34" spans="1:34" s="167" customFormat="1" ht="12.75" customHeight="1">
      <c r="A34" s="181">
        <v>27</v>
      </c>
      <c r="B34" s="177"/>
      <c r="C34" s="182"/>
      <c r="D34" s="179"/>
      <c r="E34" s="180" t="str">
        <f t="shared" si="10"/>
        <v/>
      </c>
      <c r="F34" s="179"/>
      <c r="G34" s="180" t="str">
        <f t="shared" si="11"/>
        <v/>
      </c>
      <c r="H34" s="179"/>
      <c r="I34" s="180" t="str">
        <f t="shared" si="12"/>
        <v/>
      </c>
      <c r="J34" s="179"/>
      <c r="K34" s="180" t="str">
        <f t="shared" si="13"/>
        <v/>
      </c>
      <c r="L34" s="179"/>
      <c r="M34" s="180" t="str">
        <f t="shared" si="14"/>
        <v/>
      </c>
      <c r="N34" s="179"/>
      <c r="O34" s="180" t="str">
        <f t="shared" si="15"/>
        <v/>
      </c>
      <c r="P34" s="179"/>
      <c r="Q34" s="192" t="str">
        <f t="shared" si="0"/>
        <v/>
      </c>
      <c r="R34" s="193"/>
      <c r="S34" s="179"/>
      <c r="T34" s="192" t="str">
        <f t="shared" si="16"/>
        <v/>
      </c>
      <c r="U34" s="193"/>
      <c r="V34" s="179"/>
      <c r="W34" s="192" t="str">
        <f t="shared" si="17"/>
        <v/>
      </c>
      <c r="X34" s="194"/>
      <c r="Y34" s="205" t="str">
        <f t="shared" si="1"/>
        <v/>
      </c>
      <c r="Z34" s="206" t="str">
        <f t="shared" si="2"/>
        <v/>
      </c>
      <c r="AA34" s="206" t="str">
        <f t="shared" si="3"/>
        <v/>
      </c>
      <c r="AB34" s="206" t="str">
        <f t="shared" si="4"/>
        <v/>
      </c>
      <c r="AC34" s="207" t="str">
        <f t="shared" si="5"/>
        <v/>
      </c>
      <c r="AD34" s="208" t="str">
        <f t="shared" si="6"/>
        <v/>
      </c>
      <c r="AE34" s="209" t="str">
        <f t="shared" si="18"/>
        <v/>
      </c>
      <c r="AF34" s="210" t="str">
        <f t="shared" si="7"/>
        <v/>
      </c>
      <c r="AG34" s="219" t="str">
        <f t="shared" si="8"/>
        <v/>
      </c>
      <c r="AH34" s="207" t="str">
        <f t="shared" si="9"/>
        <v/>
      </c>
    </row>
    <row r="35" spans="1:34" s="167" customFormat="1" ht="12.75" customHeight="1">
      <c r="A35" s="181">
        <v>28</v>
      </c>
      <c r="B35" s="177"/>
      <c r="C35" s="182"/>
      <c r="D35" s="179"/>
      <c r="E35" s="180" t="str">
        <f t="shared" si="10"/>
        <v/>
      </c>
      <c r="F35" s="179"/>
      <c r="G35" s="180" t="str">
        <f t="shared" si="11"/>
        <v/>
      </c>
      <c r="H35" s="179"/>
      <c r="I35" s="180" t="str">
        <f t="shared" si="12"/>
        <v/>
      </c>
      <c r="J35" s="179"/>
      <c r="K35" s="180" t="str">
        <f t="shared" si="13"/>
        <v/>
      </c>
      <c r="L35" s="179"/>
      <c r="M35" s="180" t="str">
        <f t="shared" si="14"/>
        <v/>
      </c>
      <c r="N35" s="179"/>
      <c r="O35" s="180" t="str">
        <f t="shared" si="15"/>
        <v/>
      </c>
      <c r="P35" s="179"/>
      <c r="Q35" s="192" t="str">
        <f t="shared" si="0"/>
        <v/>
      </c>
      <c r="R35" s="193"/>
      <c r="S35" s="179"/>
      <c r="T35" s="192" t="str">
        <f t="shared" si="16"/>
        <v/>
      </c>
      <c r="U35" s="193"/>
      <c r="V35" s="179"/>
      <c r="W35" s="192" t="str">
        <f t="shared" si="17"/>
        <v/>
      </c>
      <c r="X35" s="194"/>
      <c r="Y35" s="205" t="str">
        <f t="shared" si="1"/>
        <v/>
      </c>
      <c r="Z35" s="206" t="str">
        <f t="shared" si="2"/>
        <v/>
      </c>
      <c r="AA35" s="206" t="str">
        <f t="shared" si="3"/>
        <v/>
      </c>
      <c r="AB35" s="206" t="str">
        <f t="shared" si="4"/>
        <v/>
      </c>
      <c r="AC35" s="207" t="str">
        <f t="shared" si="5"/>
        <v/>
      </c>
      <c r="AD35" s="208" t="str">
        <f t="shared" si="6"/>
        <v/>
      </c>
      <c r="AE35" s="209" t="str">
        <f t="shared" si="18"/>
        <v/>
      </c>
      <c r="AF35" s="210" t="str">
        <f t="shared" si="7"/>
        <v/>
      </c>
      <c r="AG35" s="219" t="str">
        <f t="shared" si="8"/>
        <v/>
      </c>
      <c r="AH35" s="207" t="str">
        <f t="shared" si="9"/>
        <v/>
      </c>
    </row>
    <row r="36" spans="1:34" s="167" customFormat="1" ht="12.75" customHeight="1">
      <c r="A36" s="181">
        <v>29</v>
      </c>
      <c r="B36" s="177"/>
      <c r="C36" s="182"/>
      <c r="D36" s="179"/>
      <c r="E36" s="180" t="str">
        <f t="shared" si="10"/>
        <v/>
      </c>
      <c r="F36" s="179"/>
      <c r="G36" s="180" t="str">
        <f t="shared" si="11"/>
        <v/>
      </c>
      <c r="H36" s="179"/>
      <c r="I36" s="180" t="str">
        <f t="shared" si="12"/>
        <v/>
      </c>
      <c r="J36" s="179"/>
      <c r="K36" s="180" t="str">
        <f t="shared" si="13"/>
        <v/>
      </c>
      <c r="L36" s="179"/>
      <c r="M36" s="180" t="str">
        <f t="shared" si="14"/>
        <v/>
      </c>
      <c r="N36" s="179"/>
      <c r="O36" s="180" t="str">
        <f t="shared" si="15"/>
        <v/>
      </c>
      <c r="P36" s="179"/>
      <c r="Q36" s="192" t="str">
        <f t="shared" si="0"/>
        <v/>
      </c>
      <c r="R36" s="193"/>
      <c r="S36" s="179"/>
      <c r="T36" s="192" t="str">
        <f t="shared" si="16"/>
        <v/>
      </c>
      <c r="U36" s="193"/>
      <c r="V36" s="179"/>
      <c r="W36" s="192" t="str">
        <f t="shared" si="17"/>
        <v/>
      </c>
      <c r="X36" s="194"/>
      <c r="Y36" s="205" t="str">
        <f t="shared" si="1"/>
        <v/>
      </c>
      <c r="Z36" s="206" t="str">
        <f t="shared" si="2"/>
        <v/>
      </c>
      <c r="AA36" s="206" t="str">
        <f t="shared" si="3"/>
        <v/>
      </c>
      <c r="AB36" s="206" t="str">
        <f t="shared" si="4"/>
        <v/>
      </c>
      <c r="AC36" s="207" t="str">
        <f t="shared" si="5"/>
        <v/>
      </c>
      <c r="AD36" s="208" t="str">
        <f t="shared" si="6"/>
        <v/>
      </c>
      <c r="AE36" s="209" t="str">
        <f t="shared" si="18"/>
        <v/>
      </c>
      <c r="AF36" s="210" t="str">
        <f t="shared" si="7"/>
        <v/>
      </c>
      <c r="AG36" s="219" t="str">
        <f t="shared" si="8"/>
        <v/>
      </c>
      <c r="AH36" s="207" t="str">
        <f t="shared" si="9"/>
        <v/>
      </c>
    </row>
    <row r="37" spans="1:34" s="167" customFormat="1" ht="12.75" customHeight="1">
      <c r="A37" s="181">
        <v>30</v>
      </c>
      <c r="B37" s="177"/>
      <c r="C37" s="182"/>
      <c r="D37" s="179"/>
      <c r="E37" s="180" t="str">
        <f t="shared" si="10"/>
        <v/>
      </c>
      <c r="F37" s="179"/>
      <c r="G37" s="180" t="str">
        <f t="shared" si="11"/>
        <v/>
      </c>
      <c r="H37" s="179"/>
      <c r="I37" s="180" t="str">
        <f t="shared" si="12"/>
        <v/>
      </c>
      <c r="J37" s="179"/>
      <c r="K37" s="180" t="str">
        <f t="shared" si="13"/>
        <v/>
      </c>
      <c r="L37" s="179"/>
      <c r="M37" s="180" t="str">
        <f t="shared" si="14"/>
        <v/>
      </c>
      <c r="N37" s="179"/>
      <c r="O37" s="180" t="str">
        <f t="shared" si="15"/>
        <v/>
      </c>
      <c r="P37" s="179"/>
      <c r="Q37" s="192" t="str">
        <f t="shared" si="0"/>
        <v/>
      </c>
      <c r="R37" s="193"/>
      <c r="S37" s="179"/>
      <c r="T37" s="192" t="str">
        <f t="shared" si="16"/>
        <v/>
      </c>
      <c r="U37" s="193"/>
      <c r="V37" s="179"/>
      <c r="W37" s="192" t="str">
        <f t="shared" si="17"/>
        <v/>
      </c>
      <c r="X37" s="194"/>
      <c r="Y37" s="205" t="str">
        <f t="shared" si="1"/>
        <v/>
      </c>
      <c r="Z37" s="206" t="str">
        <f t="shared" si="2"/>
        <v/>
      </c>
      <c r="AA37" s="206" t="str">
        <f t="shared" si="3"/>
        <v/>
      </c>
      <c r="AB37" s="206" t="str">
        <f t="shared" si="4"/>
        <v/>
      </c>
      <c r="AC37" s="207" t="str">
        <f t="shared" si="5"/>
        <v/>
      </c>
      <c r="AD37" s="208" t="str">
        <f t="shared" si="6"/>
        <v/>
      </c>
      <c r="AE37" s="209" t="str">
        <f t="shared" si="18"/>
        <v/>
      </c>
      <c r="AF37" s="210" t="str">
        <f t="shared" si="7"/>
        <v/>
      </c>
      <c r="AG37" s="219" t="str">
        <f t="shared" si="8"/>
        <v/>
      </c>
      <c r="AH37" s="207" t="str">
        <f t="shared" si="9"/>
        <v/>
      </c>
    </row>
    <row r="38" spans="1:34" s="167" customFormat="1" ht="12.75" customHeight="1">
      <c r="A38" s="181">
        <v>31</v>
      </c>
      <c r="B38" s="177"/>
      <c r="C38" s="182"/>
      <c r="D38" s="179"/>
      <c r="E38" s="180" t="str">
        <f t="shared" si="10"/>
        <v/>
      </c>
      <c r="F38" s="179"/>
      <c r="G38" s="180" t="str">
        <f t="shared" si="11"/>
        <v/>
      </c>
      <c r="H38" s="179"/>
      <c r="I38" s="180" t="str">
        <f t="shared" si="12"/>
        <v/>
      </c>
      <c r="J38" s="179"/>
      <c r="K38" s="180" t="str">
        <f t="shared" si="13"/>
        <v/>
      </c>
      <c r="L38" s="179"/>
      <c r="M38" s="180" t="str">
        <f t="shared" si="14"/>
        <v/>
      </c>
      <c r="N38" s="179"/>
      <c r="O38" s="180" t="str">
        <f t="shared" si="15"/>
        <v/>
      </c>
      <c r="P38" s="179"/>
      <c r="Q38" s="192" t="str">
        <f t="shared" si="0"/>
        <v/>
      </c>
      <c r="R38" s="193"/>
      <c r="S38" s="179"/>
      <c r="T38" s="192" t="str">
        <f t="shared" si="16"/>
        <v/>
      </c>
      <c r="U38" s="193"/>
      <c r="V38" s="179"/>
      <c r="W38" s="192" t="str">
        <f t="shared" si="17"/>
        <v/>
      </c>
      <c r="X38" s="194"/>
      <c r="Y38" s="205" t="str">
        <f t="shared" si="1"/>
        <v/>
      </c>
      <c r="Z38" s="206" t="str">
        <f t="shared" si="2"/>
        <v/>
      </c>
      <c r="AA38" s="206" t="str">
        <f t="shared" si="3"/>
        <v/>
      </c>
      <c r="AB38" s="206" t="str">
        <f t="shared" si="4"/>
        <v/>
      </c>
      <c r="AC38" s="207" t="str">
        <f t="shared" si="5"/>
        <v/>
      </c>
      <c r="AD38" s="208" t="str">
        <f t="shared" si="6"/>
        <v/>
      </c>
      <c r="AE38" s="209" t="str">
        <f t="shared" si="18"/>
        <v/>
      </c>
      <c r="AF38" s="210" t="str">
        <f t="shared" si="7"/>
        <v/>
      </c>
      <c r="AG38" s="219" t="str">
        <f t="shared" si="8"/>
        <v/>
      </c>
      <c r="AH38" s="207" t="str">
        <f t="shared" si="9"/>
        <v/>
      </c>
    </row>
    <row r="39" spans="1:34" s="167" customFormat="1" ht="12.75" customHeight="1">
      <c r="A39" s="181">
        <v>32</v>
      </c>
      <c r="B39" s="177"/>
      <c r="C39" s="182"/>
      <c r="D39" s="179"/>
      <c r="E39" s="180" t="str">
        <f t="shared" si="10"/>
        <v/>
      </c>
      <c r="F39" s="179"/>
      <c r="G39" s="180" t="str">
        <f t="shared" si="11"/>
        <v/>
      </c>
      <c r="H39" s="179"/>
      <c r="I39" s="180" t="str">
        <f t="shared" si="12"/>
        <v/>
      </c>
      <c r="J39" s="179"/>
      <c r="K39" s="180" t="str">
        <f t="shared" si="13"/>
        <v/>
      </c>
      <c r="L39" s="179"/>
      <c r="M39" s="180" t="str">
        <f t="shared" si="14"/>
        <v/>
      </c>
      <c r="N39" s="179"/>
      <c r="O39" s="180" t="str">
        <f t="shared" si="15"/>
        <v/>
      </c>
      <c r="P39" s="179"/>
      <c r="Q39" s="192" t="str">
        <f t="shared" si="0"/>
        <v/>
      </c>
      <c r="R39" s="193"/>
      <c r="S39" s="179"/>
      <c r="T39" s="192" t="str">
        <f t="shared" si="16"/>
        <v/>
      </c>
      <c r="U39" s="193"/>
      <c r="V39" s="179"/>
      <c r="W39" s="192" t="str">
        <f t="shared" si="17"/>
        <v/>
      </c>
      <c r="X39" s="194"/>
      <c r="Y39" s="205" t="str">
        <f t="shared" si="1"/>
        <v/>
      </c>
      <c r="Z39" s="206" t="str">
        <f t="shared" si="2"/>
        <v/>
      </c>
      <c r="AA39" s="206" t="str">
        <f t="shared" si="3"/>
        <v/>
      </c>
      <c r="AB39" s="206" t="str">
        <f t="shared" si="4"/>
        <v/>
      </c>
      <c r="AC39" s="207" t="str">
        <f t="shared" si="5"/>
        <v/>
      </c>
      <c r="AD39" s="208" t="str">
        <f t="shared" si="6"/>
        <v/>
      </c>
      <c r="AE39" s="209" t="str">
        <f t="shared" si="18"/>
        <v/>
      </c>
      <c r="AF39" s="210" t="str">
        <f t="shared" si="7"/>
        <v/>
      </c>
      <c r="AG39" s="219" t="str">
        <f t="shared" si="8"/>
        <v/>
      </c>
      <c r="AH39" s="207" t="str">
        <f t="shared" si="9"/>
        <v/>
      </c>
    </row>
    <row r="40" spans="1:34" s="167" customFormat="1" ht="12.75" customHeight="1">
      <c r="A40" s="181">
        <v>33</v>
      </c>
      <c r="B40" s="177"/>
      <c r="C40" s="182"/>
      <c r="D40" s="179"/>
      <c r="E40" s="180" t="str">
        <f t="shared" si="10"/>
        <v/>
      </c>
      <c r="F40" s="179"/>
      <c r="G40" s="180" t="str">
        <f t="shared" si="11"/>
        <v/>
      </c>
      <c r="H40" s="179"/>
      <c r="I40" s="180" t="str">
        <f t="shared" si="12"/>
        <v/>
      </c>
      <c r="J40" s="179"/>
      <c r="K40" s="180" t="str">
        <f t="shared" si="13"/>
        <v/>
      </c>
      <c r="L40" s="179"/>
      <c r="M40" s="180" t="str">
        <f t="shared" si="14"/>
        <v/>
      </c>
      <c r="N40" s="179"/>
      <c r="O40" s="180" t="str">
        <f t="shared" si="15"/>
        <v/>
      </c>
      <c r="P40" s="179"/>
      <c r="Q40" s="192" t="str">
        <f t="shared" si="0"/>
        <v/>
      </c>
      <c r="R40" s="193"/>
      <c r="S40" s="179"/>
      <c r="T40" s="192" t="str">
        <f t="shared" si="16"/>
        <v/>
      </c>
      <c r="U40" s="193"/>
      <c r="V40" s="179"/>
      <c r="W40" s="192" t="str">
        <f t="shared" si="17"/>
        <v/>
      </c>
      <c r="X40" s="194"/>
      <c r="Y40" s="205" t="str">
        <f t="shared" si="1"/>
        <v/>
      </c>
      <c r="Z40" s="206" t="str">
        <f t="shared" si="2"/>
        <v/>
      </c>
      <c r="AA40" s="206" t="str">
        <f t="shared" si="3"/>
        <v/>
      </c>
      <c r="AB40" s="206" t="str">
        <f t="shared" si="4"/>
        <v/>
      </c>
      <c r="AC40" s="207" t="str">
        <f t="shared" si="5"/>
        <v/>
      </c>
      <c r="AD40" s="208" t="str">
        <f t="shared" si="6"/>
        <v/>
      </c>
      <c r="AE40" s="209" t="str">
        <f t="shared" si="18"/>
        <v/>
      </c>
      <c r="AF40" s="210" t="str">
        <f t="shared" si="7"/>
        <v/>
      </c>
      <c r="AG40" s="219" t="str">
        <f t="shared" si="8"/>
        <v/>
      </c>
      <c r="AH40" s="207" t="str">
        <f t="shared" si="9"/>
        <v/>
      </c>
    </row>
    <row r="41" spans="1:34" s="167" customFormat="1" ht="12.75" customHeight="1">
      <c r="A41" s="181">
        <v>34</v>
      </c>
      <c r="B41" s="177"/>
      <c r="C41" s="182"/>
      <c r="D41" s="179"/>
      <c r="E41" s="180" t="str">
        <f t="shared" si="10"/>
        <v/>
      </c>
      <c r="F41" s="179"/>
      <c r="G41" s="180" t="str">
        <f t="shared" si="11"/>
        <v/>
      </c>
      <c r="H41" s="179"/>
      <c r="I41" s="180" t="str">
        <f t="shared" si="12"/>
        <v/>
      </c>
      <c r="J41" s="179"/>
      <c r="K41" s="180" t="str">
        <f t="shared" si="13"/>
        <v/>
      </c>
      <c r="L41" s="179"/>
      <c r="M41" s="180" t="str">
        <f t="shared" si="14"/>
        <v/>
      </c>
      <c r="N41" s="179"/>
      <c r="O41" s="180" t="str">
        <f t="shared" si="15"/>
        <v/>
      </c>
      <c r="P41" s="179"/>
      <c r="Q41" s="192" t="str">
        <f t="shared" si="0"/>
        <v/>
      </c>
      <c r="R41" s="193"/>
      <c r="S41" s="179"/>
      <c r="T41" s="192" t="str">
        <f t="shared" si="16"/>
        <v/>
      </c>
      <c r="U41" s="193"/>
      <c r="V41" s="179"/>
      <c r="W41" s="192" t="str">
        <f t="shared" si="17"/>
        <v/>
      </c>
      <c r="X41" s="194"/>
      <c r="Y41" s="205" t="str">
        <f t="shared" si="1"/>
        <v/>
      </c>
      <c r="Z41" s="206" t="str">
        <f t="shared" si="2"/>
        <v/>
      </c>
      <c r="AA41" s="206" t="str">
        <f t="shared" si="3"/>
        <v/>
      </c>
      <c r="AB41" s="206" t="str">
        <f t="shared" si="4"/>
        <v/>
      </c>
      <c r="AC41" s="207" t="str">
        <f t="shared" si="5"/>
        <v/>
      </c>
      <c r="AD41" s="208" t="str">
        <f t="shared" si="6"/>
        <v/>
      </c>
      <c r="AE41" s="209" t="str">
        <f t="shared" si="18"/>
        <v/>
      </c>
      <c r="AF41" s="210" t="str">
        <f t="shared" si="7"/>
        <v/>
      </c>
      <c r="AG41" s="219" t="str">
        <f t="shared" si="8"/>
        <v/>
      </c>
      <c r="AH41" s="207" t="str">
        <f t="shared" si="9"/>
        <v/>
      </c>
    </row>
    <row r="42" spans="1:34" s="167" customFormat="1" ht="12.75" customHeight="1">
      <c r="A42" s="181">
        <v>35</v>
      </c>
      <c r="B42" s="177"/>
      <c r="C42" s="182"/>
      <c r="D42" s="179"/>
      <c r="E42" s="180" t="str">
        <f t="shared" si="10"/>
        <v/>
      </c>
      <c r="F42" s="179"/>
      <c r="G42" s="180" t="str">
        <f t="shared" si="11"/>
        <v/>
      </c>
      <c r="H42" s="179"/>
      <c r="I42" s="180" t="str">
        <f t="shared" si="12"/>
        <v/>
      </c>
      <c r="J42" s="179"/>
      <c r="K42" s="180" t="str">
        <f t="shared" si="13"/>
        <v/>
      </c>
      <c r="L42" s="179"/>
      <c r="M42" s="180" t="str">
        <f t="shared" si="14"/>
        <v/>
      </c>
      <c r="N42" s="179"/>
      <c r="O42" s="180" t="str">
        <f t="shared" si="15"/>
        <v/>
      </c>
      <c r="P42" s="179"/>
      <c r="Q42" s="192" t="str">
        <f t="shared" si="0"/>
        <v/>
      </c>
      <c r="R42" s="193"/>
      <c r="S42" s="179"/>
      <c r="T42" s="192" t="str">
        <f t="shared" si="16"/>
        <v/>
      </c>
      <c r="U42" s="193"/>
      <c r="V42" s="179"/>
      <c r="W42" s="192" t="str">
        <f t="shared" si="17"/>
        <v/>
      </c>
      <c r="X42" s="194"/>
      <c r="Y42" s="205" t="str">
        <f t="shared" si="1"/>
        <v/>
      </c>
      <c r="Z42" s="206" t="str">
        <f t="shared" si="2"/>
        <v/>
      </c>
      <c r="AA42" s="206" t="str">
        <f t="shared" si="3"/>
        <v/>
      </c>
      <c r="AB42" s="206" t="str">
        <f t="shared" si="4"/>
        <v/>
      </c>
      <c r="AC42" s="207" t="str">
        <f t="shared" si="5"/>
        <v/>
      </c>
      <c r="AD42" s="208" t="str">
        <f t="shared" si="6"/>
        <v/>
      </c>
      <c r="AE42" s="209" t="str">
        <f t="shared" si="18"/>
        <v/>
      </c>
      <c r="AF42" s="210" t="str">
        <f t="shared" si="7"/>
        <v/>
      </c>
      <c r="AG42" s="219" t="str">
        <f t="shared" si="8"/>
        <v/>
      </c>
      <c r="AH42" s="207" t="str">
        <f t="shared" si="9"/>
        <v/>
      </c>
    </row>
    <row r="43" spans="1:34" s="167" customFormat="1" ht="12.75" customHeight="1">
      <c r="A43" s="181">
        <v>36</v>
      </c>
      <c r="B43" s="177"/>
      <c r="C43" s="182"/>
      <c r="D43" s="179"/>
      <c r="E43" s="180" t="str">
        <f t="shared" si="10"/>
        <v/>
      </c>
      <c r="F43" s="179"/>
      <c r="G43" s="180" t="str">
        <f t="shared" si="11"/>
        <v/>
      </c>
      <c r="H43" s="179"/>
      <c r="I43" s="180" t="str">
        <f t="shared" si="12"/>
        <v/>
      </c>
      <c r="J43" s="179"/>
      <c r="K43" s="180" t="str">
        <f t="shared" si="13"/>
        <v/>
      </c>
      <c r="L43" s="179"/>
      <c r="M43" s="180" t="str">
        <f t="shared" si="14"/>
        <v/>
      </c>
      <c r="N43" s="179"/>
      <c r="O43" s="180" t="str">
        <f t="shared" si="15"/>
        <v/>
      </c>
      <c r="P43" s="179"/>
      <c r="Q43" s="192" t="str">
        <f t="shared" si="0"/>
        <v/>
      </c>
      <c r="R43" s="193"/>
      <c r="S43" s="179"/>
      <c r="T43" s="192" t="str">
        <f t="shared" si="16"/>
        <v/>
      </c>
      <c r="U43" s="193"/>
      <c r="V43" s="179"/>
      <c r="W43" s="192" t="str">
        <f t="shared" si="17"/>
        <v/>
      </c>
      <c r="X43" s="194"/>
      <c r="Y43" s="205" t="str">
        <f t="shared" si="1"/>
        <v/>
      </c>
      <c r="Z43" s="206" t="str">
        <f t="shared" si="2"/>
        <v/>
      </c>
      <c r="AA43" s="206" t="str">
        <f t="shared" si="3"/>
        <v/>
      </c>
      <c r="AB43" s="206" t="str">
        <f t="shared" si="4"/>
        <v/>
      </c>
      <c r="AC43" s="207" t="str">
        <f t="shared" si="5"/>
        <v/>
      </c>
      <c r="AD43" s="208" t="str">
        <f t="shared" si="6"/>
        <v/>
      </c>
      <c r="AE43" s="209" t="str">
        <f t="shared" si="18"/>
        <v/>
      </c>
      <c r="AF43" s="210" t="str">
        <f t="shared" si="7"/>
        <v/>
      </c>
      <c r="AG43" s="219" t="str">
        <f t="shared" si="8"/>
        <v/>
      </c>
      <c r="AH43" s="207" t="str">
        <f t="shared" si="9"/>
        <v/>
      </c>
    </row>
    <row r="44" spans="1:34" s="167" customFormat="1" ht="12.75" customHeight="1">
      <c r="A44" s="181">
        <v>37</v>
      </c>
      <c r="B44" s="177"/>
      <c r="C44" s="182"/>
      <c r="D44" s="179"/>
      <c r="E44" s="180" t="str">
        <f t="shared" si="10"/>
        <v/>
      </c>
      <c r="F44" s="179"/>
      <c r="G44" s="180" t="str">
        <f t="shared" si="11"/>
        <v/>
      </c>
      <c r="H44" s="179"/>
      <c r="I44" s="180" t="str">
        <f t="shared" si="12"/>
        <v/>
      </c>
      <c r="J44" s="179"/>
      <c r="K44" s="180" t="str">
        <f t="shared" si="13"/>
        <v/>
      </c>
      <c r="L44" s="179"/>
      <c r="M44" s="180" t="str">
        <f t="shared" si="14"/>
        <v/>
      </c>
      <c r="N44" s="179"/>
      <c r="O44" s="180" t="str">
        <f t="shared" si="15"/>
        <v/>
      </c>
      <c r="P44" s="179"/>
      <c r="Q44" s="192" t="str">
        <f t="shared" si="0"/>
        <v/>
      </c>
      <c r="R44" s="193"/>
      <c r="S44" s="179"/>
      <c r="T44" s="192" t="str">
        <f t="shared" si="16"/>
        <v/>
      </c>
      <c r="U44" s="193"/>
      <c r="V44" s="179"/>
      <c r="W44" s="192" t="str">
        <f t="shared" si="17"/>
        <v/>
      </c>
      <c r="X44" s="194"/>
      <c r="Y44" s="205" t="str">
        <f t="shared" si="1"/>
        <v/>
      </c>
      <c r="Z44" s="206" t="str">
        <f t="shared" si="2"/>
        <v/>
      </c>
      <c r="AA44" s="206" t="str">
        <f t="shared" si="3"/>
        <v/>
      </c>
      <c r="AB44" s="206" t="str">
        <f t="shared" si="4"/>
        <v/>
      </c>
      <c r="AC44" s="207" t="str">
        <f t="shared" si="5"/>
        <v/>
      </c>
      <c r="AD44" s="208" t="str">
        <f t="shared" si="6"/>
        <v/>
      </c>
      <c r="AE44" s="209" t="str">
        <f t="shared" si="18"/>
        <v/>
      </c>
      <c r="AF44" s="210" t="str">
        <f t="shared" si="7"/>
        <v/>
      </c>
      <c r="AG44" s="219" t="str">
        <f t="shared" si="8"/>
        <v/>
      </c>
      <c r="AH44" s="207" t="str">
        <f t="shared" si="9"/>
        <v/>
      </c>
    </row>
    <row r="45" spans="1:34" s="167" customFormat="1" ht="12.75" customHeight="1">
      <c r="A45" s="181">
        <v>38</v>
      </c>
      <c r="B45" s="177"/>
      <c r="C45" s="182"/>
      <c r="D45" s="179"/>
      <c r="E45" s="180" t="str">
        <f t="shared" si="10"/>
        <v/>
      </c>
      <c r="F45" s="179"/>
      <c r="G45" s="180" t="str">
        <f t="shared" si="11"/>
        <v/>
      </c>
      <c r="H45" s="179"/>
      <c r="I45" s="180" t="str">
        <f t="shared" si="12"/>
        <v/>
      </c>
      <c r="J45" s="179"/>
      <c r="K45" s="180" t="str">
        <f t="shared" si="13"/>
        <v/>
      </c>
      <c r="L45" s="179"/>
      <c r="M45" s="180" t="str">
        <f t="shared" si="14"/>
        <v/>
      </c>
      <c r="N45" s="179"/>
      <c r="O45" s="180" t="str">
        <f t="shared" si="15"/>
        <v/>
      </c>
      <c r="P45" s="179"/>
      <c r="Q45" s="192" t="str">
        <f t="shared" si="0"/>
        <v/>
      </c>
      <c r="R45" s="193"/>
      <c r="S45" s="179"/>
      <c r="T45" s="192" t="str">
        <f t="shared" si="16"/>
        <v/>
      </c>
      <c r="U45" s="193"/>
      <c r="V45" s="179"/>
      <c r="W45" s="192" t="str">
        <f t="shared" si="17"/>
        <v/>
      </c>
      <c r="X45" s="194"/>
      <c r="Y45" s="205" t="str">
        <f t="shared" si="1"/>
        <v/>
      </c>
      <c r="Z45" s="206" t="str">
        <f t="shared" si="2"/>
        <v/>
      </c>
      <c r="AA45" s="206" t="str">
        <f t="shared" si="3"/>
        <v/>
      </c>
      <c r="AB45" s="206" t="str">
        <f t="shared" si="4"/>
        <v/>
      </c>
      <c r="AC45" s="207" t="str">
        <f t="shared" si="5"/>
        <v/>
      </c>
      <c r="AD45" s="208" t="str">
        <f t="shared" si="6"/>
        <v/>
      </c>
      <c r="AE45" s="209" t="str">
        <f t="shared" si="18"/>
        <v/>
      </c>
      <c r="AF45" s="210" t="str">
        <f t="shared" si="7"/>
        <v/>
      </c>
      <c r="AG45" s="219" t="str">
        <f t="shared" si="8"/>
        <v/>
      </c>
      <c r="AH45" s="207" t="str">
        <f t="shared" si="9"/>
        <v/>
      </c>
    </row>
    <row r="46" spans="1:34" s="167" customFormat="1" ht="12.75" customHeight="1">
      <c r="A46" s="181">
        <v>39</v>
      </c>
      <c r="B46" s="177"/>
      <c r="C46" s="182"/>
      <c r="D46" s="179"/>
      <c r="E46" s="180" t="str">
        <f t="shared" si="10"/>
        <v/>
      </c>
      <c r="F46" s="179"/>
      <c r="G46" s="180" t="str">
        <f t="shared" si="11"/>
        <v/>
      </c>
      <c r="H46" s="179"/>
      <c r="I46" s="180" t="str">
        <f t="shared" si="12"/>
        <v/>
      </c>
      <c r="J46" s="179"/>
      <c r="K46" s="180" t="str">
        <f t="shared" si="13"/>
        <v/>
      </c>
      <c r="L46" s="179"/>
      <c r="M46" s="180" t="str">
        <f t="shared" si="14"/>
        <v/>
      </c>
      <c r="N46" s="179"/>
      <c r="O46" s="180" t="str">
        <f t="shared" si="15"/>
        <v/>
      </c>
      <c r="P46" s="179"/>
      <c r="Q46" s="192" t="str">
        <f t="shared" si="0"/>
        <v/>
      </c>
      <c r="R46" s="193"/>
      <c r="S46" s="179"/>
      <c r="T46" s="192" t="str">
        <f t="shared" si="16"/>
        <v/>
      </c>
      <c r="U46" s="193"/>
      <c r="V46" s="179"/>
      <c r="W46" s="192" t="str">
        <f t="shared" si="17"/>
        <v/>
      </c>
      <c r="X46" s="194"/>
      <c r="Y46" s="205" t="str">
        <f t="shared" si="1"/>
        <v/>
      </c>
      <c r="Z46" s="206" t="str">
        <f t="shared" si="2"/>
        <v/>
      </c>
      <c r="AA46" s="206" t="str">
        <f t="shared" si="3"/>
        <v/>
      </c>
      <c r="AB46" s="206" t="str">
        <f t="shared" si="4"/>
        <v/>
      </c>
      <c r="AC46" s="207" t="str">
        <f t="shared" si="5"/>
        <v/>
      </c>
      <c r="AD46" s="208" t="str">
        <f t="shared" si="6"/>
        <v/>
      </c>
      <c r="AE46" s="209" t="str">
        <f t="shared" si="18"/>
        <v/>
      </c>
      <c r="AF46" s="210" t="str">
        <f t="shared" si="7"/>
        <v/>
      </c>
      <c r="AG46" s="219" t="str">
        <f t="shared" si="8"/>
        <v/>
      </c>
      <c r="AH46" s="207" t="str">
        <f t="shared" si="9"/>
        <v/>
      </c>
    </row>
    <row r="47" spans="1:34" s="167" customFormat="1" ht="12.75" customHeight="1">
      <c r="A47" s="181">
        <v>40</v>
      </c>
      <c r="B47" s="177"/>
      <c r="C47" s="182"/>
      <c r="D47" s="179"/>
      <c r="E47" s="180" t="str">
        <f t="shared" si="10"/>
        <v/>
      </c>
      <c r="F47" s="179"/>
      <c r="G47" s="180" t="str">
        <f t="shared" si="11"/>
        <v/>
      </c>
      <c r="H47" s="179"/>
      <c r="I47" s="180" t="str">
        <f t="shared" si="12"/>
        <v/>
      </c>
      <c r="J47" s="179"/>
      <c r="K47" s="180" t="str">
        <f t="shared" si="13"/>
        <v/>
      </c>
      <c r="L47" s="179"/>
      <c r="M47" s="180" t="str">
        <f t="shared" si="14"/>
        <v/>
      </c>
      <c r="N47" s="179"/>
      <c r="O47" s="180" t="str">
        <f t="shared" si="15"/>
        <v/>
      </c>
      <c r="P47" s="179"/>
      <c r="Q47" s="192" t="str">
        <f t="shared" si="0"/>
        <v/>
      </c>
      <c r="R47" s="193"/>
      <c r="S47" s="179"/>
      <c r="T47" s="192" t="str">
        <f t="shared" si="16"/>
        <v/>
      </c>
      <c r="U47" s="193"/>
      <c r="V47" s="179"/>
      <c r="W47" s="192" t="str">
        <f t="shared" si="17"/>
        <v/>
      </c>
      <c r="X47" s="194"/>
      <c r="Y47" s="205" t="str">
        <f t="shared" si="1"/>
        <v/>
      </c>
      <c r="Z47" s="206" t="str">
        <f t="shared" si="2"/>
        <v/>
      </c>
      <c r="AA47" s="206" t="str">
        <f t="shared" si="3"/>
        <v/>
      </c>
      <c r="AB47" s="206" t="str">
        <f t="shared" si="4"/>
        <v/>
      </c>
      <c r="AC47" s="207" t="str">
        <f t="shared" si="5"/>
        <v/>
      </c>
      <c r="AD47" s="208" t="str">
        <f t="shared" si="6"/>
        <v/>
      </c>
      <c r="AE47" s="209" t="str">
        <f t="shared" si="18"/>
        <v/>
      </c>
      <c r="AF47" s="210" t="str">
        <f t="shared" si="7"/>
        <v/>
      </c>
      <c r="AG47" s="219" t="str">
        <f t="shared" si="8"/>
        <v/>
      </c>
      <c r="AH47" s="207" t="str">
        <f t="shared" si="9"/>
        <v/>
      </c>
    </row>
    <row r="48" spans="1:34" s="167" customFormat="1" ht="12.75" customHeight="1">
      <c r="A48" s="181">
        <v>41</v>
      </c>
      <c r="B48" s="177"/>
      <c r="C48" s="182"/>
      <c r="D48" s="179"/>
      <c r="E48" s="180" t="str">
        <f t="shared" si="10"/>
        <v/>
      </c>
      <c r="F48" s="179"/>
      <c r="G48" s="180" t="str">
        <f t="shared" si="11"/>
        <v/>
      </c>
      <c r="H48" s="179"/>
      <c r="I48" s="180" t="str">
        <f t="shared" si="12"/>
        <v/>
      </c>
      <c r="J48" s="179"/>
      <c r="K48" s="180" t="str">
        <f t="shared" si="13"/>
        <v/>
      </c>
      <c r="L48" s="179"/>
      <c r="M48" s="180" t="str">
        <f t="shared" si="14"/>
        <v/>
      </c>
      <c r="N48" s="179"/>
      <c r="O48" s="180" t="str">
        <f t="shared" si="15"/>
        <v/>
      </c>
      <c r="P48" s="179"/>
      <c r="Q48" s="192" t="str">
        <f t="shared" si="0"/>
        <v/>
      </c>
      <c r="R48" s="193"/>
      <c r="S48" s="179"/>
      <c r="T48" s="192" t="str">
        <f t="shared" si="16"/>
        <v/>
      </c>
      <c r="U48" s="193"/>
      <c r="V48" s="179"/>
      <c r="W48" s="192" t="str">
        <f t="shared" si="17"/>
        <v/>
      </c>
      <c r="X48" s="194"/>
      <c r="Y48" s="205" t="str">
        <f t="shared" si="1"/>
        <v/>
      </c>
      <c r="Z48" s="206" t="str">
        <f t="shared" si="2"/>
        <v/>
      </c>
      <c r="AA48" s="206" t="str">
        <f t="shared" si="3"/>
        <v/>
      </c>
      <c r="AB48" s="206" t="str">
        <f t="shared" si="4"/>
        <v/>
      </c>
      <c r="AC48" s="207" t="str">
        <f t="shared" si="5"/>
        <v/>
      </c>
      <c r="AD48" s="208" t="str">
        <f t="shared" si="6"/>
        <v/>
      </c>
      <c r="AE48" s="209" t="str">
        <f t="shared" si="18"/>
        <v/>
      </c>
      <c r="AF48" s="210" t="str">
        <f t="shared" si="7"/>
        <v/>
      </c>
      <c r="AG48" s="219" t="str">
        <f t="shared" si="8"/>
        <v/>
      </c>
      <c r="AH48" s="207" t="str">
        <f t="shared" si="9"/>
        <v/>
      </c>
    </row>
    <row r="49" spans="1:36" s="167" customFormat="1" ht="12.75" customHeight="1">
      <c r="A49" s="181">
        <v>42</v>
      </c>
      <c r="B49" s="177"/>
      <c r="C49" s="182"/>
      <c r="D49" s="179"/>
      <c r="E49" s="180" t="str">
        <f t="shared" si="10"/>
        <v/>
      </c>
      <c r="F49" s="179"/>
      <c r="G49" s="180" t="str">
        <f t="shared" si="11"/>
        <v/>
      </c>
      <c r="H49" s="179"/>
      <c r="I49" s="180" t="str">
        <f t="shared" si="12"/>
        <v/>
      </c>
      <c r="J49" s="179"/>
      <c r="K49" s="180" t="str">
        <f t="shared" si="13"/>
        <v/>
      </c>
      <c r="L49" s="179"/>
      <c r="M49" s="180" t="str">
        <f t="shared" si="14"/>
        <v/>
      </c>
      <c r="N49" s="179"/>
      <c r="O49" s="180" t="str">
        <f t="shared" si="15"/>
        <v/>
      </c>
      <c r="P49" s="179"/>
      <c r="Q49" s="192" t="str">
        <f t="shared" si="0"/>
        <v/>
      </c>
      <c r="R49" s="193"/>
      <c r="S49" s="179"/>
      <c r="T49" s="192" t="str">
        <f t="shared" si="16"/>
        <v/>
      </c>
      <c r="U49" s="193"/>
      <c r="V49" s="179"/>
      <c r="W49" s="192" t="str">
        <f t="shared" si="17"/>
        <v/>
      </c>
      <c r="X49" s="194"/>
      <c r="Y49" s="205" t="str">
        <f t="shared" si="1"/>
        <v/>
      </c>
      <c r="Z49" s="206" t="str">
        <f t="shared" si="2"/>
        <v/>
      </c>
      <c r="AA49" s="206" t="str">
        <f t="shared" si="3"/>
        <v/>
      </c>
      <c r="AB49" s="206" t="str">
        <f t="shared" si="4"/>
        <v/>
      </c>
      <c r="AC49" s="207" t="str">
        <f t="shared" si="5"/>
        <v/>
      </c>
      <c r="AD49" s="208" t="str">
        <f t="shared" si="6"/>
        <v/>
      </c>
      <c r="AE49" s="209" t="str">
        <f t="shared" si="18"/>
        <v/>
      </c>
      <c r="AF49" s="210" t="str">
        <f t="shared" si="7"/>
        <v/>
      </c>
      <c r="AG49" s="219" t="str">
        <f t="shared" si="8"/>
        <v/>
      </c>
      <c r="AH49" s="207" t="str">
        <f t="shared" si="9"/>
        <v/>
      </c>
    </row>
    <row r="50" spans="1:36" s="167" customFormat="1" ht="12.75" customHeight="1">
      <c r="A50" s="181">
        <v>43</v>
      </c>
      <c r="B50" s="177"/>
      <c r="C50" s="182"/>
      <c r="D50" s="179"/>
      <c r="E50" s="180" t="str">
        <f t="shared" si="10"/>
        <v/>
      </c>
      <c r="F50" s="179"/>
      <c r="G50" s="180" t="str">
        <f t="shared" si="11"/>
        <v/>
      </c>
      <c r="H50" s="179"/>
      <c r="I50" s="180" t="str">
        <f t="shared" si="12"/>
        <v/>
      </c>
      <c r="J50" s="179"/>
      <c r="K50" s="180" t="str">
        <f t="shared" si="13"/>
        <v/>
      </c>
      <c r="L50" s="179"/>
      <c r="M50" s="180" t="str">
        <f t="shared" si="14"/>
        <v/>
      </c>
      <c r="N50" s="179"/>
      <c r="O50" s="180" t="str">
        <f t="shared" si="15"/>
        <v/>
      </c>
      <c r="P50" s="179"/>
      <c r="Q50" s="192" t="str">
        <f t="shared" si="0"/>
        <v/>
      </c>
      <c r="R50" s="193"/>
      <c r="S50" s="179"/>
      <c r="T50" s="192" t="str">
        <f t="shared" si="16"/>
        <v/>
      </c>
      <c r="U50" s="193"/>
      <c r="V50" s="179"/>
      <c r="W50" s="192" t="str">
        <f t="shared" si="17"/>
        <v/>
      </c>
      <c r="X50" s="194"/>
      <c r="Y50" s="205" t="str">
        <f t="shared" si="1"/>
        <v/>
      </c>
      <c r="Z50" s="206" t="str">
        <f t="shared" si="2"/>
        <v/>
      </c>
      <c r="AA50" s="206" t="str">
        <f t="shared" si="3"/>
        <v/>
      </c>
      <c r="AB50" s="206" t="str">
        <f t="shared" si="4"/>
        <v/>
      </c>
      <c r="AC50" s="207" t="str">
        <f t="shared" si="5"/>
        <v/>
      </c>
      <c r="AD50" s="208" t="str">
        <f t="shared" si="6"/>
        <v/>
      </c>
      <c r="AE50" s="209" t="str">
        <f t="shared" si="18"/>
        <v/>
      </c>
      <c r="AF50" s="210" t="str">
        <f t="shared" si="7"/>
        <v/>
      </c>
      <c r="AG50" s="219" t="str">
        <f t="shared" si="8"/>
        <v/>
      </c>
      <c r="AH50" s="207" t="str">
        <f t="shared" si="9"/>
        <v/>
      </c>
    </row>
    <row r="51" spans="1:36" s="167" customFormat="1" ht="12.75" customHeight="1">
      <c r="A51" s="181">
        <v>44</v>
      </c>
      <c r="B51" s="177"/>
      <c r="C51" s="182"/>
      <c r="D51" s="179"/>
      <c r="E51" s="180" t="str">
        <f t="shared" si="10"/>
        <v/>
      </c>
      <c r="F51" s="179"/>
      <c r="G51" s="180" t="str">
        <f t="shared" si="11"/>
        <v/>
      </c>
      <c r="H51" s="179"/>
      <c r="I51" s="180" t="str">
        <f t="shared" si="12"/>
        <v/>
      </c>
      <c r="J51" s="179"/>
      <c r="K51" s="180" t="str">
        <f t="shared" si="13"/>
        <v/>
      </c>
      <c r="L51" s="179"/>
      <c r="M51" s="180" t="str">
        <f t="shared" si="14"/>
        <v/>
      </c>
      <c r="N51" s="179"/>
      <c r="O51" s="180" t="str">
        <f t="shared" si="15"/>
        <v/>
      </c>
      <c r="P51" s="179"/>
      <c r="Q51" s="192" t="str">
        <f t="shared" si="0"/>
        <v/>
      </c>
      <c r="R51" s="193"/>
      <c r="S51" s="179"/>
      <c r="T51" s="192" t="str">
        <f t="shared" si="16"/>
        <v/>
      </c>
      <c r="U51" s="193"/>
      <c r="V51" s="179"/>
      <c r="W51" s="192" t="str">
        <f t="shared" si="17"/>
        <v/>
      </c>
      <c r="X51" s="194"/>
      <c r="Y51" s="205" t="str">
        <f t="shared" si="1"/>
        <v/>
      </c>
      <c r="Z51" s="206" t="str">
        <f t="shared" si="2"/>
        <v/>
      </c>
      <c r="AA51" s="206" t="str">
        <f t="shared" si="3"/>
        <v/>
      </c>
      <c r="AB51" s="206" t="str">
        <f t="shared" si="4"/>
        <v/>
      </c>
      <c r="AC51" s="207" t="str">
        <f t="shared" si="5"/>
        <v/>
      </c>
      <c r="AD51" s="208" t="str">
        <f t="shared" si="6"/>
        <v/>
      </c>
      <c r="AE51" s="209" t="str">
        <f t="shared" si="18"/>
        <v/>
      </c>
      <c r="AF51" s="210" t="str">
        <f t="shared" si="7"/>
        <v/>
      </c>
      <c r="AG51" s="219" t="str">
        <f t="shared" si="8"/>
        <v/>
      </c>
      <c r="AH51" s="207" t="str">
        <f t="shared" si="9"/>
        <v/>
      </c>
    </row>
    <row r="52" spans="1:36" s="167" customFormat="1" ht="12.75" customHeight="1">
      <c r="A52" s="181">
        <v>45</v>
      </c>
      <c r="B52" s="177"/>
      <c r="C52" s="182"/>
      <c r="D52" s="179"/>
      <c r="E52" s="180" t="str">
        <f t="shared" si="10"/>
        <v/>
      </c>
      <c r="F52" s="179"/>
      <c r="G52" s="180" t="str">
        <f t="shared" si="11"/>
        <v/>
      </c>
      <c r="H52" s="179"/>
      <c r="I52" s="180" t="str">
        <f t="shared" si="12"/>
        <v/>
      </c>
      <c r="J52" s="179"/>
      <c r="K52" s="180" t="str">
        <f t="shared" si="13"/>
        <v/>
      </c>
      <c r="L52" s="179"/>
      <c r="M52" s="180" t="str">
        <f t="shared" si="14"/>
        <v/>
      </c>
      <c r="N52" s="179"/>
      <c r="O52" s="180" t="str">
        <f t="shared" si="15"/>
        <v/>
      </c>
      <c r="P52" s="179"/>
      <c r="Q52" s="192" t="str">
        <f t="shared" si="0"/>
        <v/>
      </c>
      <c r="R52" s="193"/>
      <c r="S52" s="179"/>
      <c r="T52" s="192" t="str">
        <f t="shared" si="16"/>
        <v/>
      </c>
      <c r="U52" s="193"/>
      <c r="V52" s="179"/>
      <c r="W52" s="192" t="str">
        <f t="shared" si="17"/>
        <v/>
      </c>
      <c r="X52" s="194"/>
      <c r="Y52" s="205" t="str">
        <f t="shared" si="1"/>
        <v/>
      </c>
      <c r="Z52" s="206" t="str">
        <f t="shared" si="2"/>
        <v/>
      </c>
      <c r="AA52" s="206" t="str">
        <f t="shared" si="3"/>
        <v/>
      </c>
      <c r="AB52" s="206" t="str">
        <f t="shared" si="4"/>
        <v/>
      </c>
      <c r="AC52" s="207" t="str">
        <f t="shared" si="5"/>
        <v/>
      </c>
      <c r="AD52" s="208" t="str">
        <f t="shared" si="6"/>
        <v/>
      </c>
      <c r="AE52" s="209" t="str">
        <f t="shared" si="18"/>
        <v/>
      </c>
      <c r="AF52" s="210" t="str">
        <f t="shared" si="7"/>
        <v/>
      </c>
      <c r="AG52" s="219" t="str">
        <f t="shared" si="8"/>
        <v/>
      </c>
      <c r="AH52" s="207" t="str">
        <f t="shared" si="9"/>
        <v/>
      </c>
    </row>
    <row r="53" spans="1:36" s="167" customFormat="1" ht="12.75" customHeight="1">
      <c r="A53" s="181">
        <v>46</v>
      </c>
      <c r="B53" s="177"/>
      <c r="C53" s="182"/>
      <c r="D53" s="179"/>
      <c r="E53" s="180" t="str">
        <f t="shared" si="10"/>
        <v/>
      </c>
      <c r="F53" s="179"/>
      <c r="G53" s="180" t="str">
        <f t="shared" si="11"/>
        <v/>
      </c>
      <c r="H53" s="179"/>
      <c r="I53" s="180" t="str">
        <f t="shared" si="12"/>
        <v/>
      </c>
      <c r="J53" s="179"/>
      <c r="K53" s="180" t="str">
        <f t="shared" si="13"/>
        <v/>
      </c>
      <c r="L53" s="179"/>
      <c r="M53" s="180" t="str">
        <f t="shared" si="14"/>
        <v/>
      </c>
      <c r="N53" s="179"/>
      <c r="O53" s="180" t="str">
        <f t="shared" si="15"/>
        <v/>
      </c>
      <c r="P53" s="179"/>
      <c r="Q53" s="192" t="str">
        <f t="shared" si="0"/>
        <v/>
      </c>
      <c r="R53" s="193"/>
      <c r="S53" s="179"/>
      <c r="T53" s="192" t="str">
        <f t="shared" si="16"/>
        <v/>
      </c>
      <c r="U53" s="193"/>
      <c r="V53" s="179"/>
      <c r="W53" s="192" t="str">
        <f t="shared" si="17"/>
        <v/>
      </c>
      <c r="X53" s="194"/>
      <c r="Y53" s="205" t="str">
        <f t="shared" si="1"/>
        <v/>
      </c>
      <c r="Z53" s="206" t="str">
        <f t="shared" si="2"/>
        <v/>
      </c>
      <c r="AA53" s="206" t="str">
        <f t="shared" si="3"/>
        <v/>
      </c>
      <c r="AB53" s="206" t="str">
        <f t="shared" si="4"/>
        <v/>
      </c>
      <c r="AC53" s="207" t="str">
        <f t="shared" si="5"/>
        <v/>
      </c>
      <c r="AD53" s="208" t="str">
        <f t="shared" si="6"/>
        <v/>
      </c>
      <c r="AE53" s="209" t="str">
        <f t="shared" si="18"/>
        <v/>
      </c>
      <c r="AF53" s="210" t="str">
        <f t="shared" si="7"/>
        <v/>
      </c>
      <c r="AG53" s="219" t="str">
        <f t="shared" si="8"/>
        <v/>
      </c>
      <c r="AH53" s="207" t="str">
        <f t="shared" si="9"/>
        <v/>
      </c>
    </row>
    <row r="54" spans="1:36" s="167" customFormat="1" ht="12.75" customHeight="1">
      <c r="A54" s="181">
        <v>47</v>
      </c>
      <c r="B54" s="177"/>
      <c r="C54" s="182"/>
      <c r="D54" s="179"/>
      <c r="E54" s="180" t="str">
        <f t="shared" si="10"/>
        <v/>
      </c>
      <c r="F54" s="179"/>
      <c r="G54" s="180" t="str">
        <f t="shared" si="11"/>
        <v/>
      </c>
      <c r="H54" s="179"/>
      <c r="I54" s="180" t="str">
        <f t="shared" si="12"/>
        <v/>
      </c>
      <c r="J54" s="179"/>
      <c r="K54" s="180" t="str">
        <f t="shared" si="13"/>
        <v/>
      </c>
      <c r="L54" s="179"/>
      <c r="M54" s="180" t="str">
        <f t="shared" si="14"/>
        <v/>
      </c>
      <c r="N54" s="179"/>
      <c r="O54" s="180" t="str">
        <f t="shared" si="15"/>
        <v/>
      </c>
      <c r="P54" s="179"/>
      <c r="Q54" s="192" t="str">
        <f t="shared" si="0"/>
        <v/>
      </c>
      <c r="R54" s="193"/>
      <c r="S54" s="179"/>
      <c r="T54" s="192" t="str">
        <f t="shared" si="16"/>
        <v/>
      </c>
      <c r="U54" s="193"/>
      <c r="V54" s="179"/>
      <c r="W54" s="192" t="str">
        <f t="shared" si="17"/>
        <v/>
      </c>
      <c r="X54" s="194"/>
      <c r="Y54" s="205" t="str">
        <f t="shared" si="1"/>
        <v/>
      </c>
      <c r="Z54" s="206" t="str">
        <f t="shared" si="2"/>
        <v/>
      </c>
      <c r="AA54" s="206" t="str">
        <f t="shared" si="3"/>
        <v/>
      </c>
      <c r="AB54" s="206" t="str">
        <f t="shared" si="4"/>
        <v/>
      </c>
      <c r="AC54" s="207" t="str">
        <f t="shared" si="5"/>
        <v/>
      </c>
      <c r="AD54" s="208" t="str">
        <f t="shared" si="6"/>
        <v/>
      </c>
      <c r="AE54" s="209" t="str">
        <f t="shared" si="18"/>
        <v/>
      </c>
      <c r="AF54" s="210" t="str">
        <f t="shared" si="7"/>
        <v/>
      </c>
      <c r="AG54" s="219" t="str">
        <f t="shared" si="8"/>
        <v/>
      </c>
      <c r="AH54" s="207" t="str">
        <f t="shared" si="9"/>
        <v/>
      </c>
    </row>
    <row r="55" spans="1:36" s="167" customFormat="1" ht="12.75" customHeight="1">
      <c r="A55" s="181">
        <v>48</v>
      </c>
      <c r="B55" s="177"/>
      <c r="C55" s="182"/>
      <c r="D55" s="179"/>
      <c r="E55" s="180" t="str">
        <f t="shared" si="10"/>
        <v/>
      </c>
      <c r="F55" s="179"/>
      <c r="G55" s="180" t="str">
        <f t="shared" si="11"/>
        <v/>
      </c>
      <c r="H55" s="179"/>
      <c r="I55" s="180" t="str">
        <f t="shared" si="12"/>
        <v/>
      </c>
      <c r="J55" s="179"/>
      <c r="K55" s="180" t="str">
        <f t="shared" si="13"/>
        <v/>
      </c>
      <c r="L55" s="179"/>
      <c r="M55" s="180" t="str">
        <f t="shared" si="14"/>
        <v/>
      </c>
      <c r="N55" s="179"/>
      <c r="O55" s="180" t="str">
        <f t="shared" si="15"/>
        <v/>
      </c>
      <c r="P55" s="179"/>
      <c r="Q55" s="192" t="str">
        <f t="shared" si="0"/>
        <v/>
      </c>
      <c r="R55" s="193"/>
      <c r="S55" s="179"/>
      <c r="T55" s="192" t="str">
        <f t="shared" si="16"/>
        <v/>
      </c>
      <c r="U55" s="193"/>
      <c r="V55" s="179"/>
      <c r="W55" s="192" t="str">
        <f t="shared" si="17"/>
        <v/>
      </c>
      <c r="X55" s="194"/>
      <c r="Y55" s="205" t="str">
        <f t="shared" si="1"/>
        <v/>
      </c>
      <c r="Z55" s="206" t="str">
        <f t="shared" si="2"/>
        <v/>
      </c>
      <c r="AA55" s="206" t="str">
        <f t="shared" si="3"/>
        <v/>
      </c>
      <c r="AB55" s="206" t="str">
        <f t="shared" si="4"/>
        <v/>
      </c>
      <c r="AC55" s="207" t="str">
        <f t="shared" si="5"/>
        <v/>
      </c>
      <c r="AD55" s="208" t="str">
        <f t="shared" si="6"/>
        <v/>
      </c>
      <c r="AE55" s="209" t="str">
        <f t="shared" si="18"/>
        <v/>
      </c>
      <c r="AF55" s="210" t="str">
        <f t="shared" si="7"/>
        <v/>
      </c>
      <c r="AG55" s="219" t="str">
        <f t="shared" si="8"/>
        <v/>
      </c>
      <c r="AH55" s="207" t="str">
        <f t="shared" si="9"/>
        <v/>
      </c>
    </row>
    <row r="56" spans="1:36" s="167" customFormat="1" ht="12.75" customHeight="1">
      <c r="A56" s="181">
        <v>49</v>
      </c>
      <c r="B56" s="177"/>
      <c r="C56" s="182"/>
      <c r="D56" s="179"/>
      <c r="E56" s="180" t="str">
        <f t="shared" si="10"/>
        <v/>
      </c>
      <c r="F56" s="179"/>
      <c r="G56" s="180" t="str">
        <f t="shared" si="11"/>
        <v/>
      </c>
      <c r="H56" s="179"/>
      <c r="I56" s="180" t="str">
        <f t="shared" si="12"/>
        <v/>
      </c>
      <c r="J56" s="179"/>
      <c r="K56" s="180" t="str">
        <f t="shared" si="13"/>
        <v/>
      </c>
      <c r="L56" s="179"/>
      <c r="M56" s="180" t="str">
        <f t="shared" si="14"/>
        <v/>
      </c>
      <c r="N56" s="179"/>
      <c r="O56" s="180" t="str">
        <f t="shared" si="15"/>
        <v/>
      </c>
      <c r="P56" s="179"/>
      <c r="Q56" s="192" t="str">
        <f t="shared" si="0"/>
        <v/>
      </c>
      <c r="R56" s="193"/>
      <c r="S56" s="179"/>
      <c r="T56" s="192" t="str">
        <f t="shared" si="16"/>
        <v/>
      </c>
      <c r="U56" s="193"/>
      <c r="V56" s="179"/>
      <c r="W56" s="192" t="str">
        <f t="shared" si="17"/>
        <v/>
      </c>
      <c r="X56" s="194"/>
      <c r="Y56" s="205" t="str">
        <f t="shared" si="1"/>
        <v/>
      </c>
      <c r="Z56" s="206" t="str">
        <f t="shared" si="2"/>
        <v/>
      </c>
      <c r="AA56" s="206" t="str">
        <f t="shared" si="3"/>
        <v/>
      </c>
      <c r="AB56" s="206" t="str">
        <f t="shared" si="4"/>
        <v/>
      </c>
      <c r="AC56" s="207" t="str">
        <f t="shared" si="5"/>
        <v/>
      </c>
      <c r="AD56" s="208" t="str">
        <f t="shared" si="6"/>
        <v/>
      </c>
      <c r="AE56" s="209" t="str">
        <f t="shared" si="18"/>
        <v/>
      </c>
      <c r="AF56" s="210" t="str">
        <f t="shared" si="7"/>
        <v/>
      </c>
      <c r="AG56" s="219" t="str">
        <f t="shared" si="8"/>
        <v/>
      </c>
      <c r="AH56" s="207" t="str">
        <f t="shared" si="9"/>
        <v/>
      </c>
    </row>
    <row r="57" spans="1:36" s="167" customFormat="1" ht="12.75" customHeight="1">
      <c r="A57" s="181">
        <v>50</v>
      </c>
      <c r="B57" s="177"/>
      <c r="C57" s="182"/>
      <c r="D57" s="179"/>
      <c r="E57" s="180" t="str">
        <f t="shared" si="10"/>
        <v/>
      </c>
      <c r="F57" s="179"/>
      <c r="G57" s="180" t="str">
        <f t="shared" si="11"/>
        <v/>
      </c>
      <c r="H57" s="179"/>
      <c r="I57" s="180" t="str">
        <f t="shared" si="12"/>
        <v/>
      </c>
      <c r="J57" s="179"/>
      <c r="K57" s="180" t="str">
        <f t="shared" si="13"/>
        <v/>
      </c>
      <c r="L57" s="179"/>
      <c r="M57" s="180" t="str">
        <f t="shared" si="14"/>
        <v/>
      </c>
      <c r="N57" s="179"/>
      <c r="O57" s="180" t="str">
        <f t="shared" si="15"/>
        <v/>
      </c>
      <c r="P57" s="179"/>
      <c r="Q57" s="192" t="str">
        <f t="shared" si="0"/>
        <v/>
      </c>
      <c r="R57" s="193"/>
      <c r="S57" s="179"/>
      <c r="T57" s="192" t="str">
        <f t="shared" si="16"/>
        <v/>
      </c>
      <c r="U57" s="193"/>
      <c r="V57" s="179"/>
      <c r="W57" s="192" t="str">
        <f t="shared" si="17"/>
        <v/>
      </c>
      <c r="X57" s="194"/>
      <c r="Y57" s="205" t="str">
        <f t="shared" si="1"/>
        <v/>
      </c>
      <c r="Z57" s="206" t="str">
        <f t="shared" si="2"/>
        <v/>
      </c>
      <c r="AA57" s="206" t="str">
        <f t="shared" si="3"/>
        <v/>
      </c>
      <c r="AB57" s="206" t="str">
        <f t="shared" si="4"/>
        <v/>
      </c>
      <c r="AC57" s="207" t="str">
        <f t="shared" si="5"/>
        <v/>
      </c>
      <c r="AD57" s="208" t="str">
        <f t="shared" si="6"/>
        <v/>
      </c>
      <c r="AE57" s="209" t="str">
        <f t="shared" si="18"/>
        <v/>
      </c>
      <c r="AF57" s="210" t="str">
        <f t="shared" si="7"/>
        <v/>
      </c>
      <c r="AG57" s="219" t="str">
        <f t="shared" si="8"/>
        <v/>
      </c>
      <c r="AH57" s="207" t="str">
        <f t="shared" si="9"/>
        <v/>
      </c>
    </row>
    <row r="58" spans="1:36" s="167" customFormat="1" ht="12.75" customHeight="1">
      <c r="A58" s="181">
        <v>51</v>
      </c>
      <c r="B58" s="177"/>
      <c r="C58" s="182"/>
      <c r="D58" s="179"/>
      <c r="E58" s="180" t="str">
        <f t="shared" si="10"/>
        <v/>
      </c>
      <c r="F58" s="179"/>
      <c r="G58" s="180" t="str">
        <f t="shared" si="11"/>
        <v/>
      </c>
      <c r="H58" s="179"/>
      <c r="I58" s="180" t="str">
        <f t="shared" si="12"/>
        <v/>
      </c>
      <c r="J58" s="179"/>
      <c r="K58" s="180" t="str">
        <f t="shared" si="13"/>
        <v/>
      </c>
      <c r="L58" s="179"/>
      <c r="M58" s="180" t="str">
        <f t="shared" si="14"/>
        <v/>
      </c>
      <c r="N58" s="179"/>
      <c r="O58" s="180" t="str">
        <f t="shared" si="15"/>
        <v/>
      </c>
      <c r="P58" s="179"/>
      <c r="Q58" s="192" t="str">
        <f t="shared" si="0"/>
        <v/>
      </c>
      <c r="R58" s="193"/>
      <c r="S58" s="179"/>
      <c r="T58" s="192" t="str">
        <f t="shared" si="16"/>
        <v/>
      </c>
      <c r="U58" s="193"/>
      <c r="V58" s="179"/>
      <c r="W58" s="192" t="str">
        <f t="shared" si="17"/>
        <v/>
      </c>
      <c r="X58" s="194"/>
      <c r="Y58" s="205" t="str">
        <f t="shared" si="1"/>
        <v/>
      </c>
      <c r="Z58" s="206" t="str">
        <f t="shared" si="2"/>
        <v/>
      </c>
      <c r="AA58" s="206" t="str">
        <f t="shared" si="3"/>
        <v/>
      </c>
      <c r="AB58" s="206" t="str">
        <f t="shared" si="4"/>
        <v/>
      </c>
      <c r="AC58" s="207" t="str">
        <f t="shared" si="5"/>
        <v/>
      </c>
      <c r="AD58" s="208" t="str">
        <f t="shared" si="6"/>
        <v/>
      </c>
      <c r="AE58" s="209" t="str">
        <f t="shared" si="18"/>
        <v/>
      </c>
      <c r="AF58" s="210" t="str">
        <f t="shared" si="7"/>
        <v/>
      </c>
      <c r="AG58" s="219" t="str">
        <f t="shared" si="8"/>
        <v/>
      </c>
      <c r="AH58" s="207" t="str">
        <f t="shared" si="9"/>
        <v/>
      </c>
    </row>
    <row r="59" spans="1:36" s="167" customFormat="1" ht="12.75" customHeight="1">
      <c r="A59" s="181">
        <v>52</v>
      </c>
      <c r="B59" s="177"/>
      <c r="C59" s="182"/>
      <c r="D59" s="179"/>
      <c r="E59" s="180" t="str">
        <f t="shared" si="10"/>
        <v/>
      </c>
      <c r="F59" s="179"/>
      <c r="G59" s="180" t="str">
        <f t="shared" si="11"/>
        <v/>
      </c>
      <c r="H59" s="179"/>
      <c r="I59" s="180" t="str">
        <f t="shared" si="12"/>
        <v/>
      </c>
      <c r="J59" s="179"/>
      <c r="K59" s="180" t="str">
        <f t="shared" si="13"/>
        <v/>
      </c>
      <c r="L59" s="179"/>
      <c r="M59" s="180" t="str">
        <f t="shared" si="14"/>
        <v/>
      </c>
      <c r="N59" s="179"/>
      <c r="O59" s="180" t="str">
        <f t="shared" si="15"/>
        <v/>
      </c>
      <c r="P59" s="179"/>
      <c r="Q59" s="192" t="str">
        <f t="shared" si="0"/>
        <v/>
      </c>
      <c r="R59" s="193"/>
      <c r="S59" s="179"/>
      <c r="T59" s="192" t="str">
        <f t="shared" si="16"/>
        <v/>
      </c>
      <c r="U59" s="193"/>
      <c r="V59" s="179"/>
      <c r="W59" s="192" t="str">
        <f t="shared" si="17"/>
        <v/>
      </c>
      <c r="X59" s="194"/>
      <c r="Y59" s="205" t="str">
        <f t="shared" si="1"/>
        <v/>
      </c>
      <c r="Z59" s="206" t="str">
        <f t="shared" si="2"/>
        <v/>
      </c>
      <c r="AA59" s="206" t="str">
        <f t="shared" si="3"/>
        <v/>
      </c>
      <c r="AB59" s="206" t="str">
        <f t="shared" si="4"/>
        <v/>
      </c>
      <c r="AC59" s="207" t="str">
        <f t="shared" si="5"/>
        <v/>
      </c>
      <c r="AD59" s="208" t="str">
        <f t="shared" si="6"/>
        <v/>
      </c>
      <c r="AE59" s="209" t="str">
        <f t="shared" si="18"/>
        <v/>
      </c>
      <c r="AF59" s="210" t="str">
        <f t="shared" si="7"/>
        <v/>
      </c>
      <c r="AG59" s="219" t="str">
        <f t="shared" si="8"/>
        <v/>
      </c>
      <c r="AH59" s="207" t="str">
        <f t="shared" si="9"/>
        <v/>
      </c>
    </row>
    <row r="60" spans="1:36" s="167" customFormat="1" ht="12.75" customHeight="1">
      <c r="A60" s="181">
        <v>53</v>
      </c>
      <c r="B60" s="177"/>
      <c r="C60" s="182"/>
      <c r="D60" s="179"/>
      <c r="E60" s="180" t="str">
        <f t="shared" si="10"/>
        <v/>
      </c>
      <c r="F60" s="179"/>
      <c r="G60" s="180" t="str">
        <f t="shared" si="11"/>
        <v/>
      </c>
      <c r="H60" s="179"/>
      <c r="I60" s="180" t="str">
        <f t="shared" si="12"/>
        <v/>
      </c>
      <c r="J60" s="179"/>
      <c r="K60" s="180" t="str">
        <f t="shared" si="13"/>
        <v/>
      </c>
      <c r="L60" s="179"/>
      <c r="M60" s="180" t="str">
        <f t="shared" si="14"/>
        <v/>
      </c>
      <c r="N60" s="179"/>
      <c r="O60" s="180" t="str">
        <f t="shared" si="15"/>
        <v/>
      </c>
      <c r="P60" s="179"/>
      <c r="Q60" s="192" t="str">
        <f t="shared" si="0"/>
        <v/>
      </c>
      <c r="R60" s="193"/>
      <c r="S60" s="179"/>
      <c r="T60" s="192" t="str">
        <f t="shared" si="16"/>
        <v/>
      </c>
      <c r="U60" s="193"/>
      <c r="V60" s="179"/>
      <c r="W60" s="192" t="str">
        <f t="shared" si="17"/>
        <v/>
      </c>
      <c r="X60" s="194"/>
      <c r="Y60" s="205" t="str">
        <f t="shared" si="1"/>
        <v/>
      </c>
      <c r="Z60" s="206" t="str">
        <f t="shared" si="2"/>
        <v/>
      </c>
      <c r="AA60" s="206" t="str">
        <f t="shared" si="3"/>
        <v/>
      </c>
      <c r="AB60" s="206" t="str">
        <f t="shared" si="4"/>
        <v/>
      </c>
      <c r="AC60" s="207" t="str">
        <f t="shared" si="5"/>
        <v/>
      </c>
      <c r="AD60" s="208" t="str">
        <f t="shared" si="6"/>
        <v/>
      </c>
      <c r="AE60" s="209" t="str">
        <f t="shared" si="18"/>
        <v/>
      </c>
      <c r="AF60" s="210" t="str">
        <f t="shared" si="7"/>
        <v/>
      </c>
      <c r="AG60" s="219" t="str">
        <f t="shared" si="8"/>
        <v/>
      </c>
      <c r="AH60" s="207" t="str">
        <f t="shared" si="9"/>
        <v/>
      </c>
    </row>
    <row r="61" spans="1:36" s="167" customFormat="1" ht="12.75" customHeight="1">
      <c r="A61" s="181">
        <v>54</v>
      </c>
      <c r="B61" s="177"/>
      <c r="C61" s="182"/>
      <c r="D61" s="179"/>
      <c r="E61" s="180" t="str">
        <f t="shared" si="10"/>
        <v/>
      </c>
      <c r="F61" s="179"/>
      <c r="G61" s="180" t="str">
        <f t="shared" si="11"/>
        <v/>
      </c>
      <c r="H61" s="179"/>
      <c r="I61" s="180" t="str">
        <f t="shared" si="12"/>
        <v/>
      </c>
      <c r="J61" s="179"/>
      <c r="K61" s="180" t="str">
        <f t="shared" si="13"/>
        <v/>
      </c>
      <c r="L61" s="179"/>
      <c r="M61" s="180" t="str">
        <f t="shared" si="14"/>
        <v/>
      </c>
      <c r="N61" s="179"/>
      <c r="O61" s="180" t="str">
        <f t="shared" si="15"/>
        <v/>
      </c>
      <c r="P61" s="179"/>
      <c r="Q61" s="192" t="str">
        <f t="shared" si="0"/>
        <v/>
      </c>
      <c r="R61" s="193"/>
      <c r="S61" s="179"/>
      <c r="T61" s="192" t="str">
        <f t="shared" si="16"/>
        <v/>
      </c>
      <c r="U61" s="193"/>
      <c r="V61" s="179"/>
      <c r="W61" s="192" t="str">
        <f t="shared" si="17"/>
        <v/>
      </c>
      <c r="X61" s="194"/>
      <c r="Y61" s="205" t="str">
        <f t="shared" si="1"/>
        <v/>
      </c>
      <c r="Z61" s="206" t="str">
        <f t="shared" si="2"/>
        <v/>
      </c>
      <c r="AA61" s="206" t="str">
        <f t="shared" si="3"/>
        <v/>
      </c>
      <c r="AB61" s="206" t="str">
        <f t="shared" si="4"/>
        <v/>
      </c>
      <c r="AC61" s="207" t="str">
        <f t="shared" si="5"/>
        <v/>
      </c>
      <c r="AD61" s="208" t="str">
        <f t="shared" si="6"/>
        <v/>
      </c>
      <c r="AE61" s="209" t="str">
        <f t="shared" si="18"/>
        <v/>
      </c>
      <c r="AF61" s="210" t="str">
        <f t="shared" si="7"/>
        <v/>
      </c>
      <c r="AG61" s="219" t="str">
        <f t="shared" si="8"/>
        <v/>
      </c>
      <c r="AH61" s="207" t="str">
        <f t="shared" si="9"/>
        <v/>
      </c>
    </row>
    <row r="62" spans="1:36" s="167" customFormat="1" ht="12.75" customHeight="1">
      <c r="A62" s="181">
        <v>55</v>
      </c>
      <c r="B62" s="177"/>
      <c r="C62" s="182"/>
      <c r="D62" s="179"/>
      <c r="E62" s="180" t="str">
        <f t="shared" si="10"/>
        <v/>
      </c>
      <c r="F62" s="179"/>
      <c r="G62" s="180" t="str">
        <f t="shared" si="11"/>
        <v/>
      </c>
      <c r="H62" s="179"/>
      <c r="I62" s="180" t="str">
        <f t="shared" si="12"/>
        <v/>
      </c>
      <c r="J62" s="179"/>
      <c r="K62" s="180" t="str">
        <f t="shared" si="13"/>
        <v/>
      </c>
      <c r="L62" s="179"/>
      <c r="M62" s="180" t="str">
        <f t="shared" si="14"/>
        <v/>
      </c>
      <c r="N62" s="179"/>
      <c r="O62" s="185" t="str">
        <f t="shared" si="15"/>
        <v/>
      </c>
      <c r="P62" s="179"/>
      <c r="Q62" s="195" t="str">
        <f t="shared" si="0"/>
        <v/>
      </c>
      <c r="R62" s="196"/>
      <c r="S62" s="179"/>
      <c r="T62" s="195" t="str">
        <f t="shared" si="16"/>
        <v/>
      </c>
      <c r="U62" s="196"/>
      <c r="V62" s="179"/>
      <c r="W62" s="195" t="str">
        <f t="shared" si="17"/>
        <v/>
      </c>
      <c r="X62" s="197"/>
      <c r="Y62" s="211" t="str">
        <f t="shared" si="1"/>
        <v/>
      </c>
      <c r="Z62" s="212" t="str">
        <f t="shared" si="2"/>
        <v/>
      </c>
      <c r="AA62" s="212" t="str">
        <f t="shared" si="3"/>
        <v/>
      </c>
      <c r="AB62" s="212" t="str">
        <f t="shared" si="4"/>
        <v/>
      </c>
      <c r="AC62" s="213" t="str">
        <f t="shared" si="5"/>
        <v/>
      </c>
      <c r="AD62" s="214" t="str">
        <f t="shared" si="6"/>
        <v/>
      </c>
      <c r="AE62" s="215" t="str">
        <f t="shared" si="18"/>
        <v/>
      </c>
      <c r="AF62" s="216" t="str">
        <f t="shared" si="7"/>
        <v/>
      </c>
      <c r="AG62" s="220" t="str">
        <f t="shared" si="8"/>
        <v/>
      </c>
      <c r="AH62" s="213" t="str">
        <f t="shared" si="9"/>
        <v/>
      </c>
    </row>
    <row r="63" spans="1:36" s="167" customFormat="1" ht="12.75" customHeight="1">
      <c r="A63" s="342" t="s">
        <v>33</v>
      </c>
      <c r="B63" s="343"/>
      <c r="C63" s="344"/>
      <c r="D63" s="345" t="str">
        <f>IF(COUNTA(D8:D62)=0,"",(SUM(D8:D62)))</f>
        <v/>
      </c>
      <c r="E63" s="346"/>
      <c r="F63" s="345" t="str">
        <f>IF(COUNTA(F8:F62)=0,"",(SUM(F8:F62)))</f>
        <v/>
      </c>
      <c r="G63" s="346"/>
      <c r="H63" s="345" t="str">
        <f t="shared" ref="H63" si="19">IF(COUNTA(H8:H62)=0,"",(SUM(H8:H62)))</f>
        <v/>
      </c>
      <c r="I63" s="346"/>
      <c r="J63" s="345" t="str">
        <f t="shared" ref="J63" si="20">IF(COUNTA(J8:J62)=0,"",(SUM(J8:J62)))</f>
        <v/>
      </c>
      <c r="K63" s="346"/>
      <c r="L63" s="345" t="str">
        <f t="shared" ref="L63" si="21">IF(COUNTA(L8:L62)=0,"",(SUM(L8:L62)))</f>
        <v/>
      </c>
      <c r="M63" s="346"/>
      <c r="N63" s="345" t="str">
        <f t="shared" ref="N63" si="22">IF(COUNTA(N8:N62)=0,"",(SUM(N8:N62)))</f>
        <v/>
      </c>
      <c r="O63" s="346"/>
      <c r="P63" s="345" t="str">
        <f t="shared" ref="P63" si="23">IF(COUNTA(P8:P62)=0,"",(SUM(P8:P62)))</f>
        <v/>
      </c>
      <c r="Q63" s="346"/>
      <c r="R63" s="198"/>
      <c r="S63" s="345" t="str">
        <f t="shared" ref="S63" si="24">IF(COUNTA(S8:S62)=0,"",(SUM(S8:S62)))</f>
        <v/>
      </c>
      <c r="T63" s="346"/>
      <c r="U63" s="199"/>
      <c r="V63" s="345" t="str">
        <f t="shared" ref="V63" si="25">IF(COUNTA(V8:V62)=0,"",(SUM(V8:V62)))</f>
        <v/>
      </c>
      <c r="W63" s="346"/>
      <c r="X63" s="199"/>
      <c r="Y63" s="342" t="s">
        <v>34</v>
      </c>
      <c r="Z63" s="343"/>
      <c r="AA63" s="343"/>
      <c r="AB63" s="343"/>
      <c r="AC63" s="347"/>
      <c r="AD63" s="217" t="str">
        <f>IF(OR(COUNTIF(AD8:AD62,"P")&lt;&gt;0,COUNTIF(AD8:AD62,"F")&lt;&gt;0,COUNTIF(AD8:AD62,"ab")&lt;&gt;0),(COUNTIF(AD8:AD62,"ab")),"")</f>
        <v/>
      </c>
      <c r="AE63" s="217" t="str">
        <f>IF(OR(COUNTIF(AE8:AE62,"P")&lt;&gt;0,COUNTIF(AE8:AE62,"F")&lt;&gt;0,COUNTIF(AE8:AE62,"ab")&lt;&gt;0,COUNTIF(AE8:AE62,"Q1")&lt;&gt;0,COUNTIF(AE8:AE62,"Q2")&lt;&gt;0,COUNTIF(AE8:AE62,"R1")&lt;&gt;0,COUNTIF(AE8:AE62,"R2")&lt;&gt;0),(COUNTIF(AE8:AE62,"ab")),"")</f>
        <v/>
      </c>
      <c r="AF63" s="348" t="s">
        <v>34</v>
      </c>
      <c r="AG63" s="349"/>
      <c r="AH63" s="350"/>
      <c r="AI63" s="221"/>
      <c r="AJ63" s="221"/>
    </row>
    <row r="64" spans="1:36" s="167" customFormat="1" ht="12.75" customHeight="1">
      <c r="A64" s="351" t="s">
        <v>35</v>
      </c>
      <c r="B64" s="352"/>
      <c r="C64" s="353"/>
      <c r="D64" s="354" t="str">
        <f>IF(D63="","",IF(D63=0,0,AVERAGE(D8:D62)))</f>
        <v/>
      </c>
      <c r="E64" s="355"/>
      <c r="F64" s="354" t="str">
        <f>IF(F63="","",IF(F63=0,0,AVERAGE(F8:F62)))</f>
        <v/>
      </c>
      <c r="G64" s="355"/>
      <c r="H64" s="354" t="str">
        <f t="shared" ref="H64" si="26">IF(H63="","",IF(H63=0,0,AVERAGE(H8:H62)))</f>
        <v/>
      </c>
      <c r="I64" s="355"/>
      <c r="J64" s="354" t="str">
        <f t="shared" ref="J64" si="27">IF(J63="","",IF(J63=0,0,AVERAGE(J8:J62)))</f>
        <v/>
      </c>
      <c r="K64" s="355"/>
      <c r="L64" s="354" t="str">
        <f t="shared" ref="L64" si="28">IF(L63="","",IF(L63=0,0,AVERAGE(L8:L62)))</f>
        <v/>
      </c>
      <c r="M64" s="355"/>
      <c r="N64" s="354" t="str">
        <f t="shared" ref="N64" si="29">IF(N63="","",IF(N63=0,0,AVERAGE(N8:N62)))</f>
        <v/>
      </c>
      <c r="O64" s="355"/>
      <c r="P64" s="354" t="str">
        <f t="shared" ref="P64" si="30">IF(P63="","",IF(P63=0,0,AVERAGE(P8:P62)))</f>
        <v/>
      </c>
      <c r="Q64" s="355"/>
      <c r="R64" s="200"/>
      <c r="S64" s="354" t="str">
        <f t="shared" ref="S64" si="31">IF(S63="","",IF(S63=0,0,AVERAGE(S8:S62)))</f>
        <v/>
      </c>
      <c r="T64" s="355"/>
      <c r="U64" s="201"/>
      <c r="V64" s="354" t="str">
        <f t="shared" ref="V64" si="32">IF(V63="","",IF(V63=0,0,AVERAGE(V8:V62)))</f>
        <v/>
      </c>
      <c r="W64" s="355"/>
      <c r="X64" s="201"/>
      <c r="Y64" s="356" t="s">
        <v>36</v>
      </c>
      <c r="Z64" s="357"/>
      <c r="AA64" s="357"/>
      <c r="AB64" s="357"/>
      <c r="AC64" s="358"/>
      <c r="AD64" s="218" t="str">
        <f>IF(OR(COUNTIF(AD8:AD62,"P")&lt;&gt;0,COUNTIF(AD8:AD62,"F")&lt;&gt;0,COUNTIF(AD8:AD62,"ab")&lt;&gt;0),(COUNTIF(AD8:AD62,"P")),"")</f>
        <v/>
      </c>
      <c r="AE64" s="218" t="str">
        <f>IF(OR(COUNTIF(AE8:AE62,"P")&lt;&gt;0,COUNTIF(AE8:AE62,"F")&lt;&gt;0,COUNTIF(AE8:AE62,"ab")&lt;&gt;0,COUNTIF(AE8:AE62,"Q1")&lt;&gt;0,COUNTIF(AE8:AE62,"Q2")&lt;&gt;0,COUNTIF(AE8:AE62,"R1")&lt;&gt;0,COUNTIF(AE8:AE62,"R2")&lt;&gt;0),(COUNTIF(AE8:AE62,"P")),"")</f>
        <v/>
      </c>
      <c r="AF64" s="356" t="s">
        <v>36</v>
      </c>
      <c r="AG64" s="357"/>
      <c r="AH64" s="359"/>
    </row>
    <row r="65" spans="1:66" s="167" customFormat="1" ht="13.2">
      <c r="A65" s="222"/>
      <c r="B65" s="223"/>
      <c r="C65" s="224"/>
      <c r="D65" s="225"/>
      <c r="E65" s="226"/>
      <c r="F65" s="227"/>
      <c r="G65" s="226"/>
      <c r="H65" s="227"/>
      <c r="I65" s="226"/>
      <c r="J65" s="227"/>
      <c r="K65" s="226"/>
      <c r="L65" s="227"/>
      <c r="M65" s="226"/>
      <c r="N65" s="227"/>
      <c r="O65" s="226"/>
      <c r="P65" s="227"/>
      <c r="Q65" s="256"/>
      <c r="R65" s="226"/>
      <c r="S65" s="227"/>
      <c r="T65" s="226"/>
      <c r="U65" s="257"/>
      <c r="V65" s="227"/>
      <c r="W65" s="226"/>
      <c r="X65" s="257"/>
      <c r="Y65" s="351" t="s">
        <v>37</v>
      </c>
      <c r="Z65" s="352"/>
      <c r="AA65" s="352"/>
      <c r="AB65" s="352"/>
      <c r="AC65" s="360"/>
      <c r="AD65" s="283" t="str">
        <f>IF(OR(COUNTIF(AD8:AD62,"P")&lt;&gt;0,COUNTIF(AD8:AD62,"F")&lt;&gt;0,COUNTIF(AD8:AD62,"ab")&lt;&gt;0),(COUNTIF(AD8:AD62,"F")),"")</f>
        <v/>
      </c>
      <c r="AE65" s="218" t="str">
        <f>IF(OR(COUNTIF(AE8:AE62,"P")&lt;&gt;0,COUNTIF(AE8:AE62,"F")&lt;&gt;0,COUNTIF(AE8:AE62,"ab")&lt;&gt;0,COUNTIF(AE8:AE62,"Q1")&lt;&gt;0,COUNTIF(AE8:AE62,"Q2")&lt;&gt;0,COUNTIF(AE8:AE62,"R1")&lt;&gt;0,COUNTIF(AE8:AE62,"R2")&lt;&gt;0),(COUNTIF(AE8:AE62,"Q1")),"")</f>
        <v/>
      </c>
      <c r="AF65" s="356" t="s">
        <v>38</v>
      </c>
      <c r="AG65" s="357"/>
      <c r="AH65" s="359"/>
    </row>
    <row r="66" spans="1:66" s="167" customFormat="1" ht="12" customHeight="1">
      <c r="A66" s="418" t="s">
        <v>39</v>
      </c>
      <c r="B66" s="418"/>
      <c r="C66" s="228" t="s">
        <v>40</v>
      </c>
      <c r="D66" s="229"/>
      <c r="E66" s="192" t="str">
        <f>IF(D$63="","",(COUNTIF(E$8:E$62,"A")))</f>
        <v/>
      </c>
      <c r="F66" s="229"/>
      <c r="G66" s="192" t="str">
        <f>IF(F$63="","",(COUNTIF(G$8:G$62,"A")))</f>
        <v/>
      </c>
      <c r="H66" s="229"/>
      <c r="I66" s="192" t="str">
        <f>IF(H$63="","",(COUNTIF(I$8:I$62,"A")))</f>
        <v/>
      </c>
      <c r="J66" s="229"/>
      <c r="K66" s="192" t="str">
        <f>IF(J$63="","",(COUNTIF(K$8:K$62,"A")))</f>
        <v/>
      </c>
      <c r="L66" s="229"/>
      <c r="M66" s="192" t="str">
        <f>IF(L$63="","",(COUNTIF(M$8:M$62,"A")))</f>
        <v/>
      </c>
      <c r="N66" s="229"/>
      <c r="O66" s="192" t="str">
        <f>IF(N$63="","",(COUNTIF(O$8:O$62,"A")))</f>
        <v/>
      </c>
      <c r="P66" s="229"/>
      <c r="Q66" s="192" t="str">
        <f>IF(P$63="","",(COUNTIF(Q$8:Q$62,"A")))</f>
        <v/>
      </c>
      <c r="R66" s="229"/>
      <c r="S66" s="229"/>
      <c r="T66" s="192" t="str">
        <f>IF(S$63="","",(COUNTIF(T$8:T$62,"A")))</f>
        <v/>
      </c>
      <c r="U66" s="261"/>
      <c r="V66" s="306"/>
      <c r="W66" s="189" t="str">
        <f>IF(V$63="","",(COUNTIF(W$8:W$62,"A")))</f>
        <v/>
      </c>
      <c r="X66" s="307"/>
      <c r="Y66" s="205" t="str">
        <f>IF((COUNT($D66:$W66)=0),"",(SUM($D66:$W66)))</f>
        <v/>
      </c>
      <c r="Z66" s="284"/>
      <c r="AA66" s="284"/>
      <c r="AB66" s="284"/>
      <c r="AC66" s="284"/>
      <c r="AD66" s="285"/>
      <c r="AE66" s="218" t="str">
        <f>IF(OR(COUNTIF(AE8:AE62,"P")&lt;&gt;0,COUNTIF(AE8:AE62,"F")&lt;&gt;0,COUNTIF(AE8:AE62,"ab")&lt;&gt;0,COUNTIF(AE8:AE62,"Q1")&lt;&gt;0,COUNTIF(AE8:AE62,"Q2")&lt;&gt;0,COUNTIF(AE8:AE62,"R1")&lt;&gt;0,COUNTIF(AE8:AE62,"R2")&lt;&gt;0),(COUNTIF(AE8:AE62,"Q2")),"")</f>
        <v/>
      </c>
      <c r="AF66" s="356" t="s">
        <v>41</v>
      </c>
      <c r="AG66" s="357"/>
      <c r="AH66" s="359"/>
    </row>
    <row r="67" spans="1:66" s="167" customFormat="1" ht="12" customHeight="1">
      <c r="A67" s="418"/>
      <c r="B67" s="418"/>
      <c r="C67" s="228" t="s">
        <v>42</v>
      </c>
      <c r="D67" s="229"/>
      <c r="E67" s="192" t="str">
        <f>IF(D$63="","",(COUNTIF(E$8:E$62,"B")))</f>
        <v/>
      </c>
      <c r="F67" s="229"/>
      <c r="G67" s="192" t="str">
        <f>IF(F$63="","",(COUNTIF(G$8:G$62,"B")))</f>
        <v/>
      </c>
      <c r="H67" s="229"/>
      <c r="I67" s="192" t="str">
        <f>IF(H$63="","",(COUNTIF(I$8:I$62,"B")))</f>
        <v/>
      </c>
      <c r="J67" s="229"/>
      <c r="K67" s="192" t="str">
        <f>IF(J$63="","",(COUNTIF(K$8:K$62,"B")))</f>
        <v/>
      </c>
      <c r="L67" s="229"/>
      <c r="M67" s="192" t="str">
        <f>IF(L$63="","",(COUNTIF(M$8:M$62,"B")))</f>
        <v/>
      </c>
      <c r="N67" s="229"/>
      <c r="O67" s="192" t="str">
        <f>IF(N$63="","",(COUNTIF(O$8:O$62,"B")))</f>
        <v/>
      </c>
      <c r="P67" s="229"/>
      <c r="Q67" s="192" t="str">
        <f>IF(P$63="","",(COUNTIF(Q$8:Q$62,"B")))</f>
        <v/>
      </c>
      <c r="R67" s="229"/>
      <c r="S67" s="229"/>
      <c r="T67" s="192" t="str">
        <f>IF(S$63="","",(COUNTIF(T$8:T$62,"B")))</f>
        <v/>
      </c>
      <c r="U67" s="261"/>
      <c r="V67" s="262"/>
      <c r="W67" s="192" t="str">
        <f>IF(V$63="","",(COUNTIF(W$8:W$62,"B")))</f>
        <v/>
      </c>
      <c r="X67" s="264"/>
      <c r="Y67" s="286"/>
      <c r="Z67" s="240" t="str">
        <f>IF((COUNT($D67:$W67)=0),"",SUM($D67:$W67))</f>
        <v/>
      </c>
      <c r="AA67" s="229"/>
      <c r="AB67" s="229"/>
      <c r="AC67" s="229"/>
      <c r="AD67" s="287"/>
      <c r="AE67" s="218" t="str">
        <f>IF(OR(COUNTIF(AE8:AE62,"P")&lt;&gt;0,COUNTIF(AE8:AE62,"F")&lt;&gt;0,COUNTIF(AE8:AE62,"ab")&lt;&gt;0,COUNTIF(AE8:AE62,"Q1")&lt;&gt;0,COUNTIF(AE8:AE62,"Q2")&lt;&gt;0,COUNTIF(AE8:AE62,"R1")&lt;&gt;0,COUNTIF(AE8:AE62,"R2")&lt;&gt;0),(COUNTIF(AE8:AE62,"R1")),"")</f>
        <v/>
      </c>
      <c r="AF67" s="356" t="s">
        <v>43</v>
      </c>
      <c r="AG67" s="357"/>
      <c r="AH67" s="359"/>
    </row>
    <row r="68" spans="1:66" s="167" customFormat="1" ht="12" customHeight="1">
      <c r="A68" s="418"/>
      <c r="B68" s="418"/>
      <c r="C68" s="228" t="s">
        <v>44</v>
      </c>
      <c r="D68" s="229"/>
      <c r="E68" s="192" t="str">
        <f>IF(D$63="","",(COUNTIF(E$8:E$62,"C")))</f>
        <v/>
      </c>
      <c r="F68" s="229"/>
      <c r="G68" s="192" t="str">
        <f>IF(F$63="","",(COUNTIF(G$8:G$62,"C")))</f>
        <v/>
      </c>
      <c r="H68" s="229"/>
      <c r="I68" s="192" t="str">
        <f>IF(H$63="","",(COUNTIF(I$8:I$62,"C")))</f>
        <v/>
      </c>
      <c r="J68" s="229"/>
      <c r="K68" s="192" t="str">
        <f>IF(J$63="","",(COUNTIF(K$8:K$62,"C")))</f>
        <v/>
      </c>
      <c r="L68" s="229"/>
      <c r="M68" s="192" t="str">
        <f>IF(L$63="","",(COUNTIF(M$8:M$62,"C")))</f>
        <v/>
      </c>
      <c r="N68" s="229"/>
      <c r="O68" s="192" t="str">
        <f>IF(N$63="","",(COUNTIF(O$8:O$62,"C")))</f>
        <v/>
      </c>
      <c r="P68" s="229"/>
      <c r="Q68" s="192" t="str">
        <f>IF(P$63="","",(COUNTIF(Q$8:Q$62,"C")))</f>
        <v/>
      </c>
      <c r="R68" s="229"/>
      <c r="S68" s="229"/>
      <c r="T68" s="192" t="str">
        <f>IF(S$63="","",(COUNTIF(T$8:T$62,"C")))</f>
        <v/>
      </c>
      <c r="U68" s="261"/>
      <c r="V68" s="262"/>
      <c r="W68" s="192" t="str">
        <f>IF(V$63="","",(COUNTIF(W$8:W$62,"C")))</f>
        <v/>
      </c>
      <c r="X68" s="264"/>
      <c r="Y68" s="286"/>
      <c r="Z68" s="229"/>
      <c r="AA68" s="240" t="str">
        <f>IF((COUNT($D68:$W68)=0),"",SUM($D68:$W68))</f>
        <v/>
      </c>
      <c r="AB68" s="229"/>
      <c r="AC68" s="229"/>
      <c r="AD68" s="287"/>
      <c r="AE68" s="218" t="str">
        <f>IF(OR(COUNTIF(AE8:AE62,"P")&lt;&gt;0,COUNTIF(AE8:AE62,"F")&lt;&gt;0,COUNTIF(AE8:AE62,"ab")&lt;&gt;0,COUNTIF(AE8:AE62,"Q1")&lt;&gt;0,COUNTIF(AE8:AE62,"Q2")&lt;&gt;0,COUNTIF(AE8:AE62,"R1")&lt;&gt;0,COUNTIF(AE8:AE62,"R2")&lt;&gt;0),(COUNTIF(AE8:AE62,"R2")),"")</f>
        <v/>
      </c>
      <c r="AF68" s="356" t="s">
        <v>45</v>
      </c>
      <c r="AG68" s="357"/>
      <c r="AH68" s="359"/>
    </row>
    <row r="69" spans="1:66" s="167" customFormat="1" ht="12" customHeight="1">
      <c r="A69" s="418"/>
      <c r="B69" s="418"/>
      <c r="C69" s="228" t="s">
        <v>46</v>
      </c>
      <c r="D69" s="229"/>
      <c r="E69" s="192" t="str">
        <f>IF(D$63="","",(COUNTIF(E$8:E$62,"S")))</f>
        <v/>
      </c>
      <c r="F69" s="229"/>
      <c r="G69" s="192" t="str">
        <f>IF(F$63="","",(COUNTIF(G$8:G$62,"S")))</f>
        <v/>
      </c>
      <c r="H69" s="229"/>
      <c r="I69" s="192" t="str">
        <f>IF(H$63="","",(COUNTIF(I$8:I$62,"S")))</f>
        <v/>
      </c>
      <c r="J69" s="229"/>
      <c r="K69" s="192" t="str">
        <f>IF(J$63="","",(COUNTIF(K$8:K$62,"S")))</f>
        <v/>
      </c>
      <c r="L69" s="229"/>
      <c r="M69" s="192" t="str">
        <f>IF(L$63="","",(COUNTIF(M$8:M$62,"S")))</f>
        <v/>
      </c>
      <c r="N69" s="229"/>
      <c r="O69" s="192" t="str">
        <f>IF(N$63="","",(COUNTIF(O$8:O$62,"S")))</f>
        <v/>
      </c>
      <c r="P69" s="229"/>
      <c r="Q69" s="192" t="str">
        <f>IF(P$63="","",(COUNTIF(Q$8:Q$62,"S")))</f>
        <v/>
      </c>
      <c r="R69" s="229"/>
      <c r="S69" s="229"/>
      <c r="T69" s="192" t="str">
        <f>IF(S$63="","",(COUNTIF(T$8:T$62,"S")))</f>
        <v/>
      </c>
      <c r="U69" s="261"/>
      <c r="V69" s="262"/>
      <c r="W69" s="192" t="str">
        <f>IF(V$63="","",(COUNTIF(W$8:W$62,"S")))</f>
        <v/>
      </c>
      <c r="X69" s="264"/>
      <c r="Y69" s="286"/>
      <c r="Z69" s="229"/>
      <c r="AA69" s="229"/>
      <c r="AB69" s="240" t="str">
        <f>IF((COUNT($D69:$W69)=0),"",SUM($D69:$W69))</f>
        <v/>
      </c>
      <c r="AC69" s="229"/>
      <c r="AD69" s="287"/>
      <c r="AE69" s="218" t="str">
        <f>IF(OR(COUNTIF(AE8:AE62,"P")&lt;&gt;0,COUNTIF(AE8:AE62,"F")&lt;&gt;0,COUNTIF(AE8:AE62,"ab")&lt;&gt;0,COUNTIF(AE8:AE62,"Q1")&lt;&gt;0,COUNTIF(AE8:AE62,"Q2")&lt;&gt;0,COUNTIF(AE8:AE62,"R1")&lt;&gt;0,COUNTIF(AE8:AE62,"R2")&lt;&gt;0),(COUNTIF(AE8:AE62,"F")),"")</f>
        <v/>
      </c>
      <c r="AF69" s="356" t="s">
        <v>37</v>
      </c>
      <c r="AG69" s="357"/>
      <c r="AH69" s="359"/>
    </row>
    <row r="70" spans="1:66" s="167" customFormat="1" ht="12" customHeight="1">
      <c r="A70" s="418"/>
      <c r="B70" s="418"/>
      <c r="C70" s="228" t="s">
        <v>32</v>
      </c>
      <c r="D70" s="229"/>
      <c r="E70" s="192" t="str">
        <f>IF(D$63="","",(COUNTIF(E$8:E$62,"W")))</f>
        <v/>
      </c>
      <c r="F70" s="229"/>
      <c r="G70" s="192" t="str">
        <f>IF(F$63="","",(COUNTIF(G$8:G$62,"W")))</f>
        <v/>
      </c>
      <c r="H70" s="229"/>
      <c r="I70" s="192" t="str">
        <f>IF(H$63="","",(COUNTIF(I$8:I$62,"W")))</f>
        <v/>
      </c>
      <c r="J70" s="229"/>
      <c r="K70" s="192" t="str">
        <f>IF(J$63="","",(COUNTIF(K$8:K$62,"W")))</f>
        <v/>
      </c>
      <c r="L70" s="229"/>
      <c r="M70" s="192" t="str">
        <f>IF(L$63="","",(COUNTIF(M$8:M$62,"W")))</f>
        <v/>
      </c>
      <c r="N70" s="229"/>
      <c r="O70" s="192" t="str">
        <f>IF(N$63="","",(COUNTIF(O$8:O$62,"W")))</f>
        <v/>
      </c>
      <c r="P70" s="229"/>
      <c r="Q70" s="192" t="str">
        <f>IF(P$63="","",(COUNTIF(Q$8:Q$62,"W")))</f>
        <v/>
      </c>
      <c r="R70" s="229"/>
      <c r="S70" s="229"/>
      <c r="T70" s="192" t="str">
        <f>IF(S$63="","",(COUNTIF(T$8:T$62,"W")))</f>
        <v/>
      </c>
      <c r="U70" s="261"/>
      <c r="V70" s="265"/>
      <c r="W70" s="192" t="str">
        <f>IF(V$63="","",(COUNTIF(W$8:W$62,"W")))</f>
        <v/>
      </c>
      <c r="X70" s="266"/>
      <c r="Y70" s="286"/>
      <c r="Z70" s="229"/>
      <c r="AA70" s="229"/>
      <c r="AB70" s="229"/>
      <c r="AC70" s="240" t="str">
        <f>IF((COUNT($D70:$W70)=0),"",SUM($D70:$W70))</f>
        <v/>
      </c>
      <c r="AD70" s="287"/>
      <c r="AE70" s="283" t="str">
        <f>IF(AND(AE63="",AE64="",AE65="",AE66="",AE67="",AE68="",AE69=""),"",SUM(AE63:AE69))</f>
        <v/>
      </c>
      <c r="AF70" s="351" t="s">
        <v>33</v>
      </c>
      <c r="AG70" s="352"/>
      <c r="AH70" s="353"/>
    </row>
    <row r="71" spans="1:66" s="167" customFormat="1" ht="12" customHeight="1">
      <c r="A71" s="419"/>
      <c r="B71" s="419"/>
      <c r="C71" s="230" t="s">
        <v>47</v>
      </c>
      <c r="D71" s="231"/>
      <c r="E71" s="232" t="str">
        <f>IF(D$63="","",(COUNTIF(E$8:E$62,"ab")))</f>
        <v/>
      </c>
      <c r="F71" s="231"/>
      <c r="G71" s="232" t="str">
        <f>IF(F$63="","",(COUNTIF(G$8:G$62,"ab")))</f>
        <v/>
      </c>
      <c r="H71" s="231"/>
      <c r="I71" s="232" t="str">
        <f>IF(H$63="","",(COUNTIF(I$8:I$62,"ab")))</f>
        <v/>
      </c>
      <c r="J71" s="231"/>
      <c r="K71" s="232" t="str">
        <f>IF(J$63="","",(COUNTIF(K$8:K$62,"ab")))</f>
        <v/>
      </c>
      <c r="L71" s="231"/>
      <c r="M71" s="232" t="str">
        <f>IF(L$63="","",(COUNTIF(M$8:M$62,"ab")))</f>
        <v/>
      </c>
      <c r="N71" s="231"/>
      <c r="O71" s="232" t="str">
        <f>IF(N$63="","",(COUNTIF(O$8:O$62,"ab")))</f>
        <v/>
      </c>
      <c r="P71" s="231"/>
      <c r="Q71" s="232" t="str">
        <f>IF(P$63="","",(COUNTIF(Q$8:Q$62,"ab")))</f>
        <v/>
      </c>
      <c r="R71" s="231"/>
      <c r="S71" s="231"/>
      <c r="T71" s="232" t="str">
        <f>IF(S$63="","",(COUNTIF(T$8:T$62,"ab")))</f>
        <v/>
      </c>
      <c r="U71" s="267"/>
      <c r="V71" s="268"/>
      <c r="W71" s="269" t="str">
        <f>IF(V$63="","",(COUNTIF(W$8:W$62,"ab")))</f>
        <v/>
      </c>
      <c r="X71" s="270"/>
      <c r="Y71" s="288"/>
      <c r="Z71" s="288"/>
      <c r="AA71" s="288"/>
      <c r="AB71" s="288"/>
      <c r="AC71" s="288"/>
      <c r="AD71" s="289" t="str">
        <f>IF((COUNT($D71:$W71)=0),"",SUM($D71:$W71))</f>
        <v/>
      </c>
      <c r="AE71" s="290"/>
      <c r="AF71" s="257"/>
      <c r="AG71" s="257"/>
      <c r="AH71" s="288"/>
    </row>
    <row r="72" spans="1:66" s="167" customFormat="1" ht="12" customHeight="1">
      <c r="A72" s="361" t="s">
        <v>33</v>
      </c>
      <c r="B72" s="362"/>
      <c r="C72" s="362"/>
      <c r="D72" s="233"/>
      <c r="E72" s="234" t="str">
        <f>IF(D$63="","",(SUM(E$66:E$71)))</f>
        <v/>
      </c>
      <c r="F72" s="233"/>
      <c r="G72" s="234" t="str">
        <f>IF(F$63="","",(SUM(G$66:G$71)))</f>
        <v/>
      </c>
      <c r="H72" s="233"/>
      <c r="I72" s="234" t="str">
        <f>IF(H$63="","",(SUM(I$66:I$71)))</f>
        <v/>
      </c>
      <c r="J72" s="233"/>
      <c r="K72" s="234" t="str">
        <f>IF(J$63="","",(SUM(K$66:K$71)))</f>
        <v/>
      </c>
      <c r="L72" s="233"/>
      <c r="M72" s="234" t="str">
        <f>IF(L$63="","",(SUM(M$66:M$71)))</f>
        <v/>
      </c>
      <c r="N72" s="233"/>
      <c r="O72" s="234" t="str">
        <f>IF(N$63="","",(SUM(O$66:O$71)))</f>
        <v/>
      </c>
      <c r="P72" s="233"/>
      <c r="Q72" s="234" t="str">
        <f>IF(P$63="","",(SUM(Q$66:Q$71)))</f>
        <v/>
      </c>
      <c r="R72" s="233"/>
      <c r="S72" s="233"/>
      <c r="T72" s="234" t="str">
        <f>IF(S$63="","",(SUM(T$66:T$71)))</f>
        <v/>
      </c>
      <c r="U72" s="271"/>
      <c r="V72" s="272"/>
      <c r="W72" s="273" t="str">
        <f>IF(V$63="","",(SUM(W$66:W$71)))</f>
        <v/>
      </c>
      <c r="X72" s="274"/>
      <c r="Y72" s="274"/>
      <c r="Z72" s="288"/>
      <c r="AA72" s="288"/>
      <c r="AB72" s="288"/>
      <c r="AC72" s="288"/>
      <c r="AD72" s="290"/>
      <c r="AE72" s="290"/>
      <c r="AF72" s="257"/>
      <c r="AG72" s="257"/>
      <c r="AH72" s="288"/>
    </row>
    <row r="73" spans="1:66" s="167" customFormat="1" ht="9.75" customHeight="1">
      <c r="A73" s="221"/>
      <c r="B73" s="221"/>
      <c r="C73" s="221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89"/>
      <c r="AE73" s="289"/>
      <c r="AF73" s="291"/>
      <c r="AG73" s="291"/>
      <c r="AH73" s="235"/>
    </row>
    <row r="74" spans="1:66" s="167" customFormat="1" ht="15" customHeight="1">
      <c r="A74" s="221"/>
      <c r="B74" s="221"/>
      <c r="C74" s="236" t="s">
        <v>48</v>
      </c>
      <c r="D74" s="237" t="str">
        <f>IF(D$63="","",(COUNTIFS(D$8:D$62,"&lt;=39",D$8:D$62,"&gt;=30")))</f>
        <v/>
      </c>
      <c r="E74" s="238"/>
      <c r="F74" s="237" t="str">
        <f>IF(F$63="","",(COUNTIFS(F$8:F$62,"&lt;=39",F$8:F$62,"&gt;=30")))</f>
        <v/>
      </c>
      <c r="G74" s="238"/>
      <c r="H74" s="237" t="str">
        <f>IF(H$63="","",(COUNTIFS(H$8:H$62,"&lt;=39",H$8:H$62,"&gt;=30")))</f>
        <v/>
      </c>
      <c r="I74" s="238"/>
      <c r="J74" s="237" t="str">
        <f>IF(J$63="","",(COUNTIFS(J$8:J$62,"&lt;=39",J$8:J$62,"&gt;=30")))</f>
        <v/>
      </c>
      <c r="K74" s="238"/>
      <c r="L74" s="237" t="str">
        <f>IF(L$63="","",(COUNTIFS(L$8:L$62,"&lt;=39",L$8:L$62,"&gt;=30")))</f>
        <v/>
      </c>
      <c r="M74" s="238"/>
      <c r="N74" s="237" t="str">
        <f>IF(N$63="","",(COUNTIFS(N$8:N$62,"&lt;=39",N$8:N$62,"&gt;=30")))</f>
        <v/>
      </c>
      <c r="O74" s="238"/>
      <c r="P74" s="237" t="str">
        <f>IF(P$63="","",(COUNTIFS(P$8:P$62,"&lt;=39",P$8:P$62,"&gt;=30")))</f>
        <v/>
      </c>
      <c r="Q74" s="238"/>
      <c r="R74" s="238"/>
      <c r="S74" s="237" t="str">
        <f>IF(S$63="","",(COUNTIFS(S$8:S$62,"&lt;=39",S$8:S$62,"&gt;=30")))</f>
        <v/>
      </c>
      <c r="T74" s="238"/>
      <c r="U74" s="238"/>
      <c r="V74" s="275" t="str">
        <f>IF(V$63="","",(COUNTIFS(V$8:V$62,"&lt;=39",V$8:V$62,"&gt;=30")))</f>
        <v/>
      </c>
      <c r="W74" s="276"/>
      <c r="X74" s="277"/>
      <c r="Y74" s="235"/>
      <c r="Z74" s="363" t="s">
        <v>49</v>
      </c>
      <c r="AA74" s="364"/>
      <c r="AB74" s="364"/>
      <c r="AC74" s="364"/>
      <c r="AD74" s="365"/>
      <c r="AE74" s="366" t="s">
        <v>50</v>
      </c>
      <c r="AF74" s="367"/>
      <c r="AG74" s="367"/>
      <c r="AH74" s="368"/>
    </row>
    <row r="75" spans="1:66" s="167" customFormat="1" ht="13.2">
      <c r="A75" s="221"/>
      <c r="B75" s="221"/>
      <c r="C75" s="239" t="s">
        <v>51</v>
      </c>
      <c r="D75" s="240" t="str">
        <f>IF(D$63="","",(COUNTIFS(D$8:D$62,"&lt;=29",D$8:D$62,"&gt;=20")))</f>
        <v/>
      </c>
      <c r="E75" s="229"/>
      <c r="F75" s="240" t="str">
        <f>IF(F$63="","",(COUNTIFS(F$8:F$62,"&lt;=29",F$8:F$62,"&gt;=20")))</f>
        <v/>
      </c>
      <c r="G75" s="229"/>
      <c r="H75" s="240" t="str">
        <f>IF(H$63="","",(COUNTIFS(H$8:H$62,"&lt;=29",H$8:H$62,"&gt;=20")))</f>
        <v/>
      </c>
      <c r="I75" s="229"/>
      <c r="J75" s="240" t="str">
        <f>IF(J$63="","",(COUNTIFS(J$8:J$62,"&lt;=29",J$8:J$62,"&gt;=20")))</f>
        <v/>
      </c>
      <c r="K75" s="229"/>
      <c r="L75" s="240" t="str">
        <f>IF(L$63="","",(COUNTIFS(L$8:L$62,"&lt;=29",L$8:L$62,"&gt;=20")))</f>
        <v/>
      </c>
      <c r="M75" s="229"/>
      <c r="N75" s="240" t="str">
        <f>IF(N$63="","",(COUNTIFS(N$8:N$62,"&lt;=29",N$8:N$62,"&gt;=20")))</f>
        <v/>
      </c>
      <c r="O75" s="229"/>
      <c r="P75" s="240" t="str">
        <f>IF(P$63="","",(COUNTIFS(P$8:P$62,"&lt;=29",P$8:P$62,"&gt;=20")))</f>
        <v/>
      </c>
      <c r="Q75" s="229"/>
      <c r="R75" s="229"/>
      <c r="S75" s="240" t="str">
        <f>IF(S$63="","",(COUNTIFS(S$8:S$62,"&lt;=29",S$8:S$62,"&gt;=20")))</f>
        <v/>
      </c>
      <c r="T75" s="229"/>
      <c r="U75" s="229"/>
      <c r="V75" s="278" t="str">
        <f>IF(V$63="","",(COUNTIFS(V$8:V$62,"&lt;=29",V$8:V$62,"&gt;=20")))</f>
        <v/>
      </c>
      <c r="W75" s="279"/>
      <c r="X75" s="270"/>
      <c r="Y75" s="235"/>
      <c r="Z75" s="363" t="s">
        <v>20</v>
      </c>
      <c r="AA75" s="364"/>
      <c r="AB75" s="364"/>
      <c r="AC75" s="364"/>
      <c r="AD75" s="364"/>
      <c r="AE75" s="364"/>
      <c r="AF75" s="364"/>
      <c r="AG75" s="364"/>
      <c r="AH75" s="365"/>
    </row>
    <row r="76" spans="1:66" s="167" customFormat="1" ht="13.2">
      <c r="A76" s="221"/>
      <c r="B76" s="221"/>
      <c r="C76" s="241" t="s">
        <v>52</v>
      </c>
      <c r="D76" s="240" t="str">
        <f>IF(D$63="","",(COUNTIFS(D$8:D$62,"&gt;=10",D$8:D$62,"&lt;=19")))</f>
        <v/>
      </c>
      <c r="E76" s="229"/>
      <c r="F76" s="240" t="str">
        <f>IF(F$63="","",(COUNTIFS(F$8:F$62,"&gt;=10",F$8:F$62,"&lt;=19")))</f>
        <v/>
      </c>
      <c r="G76" s="229"/>
      <c r="H76" s="240" t="str">
        <f>IF(H$63="","",(COUNTIFS(H$8:H$62,"&gt;=10",H$8:H$62,"&lt;=19")))</f>
        <v/>
      </c>
      <c r="I76" s="229"/>
      <c r="J76" s="240" t="str">
        <f>IF(J$63="","",(COUNTIFS(J$8:J$62,"&gt;=10",J$8:J$62,"&lt;=19")))</f>
        <v/>
      </c>
      <c r="K76" s="229"/>
      <c r="L76" s="240" t="str">
        <f>IF(L$63="","",(COUNTIFS(L$8:L$62,"&gt;=10",L$8:L$62,"&lt;=19")))</f>
        <v/>
      </c>
      <c r="M76" s="229"/>
      <c r="N76" s="240" t="str">
        <f>IF(N$63="","",(COUNTIFS(N$8:N$62,"&gt;=10",N$8:N$62,"&lt;=19")))</f>
        <v/>
      </c>
      <c r="O76" s="229"/>
      <c r="P76" s="240" t="str">
        <f>IF(P$63="","",(COUNTIFS(P$8:P$62,"&gt;=10",P$8:P$62,"&lt;=19")))</f>
        <v/>
      </c>
      <c r="Q76" s="229"/>
      <c r="R76" s="229"/>
      <c r="S76" s="240" t="str">
        <f>IF(S$63="","",(COUNTIFS(S$8:S$62,"&gt;=10",S$8:S$62,"&lt;=19")))</f>
        <v/>
      </c>
      <c r="T76" s="229"/>
      <c r="U76" s="229"/>
      <c r="V76" s="278" t="str">
        <f>IF(V$63="","",(COUNTIFS(V$8:V$62,"&gt;=10",V$8:V$62,"&lt;=19")))</f>
        <v/>
      </c>
      <c r="W76" s="279"/>
      <c r="X76" s="270"/>
      <c r="Z76" s="292" t="s">
        <v>53</v>
      </c>
      <c r="AA76" s="369" t="s">
        <v>54</v>
      </c>
      <c r="AB76" s="370"/>
      <c r="AC76" s="370"/>
      <c r="AD76" s="370"/>
      <c r="AE76" s="370"/>
      <c r="AF76" s="370"/>
      <c r="AG76" s="370"/>
      <c r="AH76" s="371"/>
    </row>
    <row r="77" spans="1:66" s="167" customFormat="1" ht="13.2">
      <c r="A77" s="221"/>
      <c r="B77" s="221"/>
      <c r="C77" s="242" t="s">
        <v>55</v>
      </c>
      <c r="D77" s="243" t="str">
        <f>IF(D$63="","",(COUNTIFS(D$8:D$62,"&gt;=0",D$8:D$62,"&lt;=9")))</f>
        <v/>
      </c>
      <c r="E77" s="244"/>
      <c r="F77" s="243" t="str">
        <f>IF(F$63="","",(COUNTIFS(F$8:F$62,"&gt;=0",F$8:F$62,"&lt;=9")))</f>
        <v/>
      </c>
      <c r="G77" s="244"/>
      <c r="H77" s="243" t="str">
        <f>IF(H$63="","",(COUNTIFS(H$8:H$62,"&gt;=0",H$8:H$62,"&lt;=9")))</f>
        <v/>
      </c>
      <c r="I77" s="244"/>
      <c r="J77" s="243" t="str">
        <f>IF(J$63="","",(COUNTIFS(J$8:J$62,"&gt;=0",J$8:J$62,"&lt;=9")))</f>
        <v/>
      </c>
      <c r="K77" s="244"/>
      <c r="L77" s="243" t="str">
        <f>IF(L$63="","",(COUNTIFS(L$8:L$62,"&gt;=0",L$8:L$62,"&lt;=9")))</f>
        <v/>
      </c>
      <c r="M77" s="244"/>
      <c r="N77" s="243" t="str">
        <f>IF(N$63="","",(COUNTIFS(N$8:N$62,"&gt;=0",N$8:N$62,"&lt;=9")))</f>
        <v/>
      </c>
      <c r="O77" s="244"/>
      <c r="P77" s="243" t="str">
        <f>IF(P$63="","",(COUNTIFS(P$8:P$62,"&gt;=0",P$8:P$62,"&lt;=9")))</f>
        <v/>
      </c>
      <c r="Q77" s="244"/>
      <c r="R77" s="244"/>
      <c r="S77" s="243" t="str">
        <f>IF(S$63="","",(COUNTIFS(S$8:S$62,"&gt;=0",S$8:S$62,"&lt;=9")))</f>
        <v/>
      </c>
      <c r="T77" s="244"/>
      <c r="U77" s="244"/>
      <c r="V77" s="280" t="str">
        <f>IF(V$63="","",(COUNTIFS(V$8:V$62,"&gt;=0",V$8:V$62,"&lt;=9")))</f>
        <v/>
      </c>
      <c r="W77" s="281"/>
      <c r="X77" s="282"/>
      <c r="Y77" s="235"/>
      <c r="Z77" s="293" t="s">
        <v>56</v>
      </c>
      <c r="AA77" s="372" t="s">
        <v>57</v>
      </c>
      <c r="AB77" s="373"/>
      <c r="AC77" s="373"/>
      <c r="AD77" s="373"/>
      <c r="AE77" s="373"/>
      <c r="AF77" s="373"/>
      <c r="AG77" s="373"/>
      <c r="AH77" s="374"/>
    </row>
    <row r="78" spans="1:66" ht="13.5" customHeight="1">
      <c r="A78" s="70"/>
      <c r="B78" s="70"/>
      <c r="C78" s="245"/>
      <c r="D78" s="70"/>
      <c r="E78" s="246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246"/>
      <c r="Z78" s="294" t="s">
        <v>58</v>
      </c>
      <c r="AA78" s="372" t="s">
        <v>59</v>
      </c>
      <c r="AB78" s="373"/>
      <c r="AC78" s="373"/>
      <c r="AD78" s="373"/>
      <c r="AE78" s="373"/>
      <c r="AF78" s="373"/>
      <c r="AG78" s="373"/>
      <c r="AH78" s="374"/>
    </row>
    <row r="79" spans="1:66" s="167" customFormat="1" ht="14.25" customHeight="1">
      <c r="A79" s="221"/>
      <c r="B79" s="247" t="s">
        <v>27</v>
      </c>
      <c r="C79" s="375" t="s">
        <v>60</v>
      </c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76"/>
      <c r="W79" s="377"/>
      <c r="X79" s="221"/>
      <c r="Y79" s="235"/>
      <c r="Z79" s="295" t="s">
        <v>61</v>
      </c>
      <c r="AA79" s="372" t="s">
        <v>62</v>
      </c>
      <c r="AB79" s="373"/>
      <c r="AC79" s="373"/>
      <c r="AD79" s="373"/>
      <c r="AE79" s="373"/>
      <c r="AF79" s="373"/>
      <c r="AG79" s="373"/>
      <c r="AH79" s="374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/>
      <c r="AX79" s="221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  <c r="BM79" s="221"/>
      <c r="BN79" s="221"/>
    </row>
    <row r="80" spans="1:66" s="167" customFormat="1" ht="12" customHeight="1">
      <c r="A80" s="221"/>
      <c r="B80" s="378" t="s">
        <v>15</v>
      </c>
      <c r="C80" s="379"/>
      <c r="D80" s="380" t="s">
        <v>16</v>
      </c>
      <c r="E80" s="381"/>
      <c r="F80" s="381"/>
      <c r="G80" s="381"/>
      <c r="H80" s="381"/>
      <c r="I80" s="381"/>
      <c r="J80" s="381"/>
      <c r="K80" s="381"/>
      <c r="L80" s="381"/>
      <c r="M80" s="382"/>
      <c r="N80" s="380" t="s">
        <v>17</v>
      </c>
      <c r="O80" s="381"/>
      <c r="P80" s="381"/>
      <c r="Q80" s="381"/>
      <c r="R80" s="381"/>
      <c r="S80" s="381"/>
      <c r="T80" s="381"/>
      <c r="U80" s="381"/>
      <c r="V80" s="381"/>
      <c r="W80" s="382"/>
      <c r="X80" s="221"/>
      <c r="Y80" s="235"/>
      <c r="Z80" s="296" t="s">
        <v>63</v>
      </c>
      <c r="AA80" s="372" t="s">
        <v>64</v>
      </c>
      <c r="AB80" s="373"/>
      <c r="AC80" s="373"/>
      <c r="AD80" s="373"/>
      <c r="AE80" s="373"/>
      <c r="AF80" s="373"/>
      <c r="AG80" s="373"/>
      <c r="AH80" s="374"/>
      <c r="AJ80" s="221"/>
      <c r="AK80" s="221"/>
      <c r="AL80" s="221"/>
      <c r="AM80" s="221"/>
      <c r="AN80" s="221"/>
      <c r="AO80" s="221"/>
      <c r="AP80" s="221"/>
      <c r="AQ80" s="221"/>
      <c r="AR80" s="221"/>
      <c r="AS80" s="221"/>
      <c r="AT80" s="221"/>
      <c r="AU80" s="221"/>
      <c r="AV80" s="221"/>
      <c r="AW80" s="221"/>
      <c r="AX80" s="221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</row>
    <row r="81" spans="1:66" s="167" customFormat="1" ht="12" customHeight="1">
      <c r="A81" s="221"/>
      <c r="B81" s="248" t="s">
        <v>65</v>
      </c>
      <c r="C81" s="249" t="s">
        <v>66</v>
      </c>
      <c r="D81" s="383" t="s">
        <v>67</v>
      </c>
      <c r="E81" s="384"/>
      <c r="F81" s="385" t="s">
        <v>68</v>
      </c>
      <c r="G81" s="386"/>
      <c r="H81" s="386"/>
      <c r="I81" s="386"/>
      <c r="J81" s="386"/>
      <c r="K81" s="386"/>
      <c r="L81" s="386"/>
      <c r="M81" s="387"/>
      <c r="N81" s="383" t="s">
        <v>69</v>
      </c>
      <c r="O81" s="384"/>
      <c r="P81" s="386" t="s">
        <v>70</v>
      </c>
      <c r="Q81" s="386"/>
      <c r="R81" s="386"/>
      <c r="S81" s="386"/>
      <c r="T81" s="386"/>
      <c r="U81" s="386"/>
      <c r="V81" s="386"/>
      <c r="W81" s="387"/>
      <c r="X81" s="221"/>
      <c r="Y81" s="235"/>
      <c r="Z81" s="297" t="s">
        <v>71</v>
      </c>
      <c r="AA81" s="372" t="s">
        <v>72</v>
      </c>
      <c r="AB81" s="373"/>
      <c r="AC81" s="373"/>
      <c r="AD81" s="373"/>
      <c r="AE81" s="373"/>
      <c r="AF81" s="373"/>
      <c r="AG81" s="373"/>
      <c r="AH81" s="374"/>
      <c r="AI81" s="221"/>
      <c r="AJ81" s="298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221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</row>
    <row r="82" spans="1:66" s="167" customFormat="1" ht="12" customHeight="1">
      <c r="A82" s="221"/>
      <c r="B82" s="250" t="s">
        <v>73</v>
      </c>
      <c r="C82" s="251" t="s">
        <v>74</v>
      </c>
      <c r="D82" s="388" t="s">
        <v>75</v>
      </c>
      <c r="E82" s="389"/>
      <c r="F82" s="390" t="s">
        <v>76</v>
      </c>
      <c r="G82" s="391"/>
      <c r="H82" s="391"/>
      <c r="I82" s="391"/>
      <c r="J82" s="391"/>
      <c r="K82" s="391"/>
      <c r="L82" s="391"/>
      <c r="M82" s="392"/>
      <c r="N82" s="388" t="s">
        <v>77</v>
      </c>
      <c r="O82" s="389"/>
      <c r="P82" s="391" t="s">
        <v>78</v>
      </c>
      <c r="Q82" s="391"/>
      <c r="R82" s="391"/>
      <c r="S82" s="391"/>
      <c r="T82" s="391"/>
      <c r="U82" s="391"/>
      <c r="V82" s="391"/>
      <c r="W82" s="392"/>
      <c r="X82" s="221"/>
      <c r="Y82" s="416" t="s">
        <v>79</v>
      </c>
      <c r="Z82" s="416"/>
      <c r="AA82" s="416"/>
      <c r="AB82" s="417" t="s">
        <v>80</v>
      </c>
      <c r="AC82" s="417"/>
      <c r="AD82" s="417"/>
      <c r="AE82" s="417"/>
      <c r="AF82" s="417"/>
      <c r="AG82" s="417"/>
      <c r="AH82" s="417"/>
      <c r="AI82" s="221"/>
      <c r="AJ82" s="298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</row>
    <row r="83" spans="1:66" s="167" customFormat="1" ht="12" customHeight="1">
      <c r="A83" s="221"/>
      <c r="B83" s="250" t="s">
        <v>81</v>
      </c>
      <c r="C83" s="251" t="s">
        <v>82</v>
      </c>
      <c r="D83" s="388" t="s">
        <v>83</v>
      </c>
      <c r="E83" s="389"/>
      <c r="F83" s="390" t="s">
        <v>84</v>
      </c>
      <c r="G83" s="391"/>
      <c r="H83" s="391"/>
      <c r="I83" s="391"/>
      <c r="J83" s="391"/>
      <c r="K83" s="391"/>
      <c r="L83" s="391"/>
      <c r="M83" s="392"/>
      <c r="N83" s="388" t="s">
        <v>85</v>
      </c>
      <c r="O83" s="389"/>
      <c r="P83" s="391" t="s">
        <v>86</v>
      </c>
      <c r="Q83" s="391"/>
      <c r="R83" s="391"/>
      <c r="S83" s="391"/>
      <c r="T83" s="391"/>
      <c r="U83" s="391"/>
      <c r="V83" s="391"/>
      <c r="W83" s="392"/>
      <c r="X83" s="221"/>
      <c r="Y83" s="416"/>
      <c r="Z83" s="416"/>
      <c r="AA83" s="416"/>
      <c r="AB83" s="416"/>
      <c r="AC83" s="416"/>
      <c r="AD83" s="416"/>
      <c r="AE83" s="416"/>
      <c r="AF83" s="416"/>
      <c r="AG83" s="416"/>
      <c r="AH83" s="416"/>
      <c r="AI83" s="221"/>
      <c r="AJ83" s="298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</row>
    <row r="84" spans="1:66" s="167" customFormat="1" ht="12" customHeight="1">
      <c r="A84" s="221"/>
      <c r="B84" s="250" t="s">
        <v>87</v>
      </c>
      <c r="C84" s="251" t="s">
        <v>88</v>
      </c>
      <c r="D84" s="388" t="s">
        <v>89</v>
      </c>
      <c r="E84" s="389"/>
      <c r="F84" s="390" t="s">
        <v>90</v>
      </c>
      <c r="G84" s="391"/>
      <c r="H84" s="391"/>
      <c r="I84" s="391"/>
      <c r="J84" s="391"/>
      <c r="K84" s="391"/>
      <c r="L84" s="391"/>
      <c r="M84" s="392"/>
      <c r="N84" s="388" t="s">
        <v>91</v>
      </c>
      <c r="O84" s="389"/>
      <c r="P84" s="391" t="s">
        <v>92</v>
      </c>
      <c r="Q84" s="391"/>
      <c r="R84" s="391"/>
      <c r="S84" s="391"/>
      <c r="T84" s="391"/>
      <c r="U84" s="391"/>
      <c r="V84" s="391"/>
      <c r="W84" s="392"/>
      <c r="X84" s="221"/>
      <c r="Y84" s="415" t="s">
        <v>93</v>
      </c>
      <c r="Z84" s="415"/>
      <c r="AA84" s="415"/>
      <c r="AB84" s="415"/>
      <c r="AC84" s="416" t="s">
        <v>80</v>
      </c>
      <c r="AD84" s="416"/>
      <c r="AE84" s="416"/>
      <c r="AF84" s="416"/>
      <c r="AG84" s="416"/>
      <c r="AH84" s="416"/>
      <c r="AI84" s="221"/>
      <c r="AJ84" s="298"/>
      <c r="AK84" s="221"/>
      <c r="AL84" s="221"/>
      <c r="AM84" s="221"/>
      <c r="AN84" s="221"/>
      <c r="AO84" s="221"/>
      <c r="AP84" s="221"/>
      <c r="AQ84" s="221"/>
      <c r="AR84" s="221"/>
      <c r="AS84" s="221"/>
      <c r="AT84" s="221"/>
      <c r="AU84" s="221"/>
      <c r="AV84" s="221"/>
      <c r="AW84" s="221"/>
      <c r="AX84" s="221"/>
      <c r="AY84" s="221"/>
      <c r="AZ84" s="221"/>
      <c r="BA84" s="221"/>
      <c r="BB84" s="221"/>
      <c r="BC84" s="221"/>
      <c r="BD84" s="221"/>
      <c r="BE84" s="221"/>
      <c r="BF84" s="221"/>
      <c r="BG84" s="221"/>
      <c r="BH84" s="221"/>
      <c r="BI84" s="221"/>
      <c r="BJ84" s="221"/>
      <c r="BK84" s="221"/>
      <c r="BL84" s="221"/>
      <c r="BM84" s="221"/>
      <c r="BN84" s="221"/>
    </row>
    <row r="85" spans="1:66" s="167" customFormat="1" ht="12" customHeight="1">
      <c r="A85" s="221"/>
      <c r="B85" s="250" t="s">
        <v>94</v>
      </c>
      <c r="C85" s="252"/>
      <c r="D85" s="388" t="s">
        <v>95</v>
      </c>
      <c r="E85" s="389"/>
      <c r="F85" s="390" t="s">
        <v>96</v>
      </c>
      <c r="G85" s="391"/>
      <c r="H85" s="391"/>
      <c r="I85" s="391"/>
      <c r="J85" s="391"/>
      <c r="K85" s="391"/>
      <c r="L85" s="391"/>
      <c r="M85" s="392"/>
      <c r="N85" s="388" t="s">
        <v>97</v>
      </c>
      <c r="O85" s="389"/>
      <c r="P85" s="391" t="s">
        <v>98</v>
      </c>
      <c r="Q85" s="391"/>
      <c r="R85" s="391"/>
      <c r="S85" s="391"/>
      <c r="T85" s="391"/>
      <c r="U85" s="391"/>
      <c r="V85" s="391"/>
      <c r="W85" s="392"/>
      <c r="X85" s="221"/>
      <c r="Y85" s="415"/>
      <c r="Z85" s="415"/>
      <c r="AA85" s="415"/>
      <c r="AB85" s="415"/>
      <c r="AC85" s="416"/>
      <c r="AD85" s="416"/>
      <c r="AE85" s="416"/>
      <c r="AF85" s="416"/>
      <c r="AG85" s="416"/>
      <c r="AH85" s="416"/>
      <c r="AI85" s="221"/>
    </row>
    <row r="86" spans="1:66" s="167" customFormat="1" ht="12" customHeight="1">
      <c r="A86" s="221"/>
      <c r="B86" s="250" t="s">
        <v>99</v>
      </c>
      <c r="C86" s="253"/>
      <c r="D86" s="388" t="s">
        <v>100</v>
      </c>
      <c r="E86" s="389"/>
      <c r="F86" s="390" t="s">
        <v>101</v>
      </c>
      <c r="G86" s="391"/>
      <c r="H86" s="391"/>
      <c r="I86" s="391"/>
      <c r="J86" s="391"/>
      <c r="K86" s="391"/>
      <c r="L86" s="391"/>
      <c r="M86" s="392"/>
      <c r="N86" s="388" t="s">
        <v>102</v>
      </c>
      <c r="O86" s="389"/>
      <c r="P86" s="391" t="s">
        <v>103</v>
      </c>
      <c r="Q86" s="391"/>
      <c r="R86" s="391"/>
      <c r="S86" s="391"/>
      <c r="T86" s="391"/>
      <c r="U86" s="391"/>
      <c r="V86" s="391"/>
      <c r="W86" s="392"/>
      <c r="X86" s="221"/>
      <c r="Y86" s="413" t="s">
        <v>104</v>
      </c>
      <c r="Z86" s="413"/>
      <c r="AA86" s="413"/>
      <c r="AB86" s="413"/>
      <c r="AC86" s="413"/>
      <c r="AD86" s="414" t="s">
        <v>80</v>
      </c>
      <c r="AE86" s="414"/>
      <c r="AF86" s="414"/>
      <c r="AG86" s="414"/>
      <c r="AH86" s="414"/>
    </row>
    <row r="87" spans="1:66" s="167" customFormat="1" ht="12" customHeight="1">
      <c r="A87" s="221"/>
      <c r="B87" s="250" t="s">
        <v>105</v>
      </c>
      <c r="C87" s="253"/>
      <c r="D87" s="388" t="s">
        <v>106</v>
      </c>
      <c r="E87" s="389"/>
      <c r="F87" s="393"/>
      <c r="G87" s="394"/>
      <c r="H87" s="394"/>
      <c r="I87" s="394"/>
      <c r="J87" s="394"/>
      <c r="K87" s="394"/>
      <c r="L87" s="394"/>
      <c r="M87" s="395"/>
      <c r="N87" s="388" t="s">
        <v>107</v>
      </c>
      <c r="O87" s="389"/>
      <c r="P87" s="391" t="s">
        <v>108</v>
      </c>
      <c r="Q87" s="391"/>
      <c r="R87" s="391"/>
      <c r="S87" s="391"/>
      <c r="T87" s="391"/>
      <c r="U87" s="391"/>
      <c r="V87" s="391"/>
      <c r="W87" s="392"/>
      <c r="X87" s="221"/>
      <c r="Y87" s="413"/>
      <c r="Z87" s="413"/>
      <c r="AA87" s="413"/>
      <c r="AB87" s="413"/>
      <c r="AC87" s="413"/>
      <c r="AD87" s="414"/>
      <c r="AE87" s="414"/>
      <c r="AF87" s="414"/>
      <c r="AG87" s="414"/>
      <c r="AH87" s="414"/>
      <c r="AI87" s="299"/>
      <c r="AJ87" s="300"/>
      <c r="AK87" s="301"/>
    </row>
    <row r="88" spans="1:66" s="167" customFormat="1" ht="12" customHeight="1">
      <c r="A88" s="221"/>
      <c r="B88" s="254" t="s">
        <v>109</v>
      </c>
      <c r="C88" s="255"/>
      <c r="D88" s="396" t="s">
        <v>110</v>
      </c>
      <c r="E88" s="397"/>
      <c r="F88" s="398"/>
      <c r="G88" s="399"/>
      <c r="H88" s="399"/>
      <c r="I88" s="399"/>
      <c r="J88" s="399"/>
      <c r="K88" s="399"/>
      <c r="L88" s="399"/>
      <c r="M88" s="400"/>
      <c r="N88" s="396" t="s">
        <v>111</v>
      </c>
      <c r="O88" s="397"/>
      <c r="P88" s="399"/>
      <c r="Q88" s="399"/>
      <c r="R88" s="399"/>
      <c r="S88" s="399"/>
      <c r="T88" s="399"/>
      <c r="U88" s="399"/>
      <c r="V88" s="399"/>
      <c r="W88" s="400"/>
      <c r="X88" s="221"/>
      <c r="Y88" s="413"/>
      <c r="Z88" s="413"/>
      <c r="AA88" s="413"/>
      <c r="AB88" s="413"/>
      <c r="AC88" s="413"/>
      <c r="AD88" s="414"/>
      <c r="AE88" s="414"/>
      <c r="AF88" s="414"/>
      <c r="AG88" s="414"/>
      <c r="AH88" s="414"/>
      <c r="AI88" s="299"/>
      <c r="AJ88" s="300"/>
      <c r="AK88" s="301"/>
    </row>
    <row r="89" spans="1:66">
      <c r="A89" s="401" t="s">
        <v>112</v>
      </c>
      <c r="B89" s="401"/>
      <c r="C89" s="401"/>
      <c r="D89" s="401"/>
      <c r="E89" s="401"/>
      <c r="F89" s="401"/>
      <c r="G89" s="401"/>
      <c r="H89" s="401"/>
      <c r="I89" s="401"/>
      <c r="J89" s="401"/>
      <c r="K89" s="401"/>
      <c r="L89" s="401"/>
      <c r="M89" s="401"/>
      <c r="N89" s="401"/>
      <c r="O89" s="401"/>
      <c r="P89" s="401"/>
      <c r="Q89" s="401"/>
      <c r="R89" s="401"/>
      <c r="S89" s="401"/>
      <c r="T89" s="401"/>
      <c r="U89" s="401"/>
      <c r="V89" s="401"/>
      <c r="W89" s="401"/>
      <c r="X89" s="401"/>
      <c r="Y89" s="401"/>
      <c r="Z89" s="401"/>
      <c r="AA89" s="401"/>
      <c r="AB89" s="401"/>
      <c r="AC89" s="401"/>
      <c r="AD89" s="401"/>
      <c r="AE89" s="401"/>
      <c r="AF89" s="401"/>
      <c r="AG89" s="401"/>
      <c r="AH89" s="401"/>
    </row>
  </sheetData>
  <sheetProtection algorithmName="SHA-512" hashValue="8S+fJUoTfNeU8CKskDZmndlP9JADEIRgjhlYiU5GfBgsFxRDZuju0e8SIFEJDqc5IoKgUMYFwX3QEnuA5FlQ8Q==" saltValue="CaE6qvbmekp87lrJXPxQcg==" spinCount="100000" sheet="1" objects="1" scenarios="1"/>
  <mergeCells count="115">
    <mergeCell ref="A89:AH89"/>
    <mergeCell ref="A6:A7"/>
    <mergeCell ref="B6:B7"/>
    <mergeCell ref="AD6:AD7"/>
    <mergeCell ref="AE6:AE7"/>
    <mergeCell ref="AF6:AF7"/>
    <mergeCell ref="AG6:AG7"/>
    <mergeCell ref="AH6:AH7"/>
    <mergeCell ref="Y86:AC88"/>
    <mergeCell ref="AD86:AH88"/>
    <mergeCell ref="Y82:AA83"/>
    <mergeCell ref="AB82:AH83"/>
    <mergeCell ref="Y84:AB85"/>
    <mergeCell ref="AC84:AH85"/>
    <mergeCell ref="A66:B71"/>
    <mergeCell ref="D86:E86"/>
    <mergeCell ref="F86:M86"/>
    <mergeCell ref="N86:O86"/>
    <mergeCell ref="P86:W86"/>
    <mergeCell ref="D87:E87"/>
    <mergeCell ref="F87:M87"/>
    <mergeCell ref="N87:O87"/>
    <mergeCell ref="P87:W87"/>
    <mergeCell ref="D88:E88"/>
    <mergeCell ref="F88:M88"/>
    <mergeCell ref="N88:O88"/>
    <mergeCell ref="P88:W88"/>
    <mergeCell ref="D83:E83"/>
    <mergeCell ref="F83:M83"/>
    <mergeCell ref="N83:O83"/>
    <mergeCell ref="P83:W83"/>
    <mergeCell ref="D84:E84"/>
    <mergeCell ref="F84:M84"/>
    <mergeCell ref="N84:O84"/>
    <mergeCell ref="P84:W84"/>
    <mergeCell ref="D85:E85"/>
    <mergeCell ref="F85:M85"/>
    <mergeCell ref="N85:O85"/>
    <mergeCell ref="P85:W85"/>
    <mergeCell ref="D81:E81"/>
    <mergeCell ref="F81:M81"/>
    <mergeCell ref="N81:O81"/>
    <mergeCell ref="P81:W81"/>
    <mergeCell ref="AA81:AH81"/>
    <mergeCell ref="D82:E82"/>
    <mergeCell ref="F82:M82"/>
    <mergeCell ref="N82:O82"/>
    <mergeCell ref="P82:W82"/>
    <mergeCell ref="Z75:AH75"/>
    <mergeCell ref="AA76:AH76"/>
    <mergeCell ref="AA77:AH77"/>
    <mergeCell ref="AA78:AH78"/>
    <mergeCell ref="C79:W79"/>
    <mergeCell ref="AA79:AH79"/>
    <mergeCell ref="B80:C80"/>
    <mergeCell ref="D80:M80"/>
    <mergeCell ref="N80:W80"/>
    <mergeCell ref="AA80:AH80"/>
    <mergeCell ref="Y65:AC65"/>
    <mergeCell ref="AF65:AH65"/>
    <mergeCell ref="AF66:AH66"/>
    <mergeCell ref="AF67:AH67"/>
    <mergeCell ref="AF68:AH68"/>
    <mergeCell ref="AF69:AH69"/>
    <mergeCell ref="AF70:AH70"/>
    <mergeCell ref="A72:C72"/>
    <mergeCell ref="Z74:AD74"/>
    <mergeCell ref="AE74:AH74"/>
    <mergeCell ref="AF63:AH63"/>
    <mergeCell ref="A64:C64"/>
    <mergeCell ref="D64:E64"/>
    <mergeCell ref="F64:G64"/>
    <mergeCell ref="H64:I64"/>
    <mergeCell ref="J64:K64"/>
    <mergeCell ref="L64:M64"/>
    <mergeCell ref="N64:O64"/>
    <mergeCell ref="P64:Q64"/>
    <mergeCell ref="S64:T64"/>
    <mergeCell ref="V64:W64"/>
    <mergeCell ref="Y64:AC64"/>
    <mergeCell ref="AF64:AH64"/>
    <mergeCell ref="Y6:AC6"/>
    <mergeCell ref="A63:C63"/>
    <mergeCell ref="D63:E63"/>
    <mergeCell ref="F63:G63"/>
    <mergeCell ref="H63:I63"/>
    <mergeCell ref="J63:K63"/>
    <mergeCell ref="L63:M63"/>
    <mergeCell ref="N63:O63"/>
    <mergeCell ref="P63:Q63"/>
    <mergeCell ref="S63:T63"/>
    <mergeCell ref="V63:W63"/>
    <mergeCell ref="Y63:AC63"/>
    <mergeCell ref="D6:E6"/>
    <mergeCell ref="F6:G6"/>
    <mergeCell ref="H6:I6"/>
    <mergeCell ref="J6:K6"/>
    <mergeCell ref="L6:M6"/>
    <mergeCell ref="N6:O6"/>
    <mergeCell ref="P6:R6"/>
    <mergeCell ref="S6:U6"/>
    <mergeCell ref="V6:X6"/>
    <mergeCell ref="A3:AH3"/>
    <mergeCell ref="A4:C4"/>
    <mergeCell ref="D4:R4"/>
    <mergeCell ref="S4:V4"/>
    <mergeCell ref="W4:AB4"/>
    <mergeCell ref="AC4:AF4"/>
    <mergeCell ref="AG4:AH4"/>
    <mergeCell ref="A5:C5"/>
    <mergeCell ref="D5:I5"/>
    <mergeCell ref="J5:M5"/>
    <mergeCell ref="N5:R5"/>
    <mergeCell ref="S5:V5"/>
    <mergeCell ref="W5:AH5"/>
  </mergeCells>
  <conditionalFormatting sqref="B8:B62">
    <cfRule type="expression" dxfId="458" priority="1">
      <formula>$AE8="F"</formula>
    </cfRule>
    <cfRule type="expression" dxfId="457" priority="2">
      <formula>$AE8="R2"</formula>
    </cfRule>
    <cfRule type="expression" dxfId="456" priority="3">
      <formula>$AE8="R1"</formula>
    </cfRule>
    <cfRule type="expression" dxfId="455" priority="4">
      <formula>$AE8="Q2"</formula>
    </cfRule>
    <cfRule type="expression" dxfId="454" priority="5">
      <formula>$AE8="Q1"</formula>
    </cfRule>
    <cfRule type="expression" dxfId="453" priority="21">
      <formula>$AE$8="P"</formula>
    </cfRule>
  </conditionalFormatting>
  <conditionalFormatting sqref="D8:D62">
    <cfRule type="cellIs" dxfId="452" priority="64" operator="between">
      <formula>10</formula>
      <formula>19</formula>
    </cfRule>
    <cfRule type="cellIs" dxfId="451" priority="63" operator="between">
      <formula>20</formula>
      <formula>29</formula>
    </cfRule>
    <cfRule type="cellIs" dxfId="450" priority="62" operator="between">
      <formula>30</formula>
      <formula>39</formula>
    </cfRule>
    <cfRule type="cellIs" dxfId="449" priority="66" operator="between">
      <formula>0</formula>
      <formula>9</formula>
    </cfRule>
    <cfRule type="containsBlanks" dxfId="448" priority="65">
      <formula>LEN(TRIM(D8))=0</formula>
    </cfRule>
  </conditionalFormatting>
  <conditionalFormatting sqref="F8:F62">
    <cfRule type="cellIs" dxfId="447" priority="16" operator="between">
      <formula>30</formula>
      <formula>39</formula>
    </cfRule>
    <cfRule type="cellIs" dxfId="446" priority="17" operator="between">
      <formula>20</formula>
      <formula>29</formula>
    </cfRule>
    <cfRule type="cellIs" dxfId="445" priority="18" operator="between">
      <formula>10</formula>
      <formula>19</formula>
    </cfRule>
    <cfRule type="containsBlanks" dxfId="444" priority="19">
      <formula>LEN(TRIM(F8))=0</formula>
    </cfRule>
    <cfRule type="cellIs" dxfId="443" priority="20" operator="between">
      <formula>0</formula>
      <formula>9</formula>
    </cfRule>
  </conditionalFormatting>
  <conditionalFormatting sqref="H8:H62">
    <cfRule type="cellIs" dxfId="442" priority="13" operator="between">
      <formula>10</formula>
      <formula>19</formula>
    </cfRule>
    <cfRule type="cellIs" dxfId="441" priority="11" operator="between">
      <formula>30</formula>
      <formula>39</formula>
    </cfRule>
    <cfRule type="cellIs" dxfId="440" priority="12" operator="between">
      <formula>20</formula>
      <formula>29</formula>
    </cfRule>
    <cfRule type="containsBlanks" dxfId="439" priority="14">
      <formula>LEN(TRIM(H8))=0</formula>
    </cfRule>
    <cfRule type="cellIs" dxfId="438" priority="15" operator="between">
      <formula>0</formula>
      <formula>9</formula>
    </cfRule>
  </conditionalFormatting>
  <conditionalFormatting sqref="J8:J62">
    <cfRule type="cellIs" dxfId="437" priority="6" operator="between">
      <formula>30</formula>
      <formula>39</formula>
    </cfRule>
    <cfRule type="cellIs" dxfId="436" priority="8" operator="between">
      <formula>10</formula>
      <formula>19</formula>
    </cfRule>
    <cfRule type="containsBlanks" dxfId="435" priority="9">
      <formula>LEN(TRIM(J8))=0</formula>
    </cfRule>
    <cfRule type="cellIs" dxfId="434" priority="10" operator="between">
      <formula>0</formula>
      <formula>9</formula>
    </cfRule>
    <cfRule type="cellIs" dxfId="433" priority="7" operator="between">
      <formula>20</formula>
      <formula>29</formula>
    </cfRule>
  </conditionalFormatting>
  <conditionalFormatting sqref="L8:L62">
    <cfRule type="cellIs" dxfId="432" priority="42" operator="between">
      <formula>30</formula>
      <formula>39</formula>
    </cfRule>
    <cfRule type="cellIs" dxfId="431" priority="43" operator="between">
      <formula>20</formula>
      <formula>29</formula>
    </cfRule>
    <cfRule type="cellIs" dxfId="430" priority="44" operator="between">
      <formula>10</formula>
      <formula>19</formula>
    </cfRule>
    <cfRule type="cellIs" dxfId="429" priority="46" operator="between">
      <formula>0</formula>
      <formula>9</formula>
    </cfRule>
    <cfRule type="containsBlanks" dxfId="428" priority="45">
      <formula>LEN(TRIM(L8))=0</formula>
    </cfRule>
  </conditionalFormatting>
  <conditionalFormatting sqref="N8:N62">
    <cfRule type="cellIs" dxfId="427" priority="37" operator="between">
      <formula>30</formula>
      <formula>39</formula>
    </cfRule>
    <cfRule type="cellIs" dxfId="426" priority="38" operator="between">
      <formula>20</formula>
      <formula>29</formula>
    </cfRule>
    <cfRule type="containsBlanks" dxfId="425" priority="40">
      <formula>LEN(TRIM(N8))=0</formula>
    </cfRule>
    <cfRule type="cellIs" dxfId="424" priority="41" operator="between">
      <formula>0</formula>
      <formula>9</formula>
    </cfRule>
    <cfRule type="cellIs" dxfId="423" priority="39" operator="between">
      <formula>10</formula>
      <formula>19</formula>
    </cfRule>
  </conditionalFormatting>
  <conditionalFormatting sqref="P8:P62">
    <cfRule type="cellIs" dxfId="422" priority="33" operator="between">
      <formula>20</formula>
      <formula>29</formula>
    </cfRule>
    <cfRule type="cellIs" dxfId="421" priority="34" operator="between">
      <formula>10</formula>
      <formula>19</formula>
    </cfRule>
    <cfRule type="containsBlanks" dxfId="420" priority="35">
      <formula>LEN(TRIM(P8))=0</formula>
    </cfRule>
    <cfRule type="cellIs" dxfId="419" priority="36" operator="between">
      <formula>0</formula>
      <formula>9</formula>
    </cfRule>
    <cfRule type="cellIs" dxfId="418" priority="32" operator="between">
      <formula>30</formula>
      <formula>39</formula>
    </cfRule>
  </conditionalFormatting>
  <conditionalFormatting sqref="S8:S62">
    <cfRule type="cellIs" dxfId="417" priority="26" operator="between">
      <formula>0</formula>
      <formula>9</formula>
    </cfRule>
    <cfRule type="containsBlanks" dxfId="416" priority="25">
      <formula>LEN(TRIM(S8))=0</formula>
    </cfRule>
    <cfRule type="cellIs" dxfId="415" priority="24" operator="between">
      <formula>10</formula>
      <formula>19</formula>
    </cfRule>
    <cfRule type="cellIs" dxfId="414" priority="23" operator="between">
      <formula>20</formula>
      <formula>29</formula>
    </cfRule>
    <cfRule type="cellIs" dxfId="413" priority="22" operator="between">
      <formula>30</formula>
      <formula>39</formula>
    </cfRule>
  </conditionalFormatting>
  <conditionalFormatting sqref="V8:V62">
    <cfRule type="cellIs" dxfId="412" priority="27" operator="between">
      <formula>30</formula>
      <formula>39</formula>
    </cfRule>
    <cfRule type="cellIs" dxfId="411" priority="28" operator="between">
      <formula>20</formula>
      <formula>29</formula>
    </cfRule>
    <cfRule type="cellIs" dxfId="410" priority="29" operator="between">
      <formula>10</formula>
      <formula>19</formula>
    </cfRule>
    <cfRule type="containsBlanks" dxfId="409" priority="30">
      <formula>LEN(TRIM(V8))=0</formula>
    </cfRule>
    <cfRule type="cellIs" dxfId="408" priority="31" operator="between">
      <formula>0</formula>
      <formula>9</formula>
    </cfRule>
  </conditionalFormatting>
  <dataValidations count="9">
    <dataValidation type="custom" allowBlank="1" showInputMessage="1" showErrorMessage="1" sqref="AK6" xr:uid="{00000000-0002-0000-0100-000000000000}">
      <formula1>EXACT(AK6,LOWER(AK10))</formula1>
    </dataValidation>
    <dataValidation type="custom" allowBlank="1" showInputMessage="1" showErrorMessage="1" sqref="AI74" xr:uid="{00000000-0002-0000-0100-000001000000}">
      <formula1>OR(AND(AI74&gt;=0,AI74&lt;=100),AI74="ab")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8:D10 F8:F10 H8:H10 J8:J10 L8:L10 N8:N10 P8:P10 S8:S10 V8:V10" xr:uid="{00000000-0002-0000-0100-000002000000}">
      <formula1>OR(AND(D8:D62&gt;=0,D8:D62&lt;=100),D8:D62="ab")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11:D23 F11:F23 H11:H23 J11:J23 L11:L23 N11:N23 P11:P23 S11:S23 V11:V23" xr:uid="{00000000-0002-0000-0100-000003000000}">
      <formula1>OR(AND(D11:D66&gt;=0,D11:D66&lt;=100),D11:D66="ab")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24:D53 F24:F53 H24:H53 J24:J53 L24:L53 N24:N53 P24:P53 S24:S53 V24:V53" xr:uid="{00000000-0002-0000-0100-000004000000}">
      <formula1>OR(AND(D24:D83&gt;=0,D24:D83&lt;=100),D24:D83="ab")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54:D62 F54:F62 H54:H62 J54:J62 L54:L62 N54:N62 P54:P62 S54:S62 V54:V62" xr:uid="{00000000-0002-0000-0100-000005000000}">
      <formula1>OR(AND(D54:D114&gt;=0,D54:D114&lt;=100),D54:D114="ab")</formula1>
    </dataValidation>
    <dataValidation type="list" allowBlank="1" showInputMessage="1" showErrorMessage="1" sqref="R8:R62" xr:uid="{00000000-0002-0000-0100-000006000000}">
      <formula1>$B$81:$B$88</formula1>
    </dataValidation>
    <dataValidation type="list" allowBlank="1" showInputMessage="1" showErrorMessage="1" sqref="U8:U62" xr:uid="{00000000-0002-0000-0100-000007000000}">
      <formula1>$D$81:$D$88</formula1>
    </dataValidation>
    <dataValidation type="list" allowBlank="1" showInputMessage="1" showErrorMessage="1" sqref="X8:X62" xr:uid="{00000000-0002-0000-0100-000008000000}">
      <formula1>$N$81:$N$88</formula1>
    </dataValidation>
  </dataValidations>
  <pageMargins left="0.196850393700787" right="0.196850393700787" top="0.23622047244094499" bottom="0" header="0.31496062992126" footer="0.31496062992126"/>
  <pageSetup paperSize="8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89"/>
  <sheetViews>
    <sheetView topLeftCell="A61" workbookViewId="0">
      <selection activeCell="A61" sqref="A1:XFD1048576"/>
    </sheetView>
  </sheetViews>
  <sheetFormatPr defaultColWidth="9.109375" defaultRowHeight="13.8"/>
  <cols>
    <col min="1" max="1" width="3.33203125" style="168" customWidth="1"/>
    <col min="2" max="2" width="5.88671875" style="168" customWidth="1"/>
    <col min="3" max="3" width="25.33203125" style="168" customWidth="1"/>
    <col min="4" max="4" width="3.6640625" style="168" customWidth="1"/>
    <col min="5" max="5" width="3" style="168" customWidth="1"/>
    <col min="6" max="6" width="3.6640625" style="168" customWidth="1"/>
    <col min="7" max="7" width="3" style="168" customWidth="1"/>
    <col min="8" max="8" width="3.6640625" style="168" customWidth="1"/>
    <col min="9" max="9" width="3" style="168" customWidth="1"/>
    <col min="10" max="10" width="3.6640625" style="168" customWidth="1"/>
    <col min="11" max="11" width="3" style="168" customWidth="1"/>
    <col min="12" max="12" width="3.6640625" style="168" customWidth="1"/>
    <col min="13" max="13" width="3" style="168" customWidth="1"/>
    <col min="14" max="14" width="3.6640625" style="168" customWidth="1"/>
    <col min="15" max="15" width="3" style="168" customWidth="1"/>
    <col min="16" max="16" width="3.6640625" style="168" customWidth="1"/>
    <col min="17" max="17" width="3" style="168" customWidth="1"/>
    <col min="18" max="18" width="3.33203125" style="168" customWidth="1"/>
    <col min="19" max="19" width="3.6640625" style="168" customWidth="1"/>
    <col min="20" max="20" width="3" style="168" customWidth="1"/>
    <col min="21" max="21" width="3.33203125" style="168" customWidth="1"/>
    <col min="22" max="22" width="3.6640625" style="168" customWidth="1"/>
    <col min="23" max="23" width="3" style="168" customWidth="1"/>
    <col min="24" max="24" width="3.33203125" style="168" customWidth="1"/>
    <col min="25" max="29" width="3.5546875" style="169" customWidth="1"/>
    <col min="30" max="30" width="3" style="170" customWidth="1"/>
    <col min="31" max="31" width="3.5546875" style="170" customWidth="1"/>
    <col min="32" max="32" width="4.88671875" style="171" customWidth="1"/>
    <col min="33" max="33" width="5.88671875" style="171" customWidth="1"/>
    <col min="34" max="34" width="3.88671875" style="169" customWidth="1"/>
    <col min="35" max="16384" width="9.109375" style="168"/>
  </cols>
  <sheetData>
    <row r="2" spans="1:34" ht="7.5" customHeight="1"/>
    <row r="3" spans="1:34" ht="19.5" customHeight="1">
      <c r="A3" s="308" t="s">
        <v>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</row>
    <row r="4" spans="1:34" s="166" customFormat="1" ht="15.75" customHeight="1">
      <c r="A4" s="310" t="s">
        <v>1</v>
      </c>
      <c r="B4" s="310"/>
      <c r="C4" s="310"/>
      <c r="D4" s="311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3" t="s">
        <v>2</v>
      </c>
      <c r="T4" s="314"/>
      <c r="U4" s="314"/>
      <c r="V4" s="315"/>
      <c r="W4" s="316"/>
      <c r="X4" s="317"/>
      <c r="Y4" s="317"/>
      <c r="Z4" s="317"/>
      <c r="AA4" s="317"/>
      <c r="AB4" s="318"/>
      <c r="AC4" s="319" t="s">
        <v>3</v>
      </c>
      <c r="AD4" s="320"/>
      <c r="AE4" s="321"/>
      <c r="AF4" s="321"/>
      <c r="AG4" s="316"/>
      <c r="AH4" s="318"/>
    </row>
    <row r="5" spans="1:34" s="166" customFormat="1" ht="15.75" customHeight="1">
      <c r="A5" s="310" t="s">
        <v>4</v>
      </c>
      <c r="B5" s="310"/>
      <c r="C5" s="310"/>
      <c r="D5" s="322"/>
      <c r="E5" s="322"/>
      <c r="F5" s="322"/>
      <c r="G5" s="322"/>
      <c r="H5" s="322"/>
      <c r="I5" s="322"/>
      <c r="J5" s="323" t="s">
        <v>5</v>
      </c>
      <c r="K5" s="323"/>
      <c r="L5" s="323"/>
      <c r="M5" s="323"/>
      <c r="N5" s="311"/>
      <c r="O5" s="312"/>
      <c r="P5" s="312"/>
      <c r="Q5" s="312"/>
      <c r="R5" s="312"/>
      <c r="S5" s="324" t="s">
        <v>6</v>
      </c>
      <c r="T5" s="325"/>
      <c r="U5" s="325"/>
      <c r="V5" s="326"/>
      <c r="W5" s="327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9"/>
    </row>
    <row r="6" spans="1:34" ht="76.5" customHeight="1">
      <c r="A6" s="402"/>
      <c r="B6" s="404" t="s">
        <v>7</v>
      </c>
      <c r="C6" s="172" t="s">
        <v>8</v>
      </c>
      <c r="D6" s="330" t="s">
        <v>9</v>
      </c>
      <c r="E6" s="331"/>
      <c r="F6" s="330" t="s">
        <v>10</v>
      </c>
      <c r="G6" s="331"/>
      <c r="H6" s="332" t="s">
        <v>11</v>
      </c>
      <c r="I6" s="333"/>
      <c r="J6" s="330" t="s">
        <v>12</v>
      </c>
      <c r="K6" s="331"/>
      <c r="L6" s="330" t="s">
        <v>13</v>
      </c>
      <c r="M6" s="331"/>
      <c r="N6" s="330" t="s">
        <v>14</v>
      </c>
      <c r="O6" s="334"/>
      <c r="P6" s="335" t="s">
        <v>15</v>
      </c>
      <c r="Q6" s="336"/>
      <c r="R6" s="337"/>
      <c r="S6" s="332" t="s">
        <v>16</v>
      </c>
      <c r="T6" s="338"/>
      <c r="U6" s="333"/>
      <c r="V6" s="332" t="s">
        <v>17</v>
      </c>
      <c r="W6" s="338"/>
      <c r="X6" s="333"/>
      <c r="Y6" s="339" t="s">
        <v>18</v>
      </c>
      <c r="Z6" s="340"/>
      <c r="AA6" s="340"/>
      <c r="AB6" s="340"/>
      <c r="AC6" s="341"/>
      <c r="AD6" s="406" t="s">
        <v>19</v>
      </c>
      <c r="AE6" s="408" t="s">
        <v>20</v>
      </c>
      <c r="AF6" s="332" t="s">
        <v>21</v>
      </c>
      <c r="AG6" s="338" t="s">
        <v>22</v>
      </c>
      <c r="AH6" s="333" t="s">
        <v>23</v>
      </c>
    </row>
    <row r="7" spans="1:34" ht="18" customHeight="1">
      <c r="A7" s="403"/>
      <c r="B7" s="405"/>
      <c r="C7" s="173" t="s">
        <v>24</v>
      </c>
      <c r="D7" s="174" t="s">
        <v>25</v>
      </c>
      <c r="E7" s="175" t="s">
        <v>26</v>
      </c>
      <c r="F7" s="174" t="s">
        <v>25</v>
      </c>
      <c r="G7" s="175" t="s">
        <v>26</v>
      </c>
      <c r="H7" s="174" t="s">
        <v>25</v>
      </c>
      <c r="I7" s="175" t="s">
        <v>26</v>
      </c>
      <c r="J7" s="174" t="s">
        <v>25</v>
      </c>
      <c r="K7" s="175" t="s">
        <v>26</v>
      </c>
      <c r="L7" s="174" t="s">
        <v>25</v>
      </c>
      <c r="M7" s="175" t="s">
        <v>26</v>
      </c>
      <c r="N7" s="174" t="s">
        <v>25</v>
      </c>
      <c r="O7" s="183" t="s">
        <v>26</v>
      </c>
      <c r="P7" s="174" t="s">
        <v>25</v>
      </c>
      <c r="Q7" s="186" t="s">
        <v>26</v>
      </c>
      <c r="R7" s="187" t="s">
        <v>27</v>
      </c>
      <c r="S7" s="174" t="s">
        <v>25</v>
      </c>
      <c r="T7" s="186" t="s">
        <v>26</v>
      </c>
      <c r="U7" s="188" t="s">
        <v>27</v>
      </c>
      <c r="V7" s="174" t="s">
        <v>25</v>
      </c>
      <c r="W7" s="186" t="s">
        <v>26</v>
      </c>
      <c r="X7" s="188" t="s">
        <v>27</v>
      </c>
      <c r="Y7" s="202" t="s">
        <v>28</v>
      </c>
      <c r="Z7" s="203" t="s">
        <v>29</v>
      </c>
      <c r="AA7" s="203" t="s">
        <v>30</v>
      </c>
      <c r="AB7" s="203" t="s">
        <v>31</v>
      </c>
      <c r="AC7" s="204" t="s">
        <v>32</v>
      </c>
      <c r="AD7" s="407"/>
      <c r="AE7" s="409"/>
      <c r="AF7" s="410"/>
      <c r="AG7" s="411"/>
      <c r="AH7" s="412"/>
    </row>
    <row r="8" spans="1:34" s="167" customFormat="1" ht="12.75" customHeight="1">
      <c r="A8" s="176">
        <v>1</v>
      </c>
      <c r="B8" s="177"/>
      <c r="C8" s="178"/>
      <c r="D8" s="179"/>
      <c r="E8" s="180" t="str">
        <f>IF(D8="","",IF(D8="ab","ab",IF(D8&gt;=75,"A",(IF(D8&gt;=65,"B",IF(D8&gt;=50,"C",IF(D8&gt;=40,"S","W")))))))</f>
        <v/>
      </c>
      <c r="F8" s="179"/>
      <c r="G8" s="180" t="str">
        <f>IF(F8="","",IF(F8="ab","ab",IF(F8&gt;=75,"A",(IF(F8&gt;=65,"B",IF(F8&gt;=50,"C",IF(F8&gt;=40,"S","W")))))))</f>
        <v/>
      </c>
      <c r="H8" s="179"/>
      <c r="I8" s="180" t="str">
        <f>IF(H8="","",IF(H8="ab","ab",IF(H8&gt;=75,"A",(IF(H8&gt;=65,"B",IF(H8&gt;=50,"C",IF(H8&gt;=40,"S","W")))))))</f>
        <v/>
      </c>
      <c r="J8" s="179"/>
      <c r="K8" s="180" t="str">
        <f>IF(J8="","",IF(J8="ab","ab",IF(J8&gt;=75,"A",(IF(J8&gt;=65,"B",IF(J8&gt;=50,"C",IF(J8&gt;=40,"S","W")))))))</f>
        <v/>
      </c>
      <c r="L8" s="179"/>
      <c r="M8" s="180" t="str">
        <f>IF(L8="","",IF(L8="ab","ab",IF(L8&gt;=75,"A",(IF(L8&gt;=65,"B",IF(L8&gt;=50,"C",IF(L8&gt;=40,"S","W")))))))</f>
        <v/>
      </c>
      <c r="N8" s="179"/>
      <c r="O8" s="184" t="str">
        <f>IF(N8="","",IF(N8="ab","ab",IF(N8&gt;=75,"A",(IF(N8&gt;=65,"B",IF(N8&gt;=50,"C",IF(N8&gt;=40,"S","W")))))))</f>
        <v/>
      </c>
      <c r="P8" s="179"/>
      <c r="Q8" s="189" t="str">
        <f t="shared" ref="Q8:Q62" si="0">IF(P8="","",IF(P8="ab","ab",IF(P8&gt;=75,"A",(IF(P8&gt;=65,"B",IF(P8&gt;=50,"C",IF(P8&gt;=40,"S","W")))))))</f>
        <v/>
      </c>
      <c r="R8" s="190"/>
      <c r="S8" s="179"/>
      <c r="T8" s="189" t="str">
        <f>IF(S8="","",IF(S8="ab","ab",IF(S8&gt;=75,"A",(IF(S8&gt;=65,"B",IF(S8&gt;=50,"C",IF(S8&gt;=40,"S","W")))))))</f>
        <v/>
      </c>
      <c r="U8" s="190"/>
      <c r="V8" s="179"/>
      <c r="W8" s="189" t="str">
        <f>IF(V8="","",IF(V8="ab","ab",IF(V8&gt;=75,"A",(IF(V8&gt;=65,"B",IF(V8&gt;=50,"C",IF(V8&gt;=40,"S","W")))))))</f>
        <v/>
      </c>
      <c r="X8" s="191"/>
      <c r="Y8" s="205" t="str">
        <f t="shared" ref="Y8:Y62" si="1">IF(AND($D8="ab",$F8="ab",$H8="ab",$J8="ab",$L8="ab",$N8="ab",$P8="ab",$S8="ab",$V8="ab"),"-",IF(COUNT($D8:$W8)=0,"",(COUNTIF($D8:$W8,"A"))))</f>
        <v/>
      </c>
      <c r="Z8" s="206" t="str">
        <f t="shared" ref="Z8:Z62" si="2">IF(AND($D8="ab",$F8="ab",$H8="ab",$J8="ab",$L8="ab",$N8="ab",$P8="ab",$S8="ab",$V8="ab"),"-",IF(COUNT($D8:$W8)=0,"",(COUNTIF($D8:$W8,"B"))))</f>
        <v/>
      </c>
      <c r="AA8" s="206" t="str">
        <f t="shared" ref="AA8:AA62" si="3">IF(AND($D8="ab",$F8="ab",$H8="ab",$J8="ab",$L8="ab",$N8="ab",$P8="ab",$S8="ab",$V8="ab"),"-",IF(COUNT($D8:$W8)=0,"",(COUNTIF($D8:$W8,"C"))))</f>
        <v/>
      </c>
      <c r="AB8" s="206" t="str">
        <f t="shared" ref="AB8:AB62" si="4">IF(AND($D8="ab",$F8="ab",$H8="ab",$J8="ab",$L8="ab",$N8="ab",$P8="ab",$S8="ab",$V8="ab"),"-",IF(COUNT($D8:$W8)=0,"",(COUNTIF($D8:$W8,"S"))))</f>
        <v/>
      </c>
      <c r="AC8" s="207" t="str">
        <f t="shared" ref="AC8:AC62" si="5">IF(AND($D8="ab",$F8="ab",$H8="ab",$J8="ab",$L8="ab",$N8="ab",$P8="ab",$S8="ab",$V8="ab"),"-",IF(COUNT($D8:$W8)=0,"",(COUNTIF($D8:$W8,"W"))))</f>
        <v/>
      </c>
      <c r="AD8" s="208" t="str">
        <f t="shared" ref="AD8:AD62" si="6">IF(AND(D8="ab",F8="ab",H8="ab",J8="ab",L8="ab",N8="ab",P8="ab",S8="ab",V8="ab"),"ab",IF(AND(Y8="",Z8="",AA8="",AB8="",AC8=""),"",IF(AND((D8&gt;=40),(H8&gt;=40),(Y8+Z8+AA8+AB8)&gt;=6,(Y8+Z8+AA8)&gt;=3),"P","F")))</f>
        <v/>
      </c>
      <c r="AE8" s="209" t="str">
        <f>IF(AD8="","",IF(AD8="P","P",IF(AND(AD8="F",H8&gt;=40,D8&gt;=40,(Y8+Z8+AA8+AB8)&gt;=6,(Y8+Z8+AA8)=2),"Q1",IF(AND(AD8="F",(OR(H8&gt;=40,D8&gt;=40)),(Y8+Z8+AA8+AB8)&gt;=5,(Y8+Z8+AA8)&gt;=3),"Q2",IF((COUNTIF(D8:X8,"&gt;=40"))&gt;=5,"R1",IF((COUNTIF(D8:X8,"&gt;=20"))&gt;=5,"R2","F"))))))</f>
        <v/>
      </c>
      <c r="AF8" s="210" t="str">
        <f t="shared" ref="AF8:AF62" si="7">IF(AND(D8="",F8="",H8="",J8="",L8="",N8="",P8="",S8="",V8=""),"",IF(AND(D8="ab",F8="ab",H8="ab",J8="ab",L8="ab",N8="ab",P8="ab",S8="ab",V8="ab"),"ab",IF(COUNT(D8:W8)=0,"",(SUM(D8:V8)))))</f>
        <v/>
      </c>
      <c r="AG8" s="219" t="str">
        <f t="shared" ref="AG8:AG62" si="8">IF(AF8="","",IF(AF8="ab","ab",IF(AF8=0,0,(AVERAGE(D8:V8)))))</f>
        <v/>
      </c>
      <c r="AH8" s="207" t="str">
        <f t="shared" ref="AH8:AH62" si="9">IF(AF8="","",IF(AF8="ab","ab",(RANK(AF8,$AF$8:$AF$62))))</f>
        <v/>
      </c>
    </row>
    <row r="9" spans="1:34" s="167" customFormat="1" ht="12.75" customHeight="1">
      <c r="A9" s="181">
        <v>2</v>
      </c>
      <c r="B9" s="177"/>
      <c r="C9" s="182"/>
      <c r="D9" s="179"/>
      <c r="E9" s="180" t="str">
        <f t="shared" ref="E9:E62" si="10">IF(D9="","",IF(D9="ab","ab",IF(D9&gt;=75,"A",(IF(D9&gt;=65,"B",IF(D9&gt;=50,"C",IF(D9&gt;=40,"S","W")))))))</f>
        <v/>
      </c>
      <c r="F9" s="179"/>
      <c r="G9" s="180" t="str">
        <f t="shared" ref="G9:G62" si="11">IF(F9="","",IF(F9="ab","ab",IF(F9&gt;=75,"A",(IF(F9&gt;=65,"B",IF(F9&gt;=50,"C",IF(F9&gt;=40,"S","W")))))))</f>
        <v/>
      </c>
      <c r="H9" s="179"/>
      <c r="I9" s="180" t="str">
        <f t="shared" ref="I9:I62" si="12">IF(H9="","",IF(H9="ab","ab",IF(H9&gt;=75,"A",(IF(H9&gt;=65,"B",IF(H9&gt;=50,"C",IF(H9&gt;=40,"S","W")))))))</f>
        <v/>
      </c>
      <c r="J9" s="179"/>
      <c r="K9" s="180" t="str">
        <f t="shared" ref="K9:K62" si="13">IF(J9="","",IF(J9="ab","ab",IF(J9&gt;=75,"A",(IF(J9&gt;=65,"B",IF(J9&gt;=50,"C",IF(J9&gt;=40,"S","W")))))))</f>
        <v/>
      </c>
      <c r="L9" s="179"/>
      <c r="M9" s="180" t="str">
        <f t="shared" ref="M9:M62" si="14">IF(L9="","",IF(L9="ab","ab",IF(L9&gt;=75,"A",(IF(L9&gt;=65,"B",IF(L9&gt;=50,"C",IF(L9&gt;=40,"S","W")))))))</f>
        <v/>
      </c>
      <c r="N9" s="179"/>
      <c r="O9" s="180" t="str">
        <f t="shared" ref="O9:O62" si="15">IF(N9="","",IF(N9="ab","ab",IF(N9&gt;=75,"A",(IF(N9&gt;=65,"B",IF(N9&gt;=50,"C",IF(N9&gt;=40,"S","W")))))))</f>
        <v/>
      </c>
      <c r="P9" s="179"/>
      <c r="Q9" s="192" t="str">
        <f t="shared" si="0"/>
        <v/>
      </c>
      <c r="R9" s="193"/>
      <c r="S9" s="179"/>
      <c r="T9" s="192" t="str">
        <f t="shared" ref="T9:T62" si="16">IF(S9="","",IF(S9="ab","ab",IF(S9&gt;=75,"A",(IF(S9&gt;=65,"B",IF(S9&gt;=50,"C",IF(S9&gt;=40,"S","W")))))))</f>
        <v/>
      </c>
      <c r="U9" s="193"/>
      <c r="V9" s="179"/>
      <c r="W9" s="192" t="str">
        <f t="shared" ref="W9:W62" si="17">IF(V9="","",IF(V9="ab","ab",IF(V9&gt;=75,"A",(IF(V9&gt;=65,"B",IF(V9&gt;=50,"C",IF(V9&gt;=40,"S","W")))))))</f>
        <v/>
      </c>
      <c r="X9" s="194"/>
      <c r="Y9" s="205" t="str">
        <f t="shared" si="1"/>
        <v/>
      </c>
      <c r="Z9" s="206" t="str">
        <f t="shared" si="2"/>
        <v/>
      </c>
      <c r="AA9" s="206" t="str">
        <f t="shared" si="3"/>
        <v/>
      </c>
      <c r="AB9" s="206" t="str">
        <f t="shared" si="4"/>
        <v/>
      </c>
      <c r="AC9" s="207" t="str">
        <f t="shared" si="5"/>
        <v/>
      </c>
      <c r="AD9" s="208" t="str">
        <f t="shared" si="6"/>
        <v/>
      </c>
      <c r="AE9" s="209" t="str">
        <f t="shared" ref="AE9:AE62" si="18">IF(AD9="","",IF(AD9="P","P",IF(AND(AD9="F",H9&gt;=40,D9&gt;=40,(Y9+Z9+AA9+AB9)&gt;=6,(Y9+Z9+AA9)=2),"Q1",IF(AND(AD9="F",(OR(H9&gt;=40,D9&gt;=40)),(Y9+Z9+AA9+AB9)&gt;=5,(Y9+Z9+AA9)&gt;=3),"Q2",IF((COUNTIF(D9:X9,"&gt;=40"))&gt;=5,"R1",IF((COUNTIF(D9:X9,"&gt;=20"))&gt;=5,"R2","F"))))))</f>
        <v/>
      </c>
      <c r="AF9" s="210" t="str">
        <f t="shared" si="7"/>
        <v/>
      </c>
      <c r="AG9" s="219" t="str">
        <f t="shared" si="8"/>
        <v/>
      </c>
      <c r="AH9" s="207" t="str">
        <f t="shared" si="9"/>
        <v/>
      </c>
    </row>
    <row r="10" spans="1:34" s="167" customFormat="1" ht="12.75" customHeight="1">
      <c r="A10" s="181">
        <v>3</v>
      </c>
      <c r="B10" s="177"/>
      <c r="C10" s="182"/>
      <c r="D10" s="179"/>
      <c r="E10" s="180" t="str">
        <f t="shared" si="10"/>
        <v/>
      </c>
      <c r="F10" s="179"/>
      <c r="G10" s="180" t="str">
        <f t="shared" si="11"/>
        <v/>
      </c>
      <c r="H10" s="179"/>
      <c r="I10" s="180" t="str">
        <f t="shared" si="12"/>
        <v/>
      </c>
      <c r="J10" s="179"/>
      <c r="K10" s="180" t="str">
        <f t="shared" si="13"/>
        <v/>
      </c>
      <c r="L10" s="179"/>
      <c r="M10" s="180" t="str">
        <f t="shared" si="14"/>
        <v/>
      </c>
      <c r="N10" s="179"/>
      <c r="O10" s="180" t="str">
        <f t="shared" si="15"/>
        <v/>
      </c>
      <c r="P10" s="179"/>
      <c r="Q10" s="192" t="str">
        <f t="shared" si="0"/>
        <v/>
      </c>
      <c r="R10" s="193"/>
      <c r="S10" s="179"/>
      <c r="T10" s="192" t="str">
        <f t="shared" si="16"/>
        <v/>
      </c>
      <c r="U10" s="193"/>
      <c r="V10" s="179"/>
      <c r="W10" s="192" t="str">
        <f t="shared" si="17"/>
        <v/>
      </c>
      <c r="X10" s="194"/>
      <c r="Y10" s="205" t="str">
        <f t="shared" si="1"/>
        <v/>
      </c>
      <c r="Z10" s="206" t="str">
        <f t="shared" si="2"/>
        <v/>
      </c>
      <c r="AA10" s="206" t="str">
        <f t="shared" si="3"/>
        <v/>
      </c>
      <c r="AB10" s="206" t="str">
        <f t="shared" si="4"/>
        <v/>
      </c>
      <c r="AC10" s="207" t="str">
        <f t="shared" si="5"/>
        <v/>
      </c>
      <c r="AD10" s="208" t="str">
        <f t="shared" si="6"/>
        <v/>
      </c>
      <c r="AE10" s="209" t="str">
        <f t="shared" si="18"/>
        <v/>
      </c>
      <c r="AF10" s="210" t="str">
        <f t="shared" si="7"/>
        <v/>
      </c>
      <c r="AG10" s="219" t="str">
        <f t="shared" si="8"/>
        <v/>
      </c>
      <c r="AH10" s="207" t="str">
        <f t="shared" si="9"/>
        <v/>
      </c>
    </row>
    <row r="11" spans="1:34" s="167" customFormat="1" ht="12.75" customHeight="1">
      <c r="A11" s="181">
        <v>4</v>
      </c>
      <c r="B11" s="177"/>
      <c r="C11" s="182"/>
      <c r="D11" s="179"/>
      <c r="E11" s="180" t="str">
        <f t="shared" si="10"/>
        <v/>
      </c>
      <c r="F11" s="179"/>
      <c r="G11" s="180" t="str">
        <f t="shared" si="11"/>
        <v/>
      </c>
      <c r="H11" s="179"/>
      <c r="I11" s="180" t="str">
        <f t="shared" si="12"/>
        <v/>
      </c>
      <c r="J11" s="179"/>
      <c r="K11" s="180" t="str">
        <f t="shared" si="13"/>
        <v/>
      </c>
      <c r="L11" s="179"/>
      <c r="M11" s="180" t="str">
        <f t="shared" si="14"/>
        <v/>
      </c>
      <c r="N11" s="179"/>
      <c r="O11" s="180" t="str">
        <f t="shared" si="15"/>
        <v/>
      </c>
      <c r="P11" s="179"/>
      <c r="Q11" s="192" t="str">
        <f t="shared" si="0"/>
        <v/>
      </c>
      <c r="R11" s="193"/>
      <c r="S11" s="179"/>
      <c r="T11" s="192" t="str">
        <f t="shared" si="16"/>
        <v/>
      </c>
      <c r="U11" s="193"/>
      <c r="V11" s="179"/>
      <c r="W11" s="192" t="str">
        <f t="shared" si="17"/>
        <v/>
      </c>
      <c r="X11" s="194"/>
      <c r="Y11" s="205" t="str">
        <f t="shared" si="1"/>
        <v/>
      </c>
      <c r="Z11" s="206" t="str">
        <f t="shared" si="2"/>
        <v/>
      </c>
      <c r="AA11" s="206" t="str">
        <f t="shared" si="3"/>
        <v/>
      </c>
      <c r="AB11" s="206" t="str">
        <f t="shared" si="4"/>
        <v/>
      </c>
      <c r="AC11" s="207" t="str">
        <f t="shared" si="5"/>
        <v/>
      </c>
      <c r="AD11" s="208" t="str">
        <f t="shared" si="6"/>
        <v/>
      </c>
      <c r="AE11" s="209" t="str">
        <f t="shared" si="18"/>
        <v/>
      </c>
      <c r="AF11" s="210" t="str">
        <f t="shared" si="7"/>
        <v/>
      </c>
      <c r="AG11" s="219" t="str">
        <f t="shared" si="8"/>
        <v/>
      </c>
      <c r="AH11" s="207" t="str">
        <f t="shared" si="9"/>
        <v/>
      </c>
    </row>
    <row r="12" spans="1:34" s="167" customFormat="1" ht="12.75" customHeight="1">
      <c r="A12" s="181">
        <v>5</v>
      </c>
      <c r="B12" s="177"/>
      <c r="C12" s="182"/>
      <c r="D12" s="179"/>
      <c r="E12" s="180" t="str">
        <f t="shared" si="10"/>
        <v/>
      </c>
      <c r="F12" s="179"/>
      <c r="G12" s="180" t="str">
        <f t="shared" si="11"/>
        <v/>
      </c>
      <c r="H12" s="179"/>
      <c r="I12" s="180" t="str">
        <f t="shared" si="12"/>
        <v/>
      </c>
      <c r="J12" s="179"/>
      <c r="K12" s="180" t="str">
        <f t="shared" si="13"/>
        <v/>
      </c>
      <c r="L12" s="179"/>
      <c r="M12" s="180" t="str">
        <f t="shared" si="14"/>
        <v/>
      </c>
      <c r="N12" s="179"/>
      <c r="O12" s="180" t="str">
        <f t="shared" si="15"/>
        <v/>
      </c>
      <c r="P12" s="179"/>
      <c r="Q12" s="192" t="str">
        <f t="shared" si="0"/>
        <v/>
      </c>
      <c r="R12" s="193"/>
      <c r="S12" s="179"/>
      <c r="T12" s="192" t="str">
        <f t="shared" si="16"/>
        <v/>
      </c>
      <c r="U12" s="193"/>
      <c r="V12" s="179"/>
      <c r="W12" s="192" t="str">
        <f t="shared" si="17"/>
        <v/>
      </c>
      <c r="X12" s="194"/>
      <c r="Y12" s="205" t="str">
        <f t="shared" si="1"/>
        <v/>
      </c>
      <c r="Z12" s="206" t="str">
        <f t="shared" si="2"/>
        <v/>
      </c>
      <c r="AA12" s="206" t="str">
        <f t="shared" si="3"/>
        <v/>
      </c>
      <c r="AB12" s="206" t="str">
        <f t="shared" si="4"/>
        <v/>
      </c>
      <c r="AC12" s="207" t="str">
        <f t="shared" si="5"/>
        <v/>
      </c>
      <c r="AD12" s="208" t="str">
        <f t="shared" si="6"/>
        <v/>
      </c>
      <c r="AE12" s="209" t="str">
        <f t="shared" si="18"/>
        <v/>
      </c>
      <c r="AF12" s="210" t="str">
        <f t="shared" si="7"/>
        <v/>
      </c>
      <c r="AG12" s="219" t="str">
        <f t="shared" si="8"/>
        <v/>
      </c>
      <c r="AH12" s="207" t="str">
        <f t="shared" si="9"/>
        <v/>
      </c>
    </row>
    <row r="13" spans="1:34" s="167" customFormat="1" ht="12.75" customHeight="1">
      <c r="A13" s="181">
        <v>6</v>
      </c>
      <c r="B13" s="177"/>
      <c r="C13" s="182"/>
      <c r="D13" s="179"/>
      <c r="E13" s="180" t="str">
        <f t="shared" si="10"/>
        <v/>
      </c>
      <c r="F13" s="179"/>
      <c r="G13" s="180" t="str">
        <f t="shared" si="11"/>
        <v/>
      </c>
      <c r="H13" s="179"/>
      <c r="I13" s="180" t="str">
        <f t="shared" si="12"/>
        <v/>
      </c>
      <c r="J13" s="179"/>
      <c r="K13" s="180" t="str">
        <f t="shared" si="13"/>
        <v/>
      </c>
      <c r="L13" s="179"/>
      <c r="M13" s="180" t="str">
        <f t="shared" si="14"/>
        <v/>
      </c>
      <c r="N13" s="179"/>
      <c r="O13" s="180" t="str">
        <f t="shared" si="15"/>
        <v/>
      </c>
      <c r="P13" s="179"/>
      <c r="Q13" s="192" t="str">
        <f t="shared" si="0"/>
        <v/>
      </c>
      <c r="R13" s="193"/>
      <c r="S13" s="179"/>
      <c r="T13" s="192" t="str">
        <f t="shared" si="16"/>
        <v/>
      </c>
      <c r="U13" s="193"/>
      <c r="V13" s="179"/>
      <c r="W13" s="192" t="str">
        <f t="shared" si="17"/>
        <v/>
      </c>
      <c r="X13" s="194"/>
      <c r="Y13" s="205" t="str">
        <f t="shared" si="1"/>
        <v/>
      </c>
      <c r="Z13" s="206" t="str">
        <f t="shared" si="2"/>
        <v/>
      </c>
      <c r="AA13" s="206" t="str">
        <f t="shared" si="3"/>
        <v/>
      </c>
      <c r="AB13" s="206" t="str">
        <f t="shared" si="4"/>
        <v/>
      </c>
      <c r="AC13" s="207" t="str">
        <f t="shared" si="5"/>
        <v/>
      </c>
      <c r="AD13" s="208" t="str">
        <f t="shared" si="6"/>
        <v/>
      </c>
      <c r="AE13" s="209" t="str">
        <f t="shared" si="18"/>
        <v/>
      </c>
      <c r="AF13" s="210" t="str">
        <f t="shared" si="7"/>
        <v/>
      </c>
      <c r="AG13" s="219" t="str">
        <f t="shared" si="8"/>
        <v/>
      </c>
      <c r="AH13" s="207" t="str">
        <f t="shared" si="9"/>
        <v/>
      </c>
    </row>
    <row r="14" spans="1:34" s="167" customFormat="1" ht="12.75" customHeight="1">
      <c r="A14" s="181">
        <v>7</v>
      </c>
      <c r="B14" s="177"/>
      <c r="C14" s="182"/>
      <c r="D14" s="179"/>
      <c r="E14" s="180" t="str">
        <f t="shared" si="10"/>
        <v/>
      </c>
      <c r="F14" s="179"/>
      <c r="G14" s="180" t="str">
        <f t="shared" si="11"/>
        <v/>
      </c>
      <c r="H14" s="179"/>
      <c r="I14" s="180" t="str">
        <f t="shared" si="12"/>
        <v/>
      </c>
      <c r="J14" s="179"/>
      <c r="K14" s="180" t="str">
        <f t="shared" si="13"/>
        <v/>
      </c>
      <c r="L14" s="179"/>
      <c r="M14" s="180" t="str">
        <f t="shared" si="14"/>
        <v/>
      </c>
      <c r="N14" s="179"/>
      <c r="O14" s="180" t="str">
        <f t="shared" si="15"/>
        <v/>
      </c>
      <c r="P14" s="179"/>
      <c r="Q14" s="192" t="str">
        <f t="shared" si="0"/>
        <v/>
      </c>
      <c r="R14" s="193"/>
      <c r="S14" s="179"/>
      <c r="T14" s="192" t="str">
        <f t="shared" si="16"/>
        <v/>
      </c>
      <c r="U14" s="193"/>
      <c r="V14" s="179"/>
      <c r="W14" s="192" t="str">
        <f t="shared" si="17"/>
        <v/>
      </c>
      <c r="X14" s="194"/>
      <c r="Y14" s="205" t="str">
        <f t="shared" si="1"/>
        <v/>
      </c>
      <c r="Z14" s="206" t="str">
        <f t="shared" si="2"/>
        <v/>
      </c>
      <c r="AA14" s="206" t="str">
        <f t="shared" si="3"/>
        <v/>
      </c>
      <c r="AB14" s="206" t="str">
        <f t="shared" si="4"/>
        <v/>
      </c>
      <c r="AC14" s="207" t="str">
        <f t="shared" si="5"/>
        <v/>
      </c>
      <c r="AD14" s="208" t="str">
        <f t="shared" si="6"/>
        <v/>
      </c>
      <c r="AE14" s="209" t="str">
        <f t="shared" si="18"/>
        <v/>
      </c>
      <c r="AF14" s="210" t="str">
        <f t="shared" si="7"/>
        <v/>
      </c>
      <c r="AG14" s="219" t="str">
        <f t="shared" si="8"/>
        <v/>
      </c>
      <c r="AH14" s="207" t="str">
        <f t="shared" si="9"/>
        <v/>
      </c>
    </row>
    <row r="15" spans="1:34" s="167" customFormat="1" ht="12.75" customHeight="1">
      <c r="A15" s="181">
        <v>8</v>
      </c>
      <c r="B15" s="177"/>
      <c r="C15" s="182"/>
      <c r="D15" s="179"/>
      <c r="E15" s="180" t="str">
        <f t="shared" si="10"/>
        <v/>
      </c>
      <c r="F15" s="179"/>
      <c r="G15" s="180" t="str">
        <f t="shared" si="11"/>
        <v/>
      </c>
      <c r="H15" s="179"/>
      <c r="I15" s="180" t="str">
        <f t="shared" si="12"/>
        <v/>
      </c>
      <c r="J15" s="179"/>
      <c r="K15" s="180" t="str">
        <f t="shared" si="13"/>
        <v/>
      </c>
      <c r="L15" s="179"/>
      <c r="M15" s="180" t="str">
        <f t="shared" si="14"/>
        <v/>
      </c>
      <c r="N15" s="179"/>
      <c r="O15" s="180" t="str">
        <f t="shared" si="15"/>
        <v/>
      </c>
      <c r="P15" s="179"/>
      <c r="Q15" s="192" t="str">
        <f t="shared" si="0"/>
        <v/>
      </c>
      <c r="R15" s="193"/>
      <c r="S15" s="179"/>
      <c r="T15" s="192" t="str">
        <f t="shared" si="16"/>
        <v/>
      </c>
      <c r="U15" s="193"/>
      <c r="V15" s="179"/>
      <c r="W15" s="192" t="str">
        <f t="shared" si="17"/>
        <v/>
      </c>
      <c r="X15" s="194"/>
      <c r="Y15" s="205" t="str">
        <f t="shared" si="1"/>
        <v/>
      </c>
      <c r="Z15" s="206" t="str">
        <f t="shared" si="2"/>
        <v/>
      </c>
      <c r="AA15" s="206" t="str">
        <f t="shared" si="3"/>
        <v/>
      </c>
      <c r="AB15" s="206" t="str">
        <f t="shared" si="4"/>
        <v/>
      </c>
      <c r="AC15" s="207" t="str">
        <f t="shared" si="5"/>
        <v/>
      </c>
      <c r="AD15" s="208" t="str">
        <f t="shared" si="6"/>
        <v/>
      </c>
      <c r="AE15" s="209" t="str">
        <f t="shared" si="18"/>
        <v/>
      </c>
      <c r="AF15" s="210" t="str">
        <f t="shared" si="7"/>
        <v/>
      </c>
      <c r="AG15" s="219" t="str">
        <f t="shared" si="8"/>
        <v/>
      </c>
      <c r="AH15" s="207" t="str">
        <f t="shared" si="9"/>
        <v/>
      </c>
    </row>
    <row r="16" spans="1:34" s="167" customFormat="1" ht="12.75" customHeight="1">
      <c r="A16" s="181">
        <v>9</v>
      </c>
      <c r="B16" s="177"/>
      <c r="C16" s="182"/>
      <c r="D16" s="179"/>
      <c r="E16" s="180" t="str">
        <f t="shared" si="10"/>
        <v/>
      </c>
      <c r="F16" s="179"/>
      <c r="G16" s="180" t="str">
        <f t="shared" si="11"/>
        <v/>
      </c>
      <c r="H16" s="179"/>
      <c r="I16" s="180" t="str">
        <f t="shared" si="12"/>
        <v/>
      </c>
      <c r="J16" s="179"/>
      <c r="K16" s="180" t="str">
        <f t="shared" si="13"/>
        <v/>
      </c>
      <c r="L16" s="179"/>
      <c r="M16" s="180" t="str">
        <f t="shared" si="14"/>
        <v/>
      </c>
      <c r="N16" s="179"/>
      <c r="O16" s="180" t="str">
        <f t="shared" si="15"/>
        <v/>
      </c>
      <c r="P16" s="179"/>
      <c r="Q16" s="192" t="str">
        <f t="shared" si="0"/>
        <v/>
      </c>
      <c r="R16" s="193"/>
      <c r="S16" s="179"/>
      <c r="T16" s="192" t="str">
        <f t="shared" si="16"/>
        <v/>
      </c>
      <c r="U16" s="193"/>
      <c r="V16" s="179"/>
      <c r="W16" s="192" t="str">
        <f t="shared" si="17"/>
        <v/>
      </c>
      <c r="X16" s="194"/>
      <c r="Y16" s="205" t="str">
        <f t="shared" si="1"/>
        <v/>
      </c>
      <c r="Z16" s="206" t="str">
        <f t="shared" si="2"/>
        <v/>
      </c>
      <c r="AA16" s="206" t="str">
        <f t="shared" si="3"/>
        <v/>
      </c>
      <c r="AB16" s="206" t="str">
        <f t="shared" si="4"/>
        <v/>
      </c>
      <c r="AC16" s="207" t="str">
        <f t="shared" si="5"/>
        <v/>
      </c>
      <c r="AD16" s="208" t="str">
        <f t="shared" si="6"/>
        <v/>
      </c>
      <c r="AE16" s="209" t="str">
        <f t="shared" si="18"/>
        <v/>
      </c>
      <c r="AF16" s="210" t="str">
        <f t="shared" si="7"/>
        <v/>
      </c>
      <c r="AG16" s="219" t="str">
        <f t="shared" si="8"/>
        <v/>
      </c>
      <c r="AH16" s="207" t="str">
        <f t="shared" si="9"/>
        <v/>
      </c>
    </row>
    <row r="17" spans="1:34" s="167" customFormat="1" ht="12.75" customHeight="1">
      <c r="A17" s="181">
        <v>10</v>
      </c>
      <c r="B17" s="177"/>
      <c r="C17" s="182"/>
      <c r="D17" s="179"/>
      <c r="E17" s="180" t="str">
        <f t="shared" si="10"/>
        <v/>
      </c>
      <c r="F17" s="179"/>
      <c r="G17" s="180" t="str">
        <f t="shared" si="11"/>
        <v/>
      </c>
      <c r="H17" s="179"/>
      <c r="I17" s="180" t="str">
        <f t="shared" si="12"/>
        <v/>
      </c>
      <c r="J17" s="179"/>
      <c r="K17" s="180" t="str">
        <f t="shared" si="13"/>
        <v/>
      </c>
      <c r="L17" s="179"/>
      <c r="M17" s="180" t="str">
        <f t="shared" si="14"/>
        <v/>
      </c>
      <c r="N17" s="179"/>
      <c r="O17" s="180" t="str">
        <f t="shared" si="15"/>
        <v/>
      </c>
      <c r="P17" s="179"/>
      <c r="Q17" s="192" t="str">
        <f t="shared" si="0"/>
        <v/>
      </c>
      <c r="R17" s="193"/>
      <c r="S17" s="179"/>
      <c r="T17" s="192" t="str">
        <f t="shared" si="16"/>
        <v/>
      </c>
      <c r="U17" s="193"/>
      <c r="V17" s="179"/>
      <c r="W17" s="192" t="str">
        <f t="shared" si="17"/>
        <v/>
      </c>
      <c r="X17" s="194"/>
      <c r="Y17" s="205" t="str">
        <f t="shared" si="1"/>
        <v/>
      </c>
      <c r="Z17" s="206" t="str">
        <f t="shared" si="2"/>
        <v/>
      </c>
      <c r="AA17" s="206" t="str">
        <f t="shared" si="3"/>
        <v/>
      </c>
      <c r="AB17" s="206" t="str">
        <f t="shared" si="4"/>
        <v/>
      </c>
      <c r="AC17" s="207" t="str">
        <f t="shared" si="5"/>
        <v/>
      </c>
      <c r="AD17" s="208" t="str">
        <f t="shared" si="6"/>
        <v/>
      </c>
      <c r="AE17" s="209" t="str">
        <f t="shared" si="18"/>
        <v/>
      </c>
      <c r="AF17" s="210" t="str">
        <f t="shared" si="7"/>
        <v/>
      </c>
      <c r="AG17" s="219" t="str">
        <f t="shared" si="8"/>
        <v/>
      </c>
      <c r="AH17" s="207" t="str">
        <f t="shared" si="9"/>
        <v/>
      </c>
    </row>
    <row r="18" spans="1:34" s="167" customFormat="1" ht="12.75" customHeight="1">
      <c r="A18" s="181">
        <v>11</v>
      </c>
      <c r="B18" s="177"/>
      <c r="C18" s="182"/>
      <c r="D18" s="179"/>
      <c r="E18" s="180" t="str">
        <f t="shared" si="10"/>
        <v/>
      </c>
      <c r="F18" s="179"/>
      <c r="G18" s="180" t="str">
        <f t="shared" si="11"/>
        <v/>
      </c>
      <c r="H18" s="179"/>
      <c r="I18" s="180" t="str">
        <f t="shared" si="12"/>
        <v/>
      </c>
      <c r="J18" s="179"/>
      <c r="K18" s="180" t="str">
        <f t="shared" si="13"/>
        <v/>
      </c>
      <c r="L18" s="179"/>
      <c r="M18" s="180" t="str">
        <f t="shared" si="14"/>
        <v/>
      </c>
      <c r="N18" s="179"/>
      <c r="O18" s="180" t="str">
        <f t="shared" si="15"/>
        <v/>
      </c>
      <c r="P18" s="179"/>
      <c r="Q18" s="192" t="str">
        <f t="shared" si="0"/>
        <v/>
      </c>
      <c r="R18" s="193"/>
      <c r="S18" s="179"/>
      <c r="T18" s="192" t="str">
        <f t="shared" si="16"/>
        <v/>
      </c>
      <c r="U18" s="193"/>
      <c r="V18" s="179"/>
      <c r="W18" s="192" t="str">
        <f t="shared" si="17"/>
        <v/>
      </c>
      <c r="X18" s="194"/>
      <c r="Y18" s="205" t="str">
        <f t="shared" si="1"/>
        <v/>
      </c>
      <c r="Z18" s="206" t="str">
        <f t="shared" si="2"/>
        <v/>
      </c>
      <c r="AA18" s="206" t="str">
        <f t="shared" si="3"/>
        <v/>
      </c>
      <c r="AB18" s="206" t="str">
        <f t="shared" si="4"/>
        <v/>
      </c>
      <c r="AC18" s="207" t="str">
        <f t="shared" si="5"/>
        <v/>
      </c>
      <c r="AD18" s="208" t="str">
        <f t="shared" si="6"/>
        <v/>
      </c>
      <c r="AE18" s="209" t="str">
        <f t="shared" si="18"/>
        <v/>
      </c>
      <c r="AF18" s="210" t="str">
        <f t="shared" si="7"/>
        <v/>
      </c>
      <c r="AG18" s="219" t="str">
        <f t="shared" si="8"/>
        <v/>
      </c>
      <c r="AH18" s="207" t="str">
        <f t="shared" si="9"/>
        <v/>
      </c>
    </row>
    <row r="19" spans="1:34" s="167" customFormat="1" ht="12.75" customHeight="1">
      <c r="A19" s="181">
        <v>12</v>
      </c>
      <c r="B19" s="177"/>
      <c r="C19" s="182"/>
      <c r="D19" s="179"/>
      <c r="E19" s="180" t="str">
        <f t="shared" si="10"/>
        <v/>
      </c>
      <c r="F19" s="179"/>
      <c r="G19" s="180" t="str">
        <f t="shared" si="11"/>
        <v/>
      </c>
      <c r="H19" s="179"/>
      <c r="I19" s="180" t="str">
        <f t="shared" si="12"/>
        <v/>
      </c>
      <c r="J19" s="179"/>
      <c r="K19" s="180" t="str">
        <f t="shared" si="13"/>
        <v/>
      </c>
      <c r="L19" s="179"/>
      <c r="M19" s="180" t="str">
        <f t="shared" si="14"/>
        <v/>
      </c>
      <c r="N19" s="179"/>
      <c r="O19" s="180" t="str">
        <f t="shared" si="15"/>
        <v/>
      </c>
      <c r="P19" s="179"/>
      <c r="Q19" s="192" t="str">
        <f t="shared" si="0"/>
        <v/>
      </c>
      <c r="R19" s="193"/>
      <c r="S19" s="179"/>
      <c r="T19" s="192" t="str">
        <f t="shared" si="16"/>
        <v/>
      </c>
      <c r="U19" s="193"/>
      <c r="V19" s="179"/>
      <c r="W19" s="192" t="str">
        <f t="shared" si="17"/>
        <v/>
      </c>
      <c r="X19" s="194"/>
      <c r="Y19" s="205" t="str">
        <f t="shared" si="1"/>
        <v/>
      </c>
      <c r="Z19" s="206" t="str">
        <f t="shared" si="2"/>
        <v/>
      </c>
      <c r="AA19" s="206" t="str">
        <f t="shared" si="3"/>
        <v/>
      </c>
      <c r="AB19" s="206" t="str">
        <f t="shared" si="4"/>
        <v/>
      </c>
      <c r="AC19" s="207" t="str">
        <f t="shared" si="5"/>
        <v/>
      </c>
      <c r="AD19" s="208" t="str">
        <f t="shared" si="6"/>
        <v/>
      </c>
      <c r="AE19" s="209" t="str">
        <f t="shared" si="18"/>
        <v/>
      </c>
      <c r="AF19" s="210" t="str">
        <f t="shared" si="7"/>
        <v/>
      </c>
      <c r="AG19" s="219" t="str">
        <f t="shared" si="8"/>
        <v/>
      </c>
      <c r="AH19" s="207" t="str">
        <f t="shared" si="9"/>
        <v/>
      </c>
    </row>
    <row r="20" spans="1:34" s="167" customFormat="1" ht="12.75" customHeight="1">
      <c r="A20" s="181">
        <v>13</v>
      </c>
      <c r="B20" s="177"/>
      <c r="C20" s="182"/>
      <c r="D20" s="179"/>
      <c r="E20" s="180" t="str">
        <f t="shared" si="10"/>
        <v/>
      </c>
      <c r="F20" s="179"/>
      <c r="G20" s="180" t="str">
        <f t="shared" si="11"/>
        <v/>
      </c>
      <c r="H20" s="179"/>
      <c r="I20" s="180" t="str">
        <f t="shared" si="12"/>
        <v/>
      </c>
      <c r="J20" s="179"/>
      <c r="K20" s="180" t="str">
        <f t="shared" si="13"/>
        <v/>
      </c>
      <c r="L20" s="179"/>
      <c r="M20" s="180" t="str">
        <f t="shared" si="14"/>
        <v/>
      </c>
      <c r="N20" s="179"/>
      <c r="O20" s="180" t="str">
        <f t="shared" si="15"/>
        <v/>
      </c>
      <c r="P20" s="179"/>
      <c r="Q20" s="192" t="str">
        <f t="shared" si="0"/>
        <v/>
      </c>
      <c r="R20" s="193"/>
      <c r="S20" s="179"/>
      <c r="T20" s="192" t="str">
        <f t="shared" si="16"/>
        <v/>
      </c>
      <c r="U20" s="193"/>
      <c r="V20" s="179"/>
      <c r="W20" s="192" t="str">
        <f t="shared" si="17"/>
        <v/>
      </c>
      <c r="X20" s="194"/>
      <c r="Y20" s="205" t="str">
        <f t="shared" si="1"/>
        <v/>
      </c>
      <c r="Z20" s="206" t="str">
        <f t="shared" si="2"/>
        <v/>
      </c>
      <c r="AA20" s="206" t="str">
        <f t="shared" si="3"/>
        <v/>
      </c>
      <c r="AB20" s="206" t="str">
        <f t="shared" si="4"/>
        <v/>
      </c>
      <c r="AC20" s="207" t="str">
        <f t="shared" si="5"/>
        <v/>
      </c>
      <c r="AD20" s="208" t="str">
        <f t="shared" si="6"/>
        <v/>
      </c>
      <c r="AE20" s="209" t="str">
        <f t="shared" si="18"/>
        <v/>
      </c>
      <c r="AF20" s="210" t="str">
        <f t="shared" si="7"/>
        <v/>
      </c>
      <c r="AG20" s="219" t="str">
        <f t="shared" si="8"/>
        <v/>
      </c>
      <c r="AH20" s="207" t="str">
        <f t="shared" si="9"/>
        <v/>
      </c>
    </row>
    <row r="21" spans="1:34" s="167" customFormat="1" ht="12.75" customHeight="1">
      <c r="A21" s="181">
        <v>14</v>
      </c>
      <c r="B21" s="177"/>
      <c r="C21" s="182"/>
      <c r="D21" s="179"/>
      <c r="E21" s="180" t="str">
        <f t="shared" si="10"/>
        <v/>
      </c>
      <c r="F21" s="179"/>
      <c r="G21" s="180" t="str">
        <f t="shared" si="11"/>
        <v/>
      </c>
      <c r="H21" s="179"/>
      <c r="I21" s="180" t="str">
        <f t="shared" si="12"/>
        <v/>
      </c>
      <c r="J21" s="179"/>
      <c r="K21" s="180" t="str">
        <f t="shared" si="13"/>
        <v/>
      </c>
      <c r="L21" s="179"/>
      <c r="M21" s="180" t="str">
        <f t="shared" si="14"/>
        <v/>
      </c>
      <c r="N21" s="179"/>
      <c r="O21" s="180" t="str">
        <f t="shared" si="15"/>
        <v/>
      </c>
      <c r="P21" s="179"/>
      <c r="Q21" s="192" t="str">
        <f t="shared" si="0"/>
        <v/>
      </c>
      <c r="R21" s="193"/>
      <c r="S21" s="179"/>
      <c r="T21" s="192" t="str">
        <f t="shared" si="16"/>
        <v/>
      </c>
      <c r="U21" s="193"/>
      <c r="V21" s="179"/>
      <c r="W21" s="192" t="str">
        <f t="shared" si="17"/>
        <v/>
      </c>
      <c r="X21" s="194"/>
      <c r="Y21" s="205" t="str">
        <f t="shared" si="1"/>
        <v/>
      </c>
      <c r="Z21" s="206" t="str">
        <f t="shared" si="2"/>
        <v/>
      </c>
      <c r="AA21" s="206" t="str">
        <f t="shared" si="3"/>
        <v/>
      </c>
      <c r="AB21" s="206" t="str">
        <f t="shared" si="4"/>
        <v/>
      </c>
      <c r="AC21" s="207" t="str">
        <f t="shared" si="5"/>
        <v/>
      </c>
      <c r="AD21" s="208" t="str">
        <f t="shared" si="6"/>
        <v/>
      </c>
      <c r="AE21" s="209" t="str">
        <f t="shared" si="18"/>
        <v/>
      </c>
      <c r="AF21" s="210" t="str">
        <f t="shared" si="7"/>
        <v/>
      </c>
      <c r="AG21" s="219" t="str">
        <f t="shared" si="8"/>
        <v/>
      </c>
      <c r="AH21" s="207" t="str">
        <f t="shared" si="9"/>
        <v/>
      </c>
    </row>
    <row r="22" spans="1:34" s="167" customFormat="1" ht="12.75" customHeight="1">
      <c r="A22" s="181">
        <v>15</v>
      </c>
      <c r="B22" s="177"/>
      <c r="C22" s="182"/>
      <c r="D22" s="179"/>
      <c r="E22" s="180" t="str">
        <f t="shared" si="10"/>
        <v/>
      </c>
      <c r="F22" s="179"/>
      <c r="G22" s="180" t="str">
        <f t="shared" si="11"/>
        <v/>
      </c>
      <c r="H22" s="179"/>
      <c r="I22" s="180" t="str">
        <f t="shared" si="12"/>
        <v/>
      </c>
      <c r="J22" s="179"/>
      <c r="K22" s="180" t="str">
        <f t="shared" si="13"/>
        <v/>
      </c>
      <c r="L22" s="179"/>
      <c r="M22" s="180" t="str">
        <f t="shared" si="14"/>
        <v/>
      </c>
      <c r="N22" s="179"/>
      <c r="O22" s="180" t="str">
        <f t="shared" si="15"/>
        <v/>
      </c>
      <c r="P22" s="179"/>
      <c r="Q22" s="192" t="str">
        <f t="shared" si="0"/>
        <v/>
      </c>
      <c r="R22" s="193"/>
      <c r="S22" s="179"/>
      <c r="T22" s="192" t="str">
        <f t="shared" si="16"/>
        <v/>
      </c>
      <c r="U22" s="193"/>
      <c r="V22" s="179"/>
      <c r="W22" s="192" t="str">
        <f t="shared" si="17"/>
        <v/>
      </c>
      <c r="X22" s="194"/>
      <c r="Y22" s="205" t="str">
        <f t="shared" si="1"/>
        <v/>
      </c>
      <c r="Z22" s="206" t="str">
        <f t="shared" si="2"/>
        <v/>
      </c>
      <c r="AA22" s="206" t="str">
        <f t="shared" si="3"/>
        <v/>
      </c>
      <c r="AB22" s="206" t="str">
        <f t="shared" si="4"/>
        <v/>
      </c>
      <c r="AC22" s="207" t="str">
        <f t="shared" si="5"/>
        <v/>
      </c>
      <c r="AD22" s="208" t="str">
        <f t="shared" si="6"/>
        <v/>
      </c>
      <c r="AE22" s="209" t="str">
        <f t="shared" si="18"/>
        <v/>
      </c>
      <c r="AF22" s="210" t="str">
        <f t="shared" si="7"/>
        <v/>
      </c>
      <c r="AG22" s="219" t="str">
        <f t="shared" si="8"/>
        <v/>
      </c>
      <c r="AH22" s="207" t="str">
        <f t="shared" si="9"/>
        <v/>
      </c>
    </row>
    <row r="23" spans="1:34" s="167" customFormat="1" ht="12.75" customHeight="1">
      <c r="A23" s="181">
        <v>16</v>
      </c>
      <c r="B23" s="177"/>
      <c r="C23" s="182"/>
      <c r="D23" s="179"/>
      <c r="E23" s="180" t="str">
        <f t="shared" si="10"/>
        <v/>
      </c>
      <c r="F23" s="179"/>
      <c r="G23" s="180" t="str">
        <f t="shared" si="11"/>
        <v/>
      </c>
      <c r="H23" s="179"/>
      <c r="I23" s="180" t="str">
        <f t="shared" si="12"/>
        <v/>
      </c>
      <c r="J23" s="179"/>
      <c r="K23" s="180" t="str">
        <f t="shared" si="13"/>
        <v/>
      </c>
      <c r="L23" s="179"/>
      <c r="M23" s="180" t="str">
        <f t="shared" si="14"/>
        <v/>
      </c>
      <c r="N23" s="179"/>
      <c r="O23" s="180" t="str">
        <f t="shared" si="15"/>
        <v/>
      </c>
      <c r="P23" s="179"/>
      <c r="Q23" s="192" t="str">
        <f t="shared" si="0"/>
        <v/>
      </c>
      <c r="R23" s="193"/>
      <c r="S23" s="179"/>
      <c r="T23" s="192" t="str">
        <f t="shared" si="16"/>
        <v/>
      </c>
      <c r="U23" s="193"/>
      <c r="V23" s="179"/>
      <c r="W23" s="192" t="str">
        <f t="shared" si="17"/>
        <v/>
      </c>
      <c r="X23" s="194"/>
      <c r="Y23" s="205" t="str">
        <f t="shared" si="1"/>
        <v/>
      </c>
      <c r="Z23" s="206" t="str">
        <f t="shared" si="2"/>
        <v/>
      </c>
      <c r="AA23" s="206" t="str">
        <f t="shared" si="3"/>
        <v/>
      </c>
      <c r="AB23" s="206" t="str">
        <f t="shared" si="4"/>
        <v/>
      </c>
      <c r="AC23" s="207" t="str">
        <f t="shared" si="5"/>
        <v/>
      </c>
      <c r="AD23" s="208" t="str">
        <f t="shared" si="6"/>
        <v/>
      </c>
      <c r="AE23" s="209" t="str">
        <f t="shared" si="18"/>
        <v/>
      </c>
      <c r="AF23" s="210" t="str">
        <f t="shared" si="7"/>
        <v/>
      </c>
      <c r="AG23" s="219" t="str">
        <f t="shared" si="8"/>
        <v/>
      </c>
      <c r="AH23" s="207" t="str">
        <f t="shared" si="9"/>
        <v/>
      </c>
    </row>
    <row r="24" spans="1:34" s="167" customFormat="1" ht="12.75" customHeight="1">
      <c r="A24" s="181">
        <v>17</v>
      </c>
      <c r="B24" s="177"/>
      <c r="C24" s="182"/>
      <c r="D24" s="179"/>
      <c r="E24" s="180" t="str">
        <f t="shared" si="10"/>
        <v/>
      </c>
      <c r="F24" s="179"/>
      <c r="G24" s="180" t="str">
        <f t="shared" si="11"/>
        <v/>
      </c>
      <c r="H24" s="179"/>
      <c r="I24" s="180" t="str">
        <f t="shared" si="12"/>
        <v/>
      </c>
      <c r="J24" s="179"/>
      <c r="K24" s="180" t="str">
        <f t="shared" si="13"/>
        <v/>
      </c>
      <c r="L24" s="179"/>
      <c r="M24" s="180" t="str">
        <f t="shared" si="14"/>
        <v/>
      </c>
      <c r="N24" s="179"/>
      <c r="O24" s="180" t="str">
        <f t="shared" si="15"/>
        <v/>
      </c>
      <c r="P24" s="179"/>
      <c r="Q24" s="192" t="str">
        <f t="shared" si="0"/>
        <v/>
      </c>
      <c r="R24" s="193"/>
      <c r="S24" s="179"/>
      <c r="T24" s="192" t="str">
        <f t="shared" si="16"/>
        <v/>
      </c>
      <c r="U24" s="193"/>
      <c r="V24" s="179"/>
      <c r="W24" s="192" t="str">
        <f t="shared" si="17"/>
        <v/>
      </c>
      <c r="X24" s="194"/>
      <c r="Y24" s="205" t="str">
        <f t="shared" si="1"/>
        <v/>
      </c>
      <c r="Z24" s="206" t="str">
        <f t="shared" si="2"/>
        <v/>
      </c>
      <c r="AA24" s="206" t="str">
        <f t="shared" si="3"/>
        <v/>
      </c>
      <c r="AB24" s="206" t="str">
        <f t="shared" si="4"/>
        <v/>
      </c>
      <c r="AC24" s="207" t="str">
        <f t="shared" si="5"/>
        <v/>
      </c>
      <c r="AD24" s="208" t="str">
        <f t="shared" si="6"/>
        <v/>
      </c>
      <c r="AE24" s="209" t="str">
        <f t="shared" si="18"/>
        <v/>
      </c>
      <c r="AF24" s="210" t="str">
        <f t="shared" si="7"/>
        <v/>
      </c>
      <c r="AG24" s="219" t="str">
        <f t="shared" si="8"/>
        <v/>
      </c>
      <c r="AH24" s="207" t="str">
        <f t="shared" si="9"/>
        <v/>
      </c>
    </row>
    <row r="25" spans="1:34" s="167" customFormat="1" ht="12.75" customHeight="1">
      <c r="A25" s="181">
        <v>18</v>
      </c>
      <c r="B25" s="177"/>
      <c r="C25" s="182"/>
      <c r="D25" s="179"/>
      <c r="E25" s="180" t="str">
        <f t="shared" si="10"/>
        <v/>
      </c>
      <c r="F25" s="179"/>
      <c r="G25" s="180" t="str">
        <f t="shared" si="11"/>
        <v/>
      </c>
      <c r="H25" s="179"/>
      <c r="I25" s="180" t="str">
        <f t="shared" si="12"/>
        <v/>
      </c>
      <c r="J25" s="179"/>
      <c r="K25" s="180" t="str">
        <f t="shared" si="13"/>
        <v/>
      </c>
      <c r="L25" s="179"/>
      <c r="M25" s="180" t="str">
        <f t="shared" si="14"/>
        <v/>
      </c>
      <c r="N25" s="179"/>
      <c r="O25" s="180" t="str">
        <f t="shared" si="15"/>
        <v/>
      </c>
      <c r="P25" s="179"/>
      <c r="Q25" s="192" t="str">
        <f t="shared" si="0"/>
        <v/>
      </c>
      <c r="R25" s="193"/>
      <c r="S25" s="179"/>
      <c r="T25" s="192" t="str">
        <f t="shared" si="16"/>
        <v/>
      </c>
      <c r="U25" s="193"/>
      <c r="V25" s="179"/>
      <c r="W25" s="192" t="str">
        <f t="shared" si="17"/>
        <v/>
      </c>
      <c r="X25" s="194"/>
      <c r="Y25" s="205" t="str">
        <f t="shared" si="1"/>
        <v/>
      </c>
      <c r="Z25" s="206" t="str">
        <f t="shared" si="2"/>
        <v/>
      </c>
      <c r="AA25" s="206" t="str">
        <f t="shared" si="3"/>
        <v/>
      </c>
      <c r="AB25" s="206" t="str">
        <f t="shared" si="4"/>
        <v/>
      </c>
      <c r="AC25" s="207" t="str">
        <f t="shared" si="5"/>
        <v/>
      </c>
      <c r="AD25" s="208" t="str">
        <f t="shared" si="6"/>
        <v/>
      </c>
      <c r="AE25" s="209" t="str">
        <f t="shared" si="18"/>
        <v/>
      </c>
      <c r="AF25" s="210" t="str">
        <f t="shared" si="7"/>
        <v/>
      </c>
      <c r="AG25" s="219" t="str">
        <f t="shared" si="8"/>
        <v/>
      </c>
      <c r="AH25" s="207" t="str">
        <f t="shared" si="9"/>
        <v/>
      </c>
    </row>
    <row r="26" spans="1:34" s="167" customFormat="1" ht="12.75" customHeight="1">
      <c r="A26" s="181">
        <v>19</v>
      </c>
      <c r="B26" s="177"/>
      <c r="C26" s="182"/>
      <c r="D26" s="179"/>
      <c r="E26" s="180" t="str">
        <f t="shared" si="10"/>
        <v/>
      </c>
      <c r="F26" s="179"/>
      <c r="G26" s="180" t="str">
        <f t="shared" si="11"/>
        <v/>
      </c>
      <c r="H26" s="179"/>
      <c r="I26" s="180" t="str">
        <f t="shared" si="12"/>
        <v/>
      </c>
      <c r="J26" s="179"/>
      <c r="K26" s="180" t="str">
        <f t="shared" si="13"/>
        <v/>
      </c>
      <c r="L26" s="179"/>
      <c r="M26" s="180" t="str">
        <f t="shared" si="14"/>
        <v/>
      </c>
      <c r="N26" s="179"/>
      <c r="O26" s="180" t="str">
        <f t="shared" si="15"/>
        <v/>
      </c>
      <c r="P26" s="179"/>
      <c r="Q26" s="192" t="str">
        <f t="shared" si="0"/>
        <v/>
      </c>
      <c r="R26" s="193"/>
      <c r="S26" s="179"/>
      <c r="T26" s="192" t="str">
        <f t="shared" si="16"/>
        <v/>
      </c>
      <c r="U26" s="193"/>
      <c r="V26" s="179"/>
      <c r="W26" s="192" t="str">
        <f t="shared" si="17"/>
        <v/>
      </c>
      <c r="X26" s="194"/>
      <c r="Y26" s="205" t="str">
        <f t="shared" si="1"/>
        <v/>
      </c>
      <c r="Z26" s="206" t="str">
        <f t="shared" si="2"/>
        <v/>
      </c>
      <c r="AA26" s="206" t="str">
        <f t="shared" si="3"/>
        <v/>
      </c>
      <c r="AB26" s="206" t="str">
        <f t="shared" si="4"/>
        <v/>
      </c>
      <c r="AC26" s="207" t="str">
        <f t="shared" si="5"/>
        <v/>
      </c>
      <c r="AD26" s="208" t="str">
        <f t="shared" si="6"/>
        <v/>
      </c>
      <c r="AE26" s="209" t="str">
        <f t="shared" si="18"/>
        <v/>
      </c>
      <c r="AF26" s="210" t="str">
        <f t="shared" si="7"/>
        <v/>
      </c>
      <c r="AG26" s="219" t="str">
        <f t="shared" si="8"/>
        <v/>
      </c>
      <c r="AH26" s="207" t="str">
        <f t="shared" si="9"/>
        <v/>
      </c>
    </row>
    <row r="27" spans="1:34" s="167" customFormat="1" ht="12.75" customHeight="1">
      <c r="A27" s="181">
        <v>20</v>
      </c>
      <c r="B27" s="177"/>
      <c r="C27" s="182"/>
      <c r="D27" s="179"/>
      <c r="E27" s="180" t="str">
        <f t="shared" si="10"/>
        <v/>
      </c>
      <c r="F27" s="179"/>
      <c r="G27" s="180" t="str">
        <f t="shared" si="11"/>
        <v/>
      </c>
      <c r="H27" s="179"/>
      <c r="I27" s="180" t="str">
        <f t="shared" si="12"/>
        <v/>
      </c>
      <c r="J27" s="179"/>
      <c r="K27" s="180" t="str">
        <f t="shared" si="13"/>
        <v/>
      </c>
      <c r="L27" s="179"/>
      <c r="M27" s="180" t="str">
        <f t="shared" si="14"/>
        <v/>
      </c>
      <c r="N27" s="179"/>
      <c r="O27" s="180" t="str">
        <f t="shared" si="15"/>
        <v/>
      </c>
      <c r="P27" s="179"/>
      <c r="Q27" s="192" t="str">
        <f t="shared" si="0"/>
        <v/>
      </c>
      <c r="R27" s="193"/>
      <c r="S27" s="179"/>
      <c r="T27" s="192" t="str">
        <f t="shared" si="16"/>
        <v/>
      </c>
      <c r="U27" s="193"/>
      <c r="V27" s="179"/>
      <c r="W27" s="192" t="str">
        <f t="shared" si="17"/>
        <v/>
      </c>
      <c r="X27" s="194"/>
      <c r="Y27" s="205" t="str">
        <f t="shared" si="1"/>
        <v/>
      </c>
      <c r="Z27" s="206" t="str">
        <f t="shared" si="2"/>
        <v/>
      </c>
      <c r="AA27" s="206" t="str">
        <f t="shared" si="3"/>
        <v/>
      </c>
      <c r="AB27" s="206" t="str">
        <f t="shared" si="4"/>
        <v/>
      </c>
      <c r="AC27" s="207" t="str">
        <f t="shared" si="5"/>
        <v/>
      </c>
      <c r="AD27" s="208" t="str">
        <f t="shared" si="6"/>
        <v/>
      </c>
      <c r="AE27" s="209" t="str">
        <f t="shared" si="18"/>
        <v/>
      </c>
      <c r="AF27" s="210" t="str">
        <f t="shared" si="7"/>
        <v/>
      </c>
      <c r="AG27" s="219" t="str">
        <f t="shared" si="8"/>
        <v/>
      </c>
      <c r="AH27" s="207" t="str">
        <f t="shared" si="9"/>
        <v/>
      </c>
    </row>
    <row r="28" spans="1:34" s="167" customFormat="1" ht="12.75" customHeight="1">
      <c r="A28" s="181">
        <v>21</v>
      </c>
      <c r="B28" s="177"/>
      <c r="C28" s="182"/>
      <c r="D28" s="179"/>
      <c r="E28" s="180" t="str">
        <f t="shared" si="10"/>
        <v/>
      </c>
      <c r="F28" s="179"/>
      <c r="G28" s="180" t="str">
        <f t="shared" si="11"/>
        <v/>
      </c>
      <c r="H28" s="179"/>
      <c r="I28" s="180" t="str">
        <f t="shared" si="12"/>
        <v/>
      </c>
      <c r="J28" s="179"/>
      <c r="K28" s="180" t="str">
        <f t="shared" si="13"/>
        <v/>
      </c>
      <c r="L28" s="179"/>
      <c r="M28" s="180" t="str">
        <f t="shared" si="14"/>
        <v/>
      </c>
      <c r="N28" s="179"/>
      <c r="O28" s="180" t="str">
        <f t="shared" si="15"/>
        <v/>
      </c>
      <c r="P28" s="179"/>
      <c r="Q28" s="192" t="str">
        <f t="shared" si="0"/>
        <v/>
      </c>
      <c r="R28" s="193"/>
      <c r="S28" s="179"/>
      <c r="T28" s="192" t="str">
        <f t="shared" si="16"/>
        <v/>
      </c>
      <c r="U28" s="193"/>
      <c r="V28" s="179"/>
      <c r="W28" s="192" t="str">
        <f t="shared" si="17"/>
        <v/>
      </c>
      <c r="X28" s="194"/>
      <c r="Y28" s="205" t="str">
        <f t="shared" si="1"/>
        <v/>
      </c>
      <c r="Z28" s="206" t="str">
        <f t="shared" si="2"/>
        <v/>
      </c>
      <c r="AA28" s="206" t="str">
        <f t="shared" si="3"/>
        <v/>
      </c>
      <c r="AB28" s="206" t="str">
        <f t="shared" si="4"/>
        <v/>
      </c>
      <c r="AC28" s="207" t="str">
        <f t="shared" si="5"/>
        <v/>
      </c>
      <c r="AD28" s="208" t="str">
        <f t="shared" si="6"/>
        <v/>
      </c>
      <c r="AE28" s="209" t="str">
        <f t="shared" si="18"/>
        <v/>
      </c>
      <c r="AF28" s="210" t="str">
        <f t="shared" si="7"/>
        <v/>
      </c>
      <c r="AG28" s="219" t="str">
        <f t="shared" si="8"/>
        <v/>
      </c>
      <c r="AH28" s="207" t="str">
        <f t="shared" si="9"/>
        <v/>
      </c>
    </row>
    <row r="29" spans="1:34" s="167" customFormat="1" ht="12.75" customHeight="1">
      <c r="A29" s="181">
        <v>22</v>
      </c>
      <c r="B29" s="177"/>
      <c r="C29" s="182"/>
      <c r="D29" s="179"/>
      <c r="E29" s="180" t="str">
        <f t="shared" si="10"/>
        <v/>
      </c>
      <c r="F29" s="179"/>
      <c r="G29" s="180" t="str">
        <f t="shared" si="11"/>
        <v/>
      </c>
      <c r="H29" s="179"/>
      <c r="I29" s="180" t="str">
        <f t="shared" si="12"/>
        <v/>
      </c>
      <c r="J29" s="179"/>
      <c r="K29" s="180" t="str">
        <f t="shared" si="13"/>
        <v/>
      </c>
      <c r="L29" s="179"/>
      <c r="M29" s="180" t="str">
        <f t="shared" si="14"/>
        <v/>
      </c>
      <c r="N29" s="179"/>
      <c r="O29" s="180" t="str">
        <f t="shared" si="15"/>
        <v/>
      </c>
      <c r="P29" s="179"/>
      <c r="Q29" s="192" t="str">
        <f t="shared" si="0"/>
        <v/>
      </c>
      <c r="R29" s="193"/>
      <c r="S29" s="179"/>
      <c r="T29" s="192" t="str">
        <f t="shared" si="16"/>
        <v/>
      </c>
      <c r="U29" s="193"/>
      <c r="V29" s="179"/>
      <c r="W29" s="192" t="str">
        <f t="shared" si="17"/>
        <v/>
      </c>
      <c r="X29" s="194"/>
      <c r="Y29" s="205" t="str">
        <f t="shared" si="1"/>
        <v/>
      </c>
      <c r="Z29" s="206" t="str">
        <f t="shared" si="2"/>
        <v/>
      </c>
      <c r="AA29" s="206" t="str">
        <f t="shared" si="3"/>
        <v/>
      </c>
      <c r="AB29" s="206" t="str">
        <f t="shared" si="4"/>
        <v/>
      </c>
      <c r="AC29" s="207" t="str">
        <f t="shared" si="5"/>
        <v/>
      </c>
      <c r="AD29" s="208" t="str">
        <f t="shared" si="6"/>
        <v/>
      </c>
      <c r="AE29" s="209" t="str">
        <f t="shared" si="18"/>
        <v/>
      </c>
      <c r="AF29" s="210" t="str">
        <f t="shared" si="7"/>
        <v/>
      </c>
      <c r="AG29" s="219" t="str">
        <f t="shared" si="8"/>
        <v/>
      </c>
      <c r="AH29" s="207" t="str">
        <f t="shared" si="9"/>
        <v/>
      </c>
    </row>
    <row r="30" spans="1:34" s="167" customFormat="1" ht="12.75" customHeight="1">
      <c r="A30" s="181">
        <v>23</v>
      </c>
      <c r="B30" s="177"/>
      <c r="C30" s="182"/>
      <c r="D30" s="179"/>
      <c r="E30" s="180" t="str">
        <f t="shared" si="10"/>
        <v/>
      </c>
      <c r="F30" s="179"/>
      <c r="G30" s="180" t="str">
        <f t="shared" si="11"/>
        <v/>
      </c>
      <c r="H30" s="179"/>
      <c r="I30" s="180" t="str">
        <f t="shared" si="12"/>
        <v/>
      </c>
      <c r="J30" s="179"/>
      <c r="K30" s="180" t="str">
        <f t="shared" si="13"/>
        <v/>
      </c>
      <c r="L30" s="179"/>
      <c r="M30" s="180" t="str">
        <f t="shared" si="14"/>
        <v/>
      </c>
      <c r="N30" s="179"/>
      <c r="O30" s="180" t="str">
        <f t="shared" si="15"/>
        <v/>
      </c>
      <c r="P30" s="179"/>
      <c r="Q30" s="192" t="str">
        <f t="shared" si="0"/>
        <v/>
      </c>
      <c r="R30" s="193"/>
      <c r="S30" s="179"/>
      <c r="T30" s="192" t="str">
        <f t="shared" si="16"/>
        <v/>
      </c>
      <c r="U30" s="193"/>
      <c r="V30" s="179"/>
      <c r="W30" s="192" t="str">
        <f t="shared" si="17"/>
        <v/>
      </c>
      <c r="X30" s="194"/>
      <c r="Y30" s="205" t="str">
        <f t="shared" si="1"/>
        <v/>
      </c>
      <c r="Z30" s="206" t="str">
        <f t="shared" si="2"/>
        <v/>
      </c>
      <c r="AA30" s="206" t="str">
        <f t="shared" si="3"/>
        <v/>
      </c>
      <c r="AB30" s="206" t="str">
        <f t="shared" si="4"/>
        <v/>
      </c>
      <c r="AC30" s="207" t="str">
        <f t="shared" si="5"/>
        <v/>
      </c>
      <c r="AD30" s="208" t="str">
        <f t="shared" si="6"/>
        <v/>
      </c>
      <c r="AE30" s="209" t="str">
        <f t="shared" si="18"/>
        <v/>
      </c>
      <c r="AF30" s="210" t="str">
        <f t="shared" si="7"/>
        <v/>
      </c>
      <c r="AG30" s="219" t="str">
        <f t="shared" si="8"/>
        <v/>
      </c>
      <c r="AH30" s="207" t="str">
        <f t="shared" si="9"/>
        <v/>
      </c>
    </row>
    <row r="31" spans="1:34" s="167" customFormat="1" ht="12.75" customHeight="1">
      <c r="A31" s="181">
        <v>24</v>
      </c>
      <c r="B31" s="177"/>
      <c r="C31" s="182"/>
      <c r="D31" s="179"/>
      <c r="E31" s="180" t="str">
        <f t="shared" si="10"/>
        <v/>
      </c>
      <c r="F31" s="179"/>
      <c r="G31" s="180" t="str">
        <f t="shared" si="11"/>
        <v/>
      </c>
      <c r="H31" s="179"/>
      <c r="I31" s="180" t="str">
        <f t="shared" si="12"/>
        <v/>
      </c>
      <c r="J31" s="179"/>
      <c r="K31" s="180" t="str">
        <f t="shared" si="13"/>
        <v/>
      </c>
      <c r="L31" s="179"/>
      <c r="M31" s="180" t="str">
        <f t="shared" si="14"/>
        <v/>
      </c>
      <c r="N31" s="179"/>
      <c r="O31" s="180" t="str">
        <f t="shared" si="15"/>
        <v/>
      </c>
      <c r="P31" s="179"/>
      <c r="Q31" s="192" t="str">
        <f t="shared" si="0"/>
        <v/>
      </c>
      <c r="R31" s="193"/>
      <c r="S31" s="179"/>
      <c r="T31" s="192" t="str">
        <f t="shared" si="16"/>
        <v/>
      </c>
      <c r="U31" s="193"/>
      <c r="V31" s="179"/>
      <c r="W31" s="192" t="str">
        <f t="shared" si="17"/>
        <v/>
      </c>
      <c r="X31" s="194"/>
      <c r="Y31" s="205" t="str">
        <f t="shared" si="1"/>
        <v/>
      </c>
      <c r="Z31" s="206" t="str">
        <f t="shared" si="2"/>
        <v/>
      </c>
      <c r="AA31" s="206" t="str">
        <f t="shared" si="3"/>
        <v/>
      </c>
      <c r="AB31" s="206" t="str">
        <f t="shared" si="4"/>
        <v/>
      </c>
      <c r="AC31" s="207" t="str">
        <f t="shared" si="5"/>
        <v/>
      </c>
      <c r="AD31" s="208" t="str">
        <f t="shared" si="6"/>
        <v/>
      </c>
      <c r="AE31" s="209" t="str">
        <f t="shared" si="18"/>
        <v/>
      </c>
      <c r="AF31" s="210" t="str">
        <f t="shared" si="7"/>
        <v/>
      </c>
      <c r="AG31" s="219" t="str">
        <f t="shared" si="8"/>
        <v/>
      </c>
      <c r="AH31" s="207" t="str">
        <f t="shared" si="9"/>
        <v/>
      </c>
    </row>
    <row r="32" spans="1:34" s="167" customFormat="1" ht="12.75" customHeight="1">
      <c r="A32" s="181">
        <v>25</v>
      </c>
      <c r="B32" s="177"/>
      <c r="C32" s="182"/>
      <c r="D32" s="179"/>
      <c r="E32" s="180" t="str">
        <f t="shared" si="10"/>
        <v/>
      </c>
      <c r="F32" s="179"/>
      <c r="G32" s="180" t="str">
        <f t="shared" si="11"/>
        <v/>
      </c>
      <c r="H32" s="179"/>
      <c r="I32" s="180" t="str">
        <f t="shared" si="12"/>
        <v/>
      </c>
      <c r="J32" s="179"/>
      <c r="K32" s="180" t="str">
        <f t="shared" si="13"/>
        <v/>
      </c>
      <c r="L32" s="179"/>
      <c r="M32" s="180" t="str">
        <f t="shared" si="14"/>
        <v/>
      </c>
      <c r="N32" s="179"/>
      <c r="O32" s="180" t="str">
        <f t="shared" si="15"/>
        <v/>
      </c>
      <c r="P32" s="179"/>
      <c r="Q32" s="192" t="str">
        <f t="shared" si="0"/>
        <v/>
      </c>
      <c r="R32" s="193"/>
      <c r="S32" s="179"/>
      <c r="T32" s="192" t="str">
        <f t="shared" si="16"/>
        <v/>
      </c>
      <c r="U32" s="193"/>
      <c r="V32" s="179"/>
      <c r="W32" s="192" t="str">
        <f t="shared" si="17"/>
        <v/>
      </c>
      <c r="X32" s="194"/>
      <c r="Y32" s="205" t="str">
        <f t="shared" si="1"/>
        <v/>
      </c>
      <c r="Z32" s="206" t="str">
        <f t="shared" si="2"/>
        <v/>
      </c>
      <c r="AA32" s="206" t="str">
        <f t="shared" si="3"/>
        <v/>
      </c>
      <c r="AB32" s="206" t="str">
        <f t="shared" si="4"/>
        <v/>
      </c>
      <c r="AC32" s="207" t="str">
        <f t="shared" si="5"/>
        <v/>
      </c>
      <c r="AD32" s="208" t="str">
        <f t="shared" si="6"/>
        <v/>
      </c>
      <c r="AE32" s="209" t="str">
        <f t="shared" si="18"/>
        <v/>
      </c>
      <c r="AF32" s="210" t="str">
        <f t="shared" si="7"/>
        <v/>
      </c>
      <c r="AG32" s="219" t="str">
        <f t="shared" si="8"/>
        <v/>
      </c>
      <c r="AH32" s="207" t="str">
        <f t="shared" si="9"/>
        <v/>
      </c>
    </row>
    <row r="33" spans="1:34" s="167" customFormat="1" ht="12.75" customHeight="1">
      <c r="A33" s="181">
        <v>26</v>
      </c>
      <c r="B33" s="177"/>
      <c r="C33" s="182"/>
      <c r="D33" s="179"/>
      <c r="E33" s="180" t="str">
        <f t="shared" si="10"/>
        <v/>
      </c>
      <c r="F33" s="179"/>
      <c r="G33" s="180" t="str">
        <f t="shared" si="11"/>
        <v/>
      </c>
      <c r="H33" s="179"/>
      <c r="I33" s="180" t="str">
        <f t="shared" si="12"/>
        <v/>
      </c>
      <c r="J33" s="179"/>
      <c r="K33" s="180" t="str">
        <f t="shared" si="13"/>
        <v/>
      </c>
      <c r="L33" s="179"/>
      <c r="M33" s="180" t="str">
        <f t="shared" si="14"/>
        <v/>
      </c>
      <c r="N33" s="179"/>
      <c r="O33" s="180" t="str">
        <f t="shared" si="15"/>
        <v/>
      </c>
      <c r="P33" s="179"/>
      <c r="Q33" s="192" t="str">
        <f t="shared" si="0"/>
        <v/>
      </c>
      <c r="R33" s="193"/>
      <c r="S33" s="179"/>
      <c r="T33" s="192" t="str">
        <f t="shared" si="16"/>
        <v/>
      </c>
      <c r="U33" s="193"/>
      <c r="V33" s="179"/>
      <c r="W33" s="192" t="str">
        <f t="shared" si="17"/>
        <v/>
      </c>
      <c r="X33" s="194"/>
      <c r="Y33" s="205" t="str">
        <f t="shared" si="1"/>
        <v/>
      </c>
      <c r="Z33" s="206" t="str">
        <f t="shared" si="2"/>
        <v/>
      </c>
      <c r="AA33" s="206" t="str">
        <f t="shared" si="3"/>
        <v/>
      </c>
      <c r="AB33" s="206" t="str">
        <f t="shared" si="4"/>
        <v/>
      </c>
      <c r="AC33" s="207" t="str">
        <f t="shared" si="5"/>
        <v/>
      </c>
      <c r="AD33" s="208" t="str">
        <f t="shared" si="6"/>
        <v/>
      </c>
      <c r="AE33" s="209" t="str">
        <f t="shared" si="18"/>
        <v/>
      </c>
      <c r="AF33" s="210" t="str">
        <f t="shared" si="7"/>
        <v/>
      </c>
      <c r="AG33" s="219" t="str">
        <f t="shared" si="8"/>
        <v/>
      </c>
      <c r="AH33" s="207" t="str">
        <f t="shared" si="9"/>
        <v/>
      </c>
    </row>
    <row r="34" spans="1:34" s="167" customFormat="1" ht="12.75" customHeight="1">
      <c r="A34" s="181">
        <v>27</v>
      </c>
      <c r="B34" s="177"/>
      <c r="C34" s="182"/>
      <c r="D34" s="179"/>
      <c r="E34" s="180" t="str">
        <f t="shared" si="10"/>
        <v/>
      </c>
      <c r="F34" s="179"/>
      <c r="G34" s="180" t="str">
        <f t="shared" si="11"/>
        <v/>
      </c>
      <c r="H34" s="179"/>
      <c r="I34" s="180" t="str">
        <f t="shared" si="12"/>
        <v/>
      </c>
      <c r="J34" s="179"/>
      <c r="K34" s="180" t="str">
        <f t="shared" si="13"/>
        <v/>
      </c>
      <c r="L34" s="179"/>
      <c r="M34" s="180" t="str">
        <f t="shared" si="14"/>
        <v/>
      </c>
      <c r="N34" s="179"/>
      <c r="O34" s="180" t="str">
        <f t="shared" si="15"/>
        <v/>
      </c>
      <c r="P34" s="179"/>
      <c r="Q34" s="192" t="str">
        <f t="shared" si="0"/>
        <v/>
      </c>
      <c r="R34" s="193"/>
      <c r="S34" s="179"/>
      <c r="T34" s="192" t="str">
        <f t="shared" si="16"/>
        <v/>
      </c>
      <c r="U34" s="193"/>
      <c r="V34" s="179"/>
      <c r="W34" s="192" t="str">
        <f t="shared" si="17"/>
        <v/>
      </c>
      <c r="X34" s="194"/>
      <c r="Y34" s="205" t="str">
        <f t="shared" si="1"/>
        <v/>
      </c>
      <c r="Z34" s="206" t="str">
        <f t="shared" si="2"/>
        <v/>
      </c>
      <c r="AA34" s="206" t="str">
        <f t="shared" si="3"/>
        <v/>
      </c>
      <c r="AB34" s="206" t="str">
        <f t="shared" si="4"/>
        <v/>
      </c>
      <c r="AC34" s="207" t="str">
        <f t="shared" si="5"/>
        <v/>
      </c>
      <c r="AD34" s="208" t="str">
        <f t="shared" si="6"/>
        <v/>
      </c>
      <c r="AE34" s="209" t="str">
        <f t="shared" si="18"/>
        <v/>
      </c>
      <c r="AF34" s="210" t="str">
        <f t="shared" si="7"/>
        <v/>
      </c>
      <c r="AG34" s="219" t="str">
        <f t="shared" si="8"/>
        <v/>
      </c>
      <c r="AH34" s="207" t="str">
        <f t="shared" si="9"/>
        <v/>
      </c>
    </row>
    <row r="35" spans="1:34" s="167" customFormat="1" ht="12.75" customHeight="1">
      <c r="A35" s="181">
        <v>28</v>
      </c>
      <c r="B35" s="177"/>
      <c r="C35" s="182"/>
      <c r="D35" s="179"/>
      <c r="E35" s="180" t="str">
        <f t="shared" si="10"/>
        <v/>
      </c>
      <c r="F35" s="179"/>
      <c r="G35" s="180" t="str">
        <f t="shared" si="11"/>
        <v/>
      </c>
      <c r="H35" s="179"/>
      <c r="I35" s="180" t="str">
        <f t="shared" si="12"/>
        <v/>
      </c>
      <c r="J35" s="179"/>
      <c r="K35" s="180" t="str">
        <f t="shared" si="13"/>
        <v/>
      </c>
      <c r="L35" s="179"/>
      <c r="M35" s="180" t="str">
        <f t="shared" si="14"/>
        <v/>
      </c>
      <c r="N35" s="179"/>
      <c r="O35" s="180" t="str">
        <f t="shared" si="15"/>
        <v/>
      </c>
      <c r="P35" s="179"/>
      <c r="Q35" s="192" t="str">
        <f t="shared" si="0"/>
        <v/>
      </c>
      <c r="R35" s="193"/>
      <c r="S35" s="179"/>
      <c r="T35" s="192" t="str">
        <f t="shared" si="16"/>
        <v/>
      </c>
      <c r="U35" s="193"/>
      <c r="V35" s="179"/>
      <c r="W35" s="192" t="str">
        <f t="shared" si="17"/>
        <v/>
      </c>
      <c r="X35" s="194"/>
      <c r="Y35" s="205" t="str">
        <f t="shared" si="1"/>
        <v/>
      </c>
      <c r="Z35" s="206" t="str">
        <f t="shared" si="2"/>
        <v/>
      </c>
      <c r="AA35" s="206" t="str">
        <f t="shared" si="3"/>
        <v/>
      </c>
      <c r="AB35" s="206" t="str">
        <f t="shared" si="4"/>
        <v/>
      </c>
      <c r="AC35" s="207" t="str">
        <f t="shared" si="5"/>
        <v/>
      </c>
      <c r="AD35" s="208" t="str">
        <f t="shared" si="6"/>
        <v/>
      </c>
      <c r="AE35" s="209" t="str">
        <f t="shared" si="18"/>
        <v/>
      </c>
      <c r="AF35" s="210" t="str">
        <f t="shared" si="7"/>
        <v/>
      </c>
      <c r="AG35" s="219" t="str">
        <f t="shared" si="8"/>
        <v/>
      </c>
      <c r="AH35" s="207" t="str">
        <f t="shared" si="9"/>
        <v/>
      </c>
    </row>
    <row r="36" spans="1:34" s="167" customFormat="1" ht="12.75" customHeight="1">
      <c r="A36" s="181">
        <v>29</v>
      </c>
      <c r="B36" s="177"/>
      <c r="C36" s="182"/>
      <c r="D36" s="179"/>
      <c r="E36" s="180" t="str">
        <f t="shared" si="10"/>
        <v/>
      </c>
      <c r="F36" s="179"/>
      <c r="G36" s="180" t="str">
        <f t="shared" si="11"/>
        <v/>
      </c>
      <c r="H36" s="179"/>
      <c r="I36" s="180" t="str">
        <f t="shared" si="12"/>
        <v/>
      </c>
      <c r="J36" s="179"/>
      <c r="K36" s="180" t="str">
        <f t="shared" si="13"/>
        <v/>
      </c>
      <c r="L36" s="179"/>
      <c r="M36" s="180" t="str">
        <f t="shared" si="14"/>
        <v/>
      </c>
      <c r="N36" s="179"/>
      <c r="O36" s="180" t="str">
        <f t="shared" si="15"/>
        <v/>
      </c>
      <c r="P36" s="179"/>
      <c r="Q36" s="192" t="str">
        <f t="shared" si="0"/>
        <v/>
      </c>
      <c r="R36" s="193"/>
      <c r="S36" s="179"/>
      <c r="T36" s="192" t="str">
        <f t="shared" si="16"/>
        <v/>
      </c>
      <c r="U36" s="193"/>
      <c r="V36" s="179"/>
      <c r="W36" s="192" t="str">
        <f t="shared" si="17"/>
        <v/>
      </c>
      <c r="X36" s="194"/>
      <c r="Y36" s="205" t="str">
        <f t="shared" si="1"/>
        <v/>
      </c>
      <c r="Z36" s="206" t="str">
        <f t="shared" si="2"/>
        <v/>
      </c>
      <c r="AA36" s="206" t="str">
        <f t="shared" si="3"/>
        <v/>
      </c>
      <c r="AB36" s="206" t="str">
        <f t="shared" si="4"/>
        <v/>
      </c>
      <c r="AC36" s="207" t="str">
        <f t="shared" si="5"/>
        <v/>
      </c>
      <c r="AD36" s="208" t="str">
        <f t="shared" si="6"/>
        <v/>
      </c>
      <c r="AE36" s="209" t="str">
        <f t="shared" si="18"/>
        <v/>
      </c>
      <c r="AF36" s="210" t="str">
        <f t="shared" si="7"/>
        <v/>
      </c>
      <c r="AG36" s="219" t="str">
        <f t="shared" si="8"/>
        <v/>
      </c>
      <c r="AH36" s="207" t="str">
        <f t="shared" si="9"/>
        <v/>
      </c>
    </row>
    <row r="37" spans="1:34" s="167" customFormat="1" ht="12.75" customHeight="1">
      <c r="A37" s="181">
        <v>30</v>
      </c>
      <c r="B37" s="177"/>
      <c r="C37" s="182"/>
      <c r="D37" s="179"/>
      <c r="E37" s="180" t="str">
        <f t="shared" si="10"/>
        <v/>
      </c>
      <c r="F37" s="179"/>
      <c r="G37" s="180" t="str">
        <f t="shared" si="11"/>
        <v/>
      </c>
      <c r="H37" s="179"/>
      <c r="I37" s="180" t="str">
        <f t="shared" si="12"/>
        <v/>
      </c>
      <c r="J37" s="179"/>
      <c r="K37" s="180" t="str">
        <f t="shared" si="13"/>
        <v/>
      </c>
      <c r="L37" s="179"/>
      <c r="M37" s="180" t="str">
        <f t="shared" si="14"/>
        <v/>
      </c>
      <c r="N37" s="179"/>
      <c r="O37" s="180" t="str">
        <f t="shared" si="15"/>
        <v/>
      </c>
      <c r="P37" s="179"/>
      <c r="Q37" s="192" t="str">
        <f t="shared" si="0"/>
        <v/>
      </c>
      <c r="R37" s="193"/>
      <c r="S37" s="179"/>
      <c r="T37" s="192" t="str">
        <f t="shared" si="16"/>
        <v/>
      </c>
      <c r="U37" s="193"/>
      <c r="V37" s="179"/>
      <c r="W37" s="192" t="str">
        <f t="shared" si="17"/>
        <v/>
      </c>
      <c r="X37" s="194"/>
      <c r="Y37" s="205" t="str">
        <f t="shared" si="1"/>
        <v/>
      </c>
      <c r="Z37" s="206" t="str">
        <f t="shared" si="2"/>
        <v/>
      </c>
      <c r="AA37" s="206" t="str">
        <f t="shared" si="3"/>
        <v/>
      </c>
      <c r="AB37" s="206" t="str">
        <f t="shared" si="4"/>
        <v/>
      </c>
      <c r="AC37" s="207" t="str">
        <f t="shared" si="5"/>
        <v/>
      </c>
      <c r="AD37" s="208" t="str">
        <f t="shared" si="6"/>
        <v/>
      </c>
      <c r="AE37" s="209" t="str">
        <f t="shared" si="18"/>
        <v/>
      </c>
      <c r="AF37" s="210" t="str">
        <f t="shared" si="7"/>
        <v/>
      </c>
      <c r="AG37" s="219" t="str">
        <f t="shared" si="8"/>
        <v/>
      </c>
      <c r="AH37" s="207" t="str">
        <f t="shared" si="9"/>
        <v/>
      </c>
    </row>
    <row r="38" spans="1:34" s="167" customFormat="1" ht="12.75" customHeight="1">
      <c r="A38" s="181">
        <v>31</v>
      </c>
      <c r="B38" s="177"/>
      <c r="C38" s="182"/>
      <c r="D38" s="179"/>
      <c r="E38" s="180" t="str">
        <f t="shared" si="10"/>
        <v/>
      </c>
      <c r="F38" s="179"/>
      <c r="G38" s="180" t="str">
        <f t="shared" si="11"/>
        <v/>
      </c>
      <c r="H38" s="179"/>
      <c r="I38" s="180" t="str">
        <f t="shared" si="12"/>
        <v/>
      </c>
      <c r="J38" s="179"/>
      <c r="K38" s="180" t="str">
        <f t="shared" si="13"/>
        <v/>
      </c>
      <c r="L38" s="179"/>
      <c r="M38" s="180" t="str">
        <f t="shared" si="14"/>
        <v/>
      </c>
      <c r="N38" s="179"/>
      <c r="O38" s="180" t="str">
        <f t="shared" si="15"/>
        <v/>
      </c>
      <c r="P38" s="179"/>
      <c r="Q38" s="192" t="str">
        <f t="shared" si="0"/>
        <v/>
      </c>
      <c r="R38" s="193"/>
      <c r="S38" s="179"/>
      <c r="T38" s="192" t="str">
        <f t="shared" si="16"/>
        <v/>
      </c>
      <c r="U38" s="193"/>
      <c r="V38" s="179"/>
      <c r="W38" s="192" t="str">
        <f t="shared" si="17"/>
        <v/>
      </c>
      <c r="X38" s="194"/>
      <c r="Y38" s="205" t="str">
        <f t="shared" si="1"/>
        <v/>
      </c>
      <c r="Z38" s="206" t="str">
        <f t="shared" si="2"/>
        <v/>
      </c>
      <c r="AA38" s="206" t="str">
        <f t="shared" si="3"/>
        <v/>
      </c>
      <c r="AB38" s="206" t="str">
        <f t="shared" si="4"/>
        <v/>
      </c>
      <c r="AC38" s="207" t="str">
        <f t="shared" si="5"/>
        <v/>
      </c>
      <c r="AD38" s="208" t="str">
        <f t="shared" si="6"/>
        <v/>
      </c>
      <c r="AE38" s="209" t="str">
        <f t="shared" si="18"/>
        <v/>
      </c>
      <c r="AF38" s="210" t="str">
        <f t="shared" si="7"/>
        <v/>
      </c>
      <c r="AG38" s="219" t="str">
        <f t="shared" si="8"/>
        <v/>
      </c>
      <c r="AH38" s="207" t="str">
        <f t="shared" si="9"/>
        <v/>
      </c>
    </row>
    <row r="39" spans="1:34" s="167" customFormat="1" ht="12.75" customHeight="1">
      <c r="A39" s="181">
        <v>32</v>
      </c>
      <c r="B39" s="177"/>
      <c r="C39" s="182"/>
      <c r="D39" s="179"/>
      <c r="E39" s="180" t="str">
        <f t="shared" si="10"/>
        <v/>
      </c>
      <c r="F39" s="179"/>
      <c r="G39" s="180" t="str">
        <f t="shared" si="11"/>
        <v/>
      </c>
      <c r="H39" s="179"/>
      <c r="I39" s="180" t="str">
        <f t="shared" si="12"/>
        <v/>
      </c>
      <c r="J39" s="179"/>
      <c r="K39" s="180" t="str">
        <f t="shared" si="13"/>
        <v/>
      </c>
      <c r="L39" s="179"/>
      <c r="M39" s="180" t="str">
        <f t="shared" si="14"/>
        <v/>
      </c>
      <c r="N39" s="179"/>
      <c r="O39" s="180" t="str">
        <f t="shared" si="15"/>
        <v/>
      </c>
      <c r="P39" s="179"/>
      <c r="Q39" s="192" t="str">
        <f t="shared" si="0"/>
        <v/>
      </c>
      <c r="R39" s="193"/>
      <c r="S39" s="179"/>
      <c r="T39" s="192" t="str">
        <f t="shared" si="16"/>
        <v/>
      </c>
      <c r="U39" s="193"/>
      <c r="V39" s="179"/>
      <c r="W39" s="192" t="str">
        <f t="shared" si="17"/>
        <v/>
      </c>
      <c r="X39" s="194"/>
      <c r="Y39" s="205" t="str">
        <f t="shared" si="1"/>
        <v/>
      </c>
      <c r="Z39" s="206" t="str">
        <f t="shared" si="2"/>
        <v/>
      </c>
      <c r="AA39" s="206" t="str">
        <f t="shared" si="3"/>
        <v/>
      </c>
      <c r="AB39" s="206" t="str">
        <f t="shared" si="4"/>
        <v/>
      </c>
      <c r="AC39" s="207" t="str">
        <f t="shared" si="5"/>
        <v/>
      </c>
      <c r="AD39" s="208" t="str">
        <f t="shared" si="6"/>
        <v/>
      </c>
      <c r="AE39" s="209" t="str">
        <f t="shared" si="18"/>
        <v/>
      </c>
      <c r="AF39" s="210" t="str">
        <f t="shared" si="7"/>
        <v/>
      </c>
      <c r="AG39" s="219" t="str">
        <f t="shared" si="8"/>
        <v/>
      </c>
      <c r="AH39" s="207" t="str">
        <f t="shared" si="9"/>
        <v/>
      </c>
    </row>
    <row r="40" spans="1:34" s="167" customFormat="1" ht="12.75" customHeight="1">
      <c r="A40" s="181">
        <v>33</v>
      </c>
      <c r="B40" s="177"/>
      <c r="C40" s="182"/>
      <c r="D40" s="179"/>
      <c r="E40" s="180" t="str">
        <f t="shared" si="10"/>
        <v/>
      </c>
      <c r="F40" s="179"/>
      <c r="G40" s="180" t="str">
        <f t="shared" si="11"/>
        <v/>
      </c>
      <c r="H40" s="179"/>
      <c r="I40" s="180" t="str">
        <f t="shared" si="12"/>
        <v/>
      </c>
      <c r="J40" s="179"/>
      <c r="K40" s="180" t="str">
        <f t="shared" si="13"/>
        <v/>
      </c>
      <c r="L40" s="179"/>
      <c r="M40" s="180" t="str">
        <f t="shared" si="14"/>
        <v/>
      </c>
      <c r="N40" s="179"/>
      <c r="O40" s="180" t="str">
        <f t="shared" si="15"/>
        <v/>
      </c>
      <c r="P40" s="179"/>
      <c r="Q40" s="192" t="str">
        <f t="shared" si="0"/>
        <v/>
      </c>
      <c r="R40" s="193"/>
      <c r="S40" s="179"/>
      <c r="T40" s="192" t="str">
        <f t="shared" si="16"/>
        <v/>
      </c>
      <c r="U40" s="193"/>
      <c r="V40" s="179"/>
      <c r="W40" s="192" t="str">
        <f t="shared" si="17"/>
        <v/>
      </c>
      <c r="X40" s="194"/>
      <c r="Y40" s="205" t="str">
        <f t="shared" si="1"/>
        <v/>
      </c>
      <c r="Z40" s="206" t="str">
        <f t="shared" si="2"/>
        <v/>
      </c>
      <c r="AA40" s="206" t="str">
        <f t="shared" si="3"/>
        <v/>
      </c>
      <c r="AB40" s="206" t="str">
        <f t="shared" si="4"/>
        <v/>
      </c>
      <c r="AC40" s="207" t="str">
        <f t="shared" si="5"/>
        <v/>
      </c>
      <c r="AD40" s="208" t="str">
        <f t="shared" si="6"/>
        <v/>
      </c>
      <c r="AE40" s="209" t="str">
        <f t="shared" si="18"/>
        <v/>
      </c>
      <c r="AF40" s="210" t="str">
        <f t="shared" si="7"/>
        <v/>
      </c>
      <c r="AG40" s="219" t="str">
        <f t="shared" si="8"/>
        <v/>
      </c>
      <c r="AH40" s="207" t="str">
        <f t="shared" si="9"/>
        <v/>
      </c>
    </row>
    <row r="41" spans="1:34" s="167" customFormat="1" ht="12.75" customHeight="1">
      <c r="A41" s="181">
        <v>34</v>
      </c>
      <c r="B41" s="177"/>
      <c r="C41" s="182"/>
      <c r="D41" s="179"/>
      <c r="E41" s="180" t="str">
        <f t="shared" si="10"/>
        <v/>
      </c>
      <c r="F41" s="179"/>
      <c r="G41" s="180" t="str">
        <f t="shared" si="11"/>
        <v/>
      </c>
      <c r="H41" s="179"/>
      <c r="I41" s="180" t="str">
        <f t="shared" si="12"/>
        <v/>
      </c>
      <c r="J41" s="179"/>
      <c r="K41" s="180" t="str">
        <f t="shared" si="13"/>
        <v/>
      </c>
      <c r="L41" s="179"/>
      <c r="M41" s="180" t="str">
        <f t="shared" si="14"/>
        <v/>
      </c>
      <c r="N41" s="179"/>
      <c r="O41" s="180" t="str">
        <f t="shared" si="15"/>
        <v/>
      </c>
      <c r="P41" s="179"/>
      <c r="Q41" s="192" t="str">
        <f t="shared" si="0"/>
        <v/>
      </c>
      <c r="R41" s="193"/>
      <c r="S41" s="179"/>
      <c r="T41" s="192" t="str">
        <f t="shared" si="16"/>
        <v/>
      </c>
      <c r="U41" s="193"/>
      <c r="V41" s="179"/>
      <c r="W41" s="192" t="str">
        <f t="shared" si="17"/>
        <v/>
      </c>
      <c r="X41" s="194"/>
      <c r="Y41" s="205" t="str">
        <f t="shared" si="1"/>
        <v/>
      </c>
      <c r="Z41" s="206" t="str">
        <f t="shared" si="2"/>
        <v/>
      </c>
      <c r="AA41" s="206" t="str">
        <f t="shared" si="3"/>
        <v/>
      </c>
      <c r="AB41" s="206" t="str">
        <f t="shared" si="4"/>
        <v/>
      </c>
      <c r="AC41" s="207" t="str">
        <f t="shared" si="5"/>
        <v/>
      </c>
      <c r="AD41" s="208" t="str">
        <f t="shared" si="6"/>
        <v/>
      </c>
      <c r="AE41" s="209" t="str">
        <f t="shared" si="18"/>
        <v/>
      </c>
      <c r="AF41" s="210" t="str">
        <f t="shared" si="7"/>
        <v/>
      </c>
      <c r="AG41" s="219" t="str">
        <f t="shared" si="8"/>
        <v/>
      </c>
      <c r="AH41" s="207" t="str">
        <f t="shared" si="9"/>
        <v/>
      </c>
    </row>
    <row r="42" spans="1:34" s="167" customFormat="1" ht="12.75" customHeight="1">
      <c r="A42" s="181">
        <v>35</v>
      </c>
      <c r="B42" s="177"/>
      <c r="C42" s="182"/>
      <c r="D42" s="179"/>
      <c r="E42" s="180" t="str">
        <f t="shared" si="10"/>
        <v/>
      </c>
      <c r="F42" s="179"/>
      <c r="G42" s="180" t="str">
        <f t="shared" si="11"/>
        <v/>
      </c>
      <c r="H42" s="179"/>
      <c r="I42" s="180" t="str">
        <f t="shared" si="12"/>
        <v/>
      </c>
      <c r="J42" s="179"/>
      <c r="K42" s="180" t="str">
        <f t="shared" si="13"/>
        <v/>
      </c>
      <c r="L42" s="179"/>
      <c r="M42" s="180" t="str">
        <f t="shared" si="14"/>
        <v/>
      </c>
      <c r="N42" s="179"/>
      <c r="O42" s="180" t="str">
        <f t="shared" si="15"/>
        <v/>
      </c>
      <c r="P42" s="179"/>
      <c r="Q42" s="192" t="str">
        <f t="shared" si="0"/>
        <v/>
      </c>
      <c r="R42" s="193"/>
      <c r="S42" s="179"/>
      <c r="T42" s="192" t="str">
        <f t="shared" si="16"/>
        <v/>
      </c>
      <c r="U42" s="193"/>
      <c r="V42" s="179"/>
      <c r="W42" s="192" t="str">
        <f t="shared" si="17"/>
        <v/>
      </c>
      <c r="X42" s="194"/>
      <c r="Y42" s="205" t="str">
        <f t="shared" si="1"/>
        <v/>
      </c>
      <c r="Z42" s="206" t="str">
        <f t="shared" si="2"/>
        <v/>
      </c>
      <c r="AA42" s="206" t="str">
        <f t="shared" si="3"/>
        <v/>
      </c>
      <c r="AB42" s="206" t="str">
        <f t="shared" si="4"/>
        <v/>
      </c>
      <c r="AC42" s="207" t="str">
        <f t="shared" si="5"/>
        <v/>
      </c>
      <c r="AD42" s="208" t="str">
        <f t="shared" si="6"/>
        <v/>
      </c>
      <c r="AE42" s="209" t="str">
        <f t="shared" si="18"/>
        <v/>
      </c>
      <c r="AF42" s="210" t="str">
        <f t="shared" si="7"/>
        <v/>
      </c>
      <c r="AG42" s="219" t="str">
        <f t="shared" si="8"/>
        <v/>
      </c>
      <c r="AH42" s="207" t="str">
        <f t="shared" si="9"/>
        <v/>
      </c>
    </row>
    <row r="43" spans="1:34" s="167" customFormat="1" ht="12.75" customHeight="1">
      <c r="A43" s="181">
        <v>36</v>
      </c>
      <c r="B43" s="177"/>
      <c r="C43" s="182"/>
      <c r="D43" s="179"/>
      <c r="E43" s="180" t="str">
        <f t="shared" si="10"/>
        <v/>
      </c>
      <c r="F43" s="179"/>
      <c r="G43" s="180" t="str">
        <f t="shared" si="11"/>
        <v/>
      </c>
      <c r="H43" s="179"/>
      <c r="I43" s="180" t="str">
        <f t="shared" si="12"/>
        <v/>
      </c>
      <c r="J43" s="179"/>
      <c r="K43" s="180" t="str">
        <f t="shared" si="13"/>
        <v/>
      </c>
      <c r="L43" s="179"/>
      <c r="M43" s="180" t="str">
        <f t="shared" si="14"/>
        <v/>
      </c>
      <c r="N43" s="179"/>
      <c r="O43" s="180" t="str">
        <f t="shared" si="15"/>
        <v/>
      </c>
      <c r="P43" s="179"/>
      <c r="Q43" s="192" t="str">
        <f t="shared" si="0"/>
        <v/>
      </c>
      <c r="R43" s="193"/>
      <c r="S43" s="179"/>
      <c r="T43" s="192" t="str">
        <f t="shared" si="16"/>
        <v/>
      </c>
      <c r="U43" s="193"/>
      <c r="V43" s="179"/>
      <c r="W43" s="192" t="str">
        <f t="shared" si="17"/>
        <v/>
      </c>
      <c r="X43" s="194"/>
      <c r="Y43" s="205" t="str">
        <f t="shared" si="1"/>
        <v/>
      </c>
      <c r="Z43" s="206" t="str">
        <f t="shared" si="2"/>
        <v/>
      </c>
      <c r="AA43" s="206" t="str">
        <f t="shared" si="3"/>
        <v/>
      </c>
      <c r="AB43" s="206" t="str">
        <f t="shared" si="4"/>
        <v/>
      </c>
      <c r="AC43" s="207" t="str">
        <f t="shared" si="5"/>
        <v/>
      </c>
      <c r="AD43" s="208" t="str">
        <f t="shared" si="6"/>
        <v/>
      </c>
      <c r="AE43" s="209" t="str">
        <f t="shared" si="18"/>
        <v/>
      </c>
      <c r="AF43" s="210" t="str">
        <f t="shared" si="7"/>
        <v/>
      </c>
      <c r="AG43" s="219" t="str">
        <f t="shared" si="8"/>
        <v/>
      </c>
      <c r="AH43" s="207" t="str">
        <f t="shared" si="9"/>
        <v/>
      </c>
    </row>
    <row r="44" spans="1:34" s="167" customFormat="1" ht="12.75" customHeight="1">
      <c r="A44" s="181">
        <v>37</v>
      </c>
      <c r="B44" s="177"/>
      <c r="C44" s="182"/>
      <c r="D44" s="179"/>
      <c r="E44" s="180" t="str">
        <f t="shared" si="10"/>
        <v/>
      </c>
      <c r="F44" s="179"/>
      <c r="G44" s="180" t="str">
        <f t="shared" si="11"/>
        <v/>
      </c>
      <c r="H44" s="179"/>
      <c r="I44" s="180" t="str">
        <f t="shared" si="12"/>
        <v/>
      </c>
      <c r="J44" s="179"/>
      <c r="K44" s="180" t="str">
        <f t="shared" si="13"/>
        <v/>
      </c>
      <c r="L44" s="179"/>
      <c r="M44" s="180" t="str">
        <f t="shared" si="14"/>
        <v/>
      </c>
      <c r="N44" s="179"/>
      <c r="O44" s="180" t="str">
        <f t="shared" si="15"/>
        <v/>
      </c>
      <c r="P44" s="179"/>
      <c r="Q44" s="192" t="str">
        <f t="shared" si="0"/>
        <v/>
      </c>
      <c r="R44" s="193"/>
      <c r="S44" s="179"/>
      <c r="T44" s="192" t="str">
        <f t="shared" si="16"/>
        <v/>
      </c>
      <c r="U44" s="193"/>
      <c r="V44" s="179"/>
      <c r="W44" s="192" t="str">
        <f t="shared" si="17"/>
        <v/>
      </c>
      <c r="X44" s="194"/>
      <c r="Y44" s="205" t="str">
        <f t="shared" si="1"/>
        <v/>
      </c>
      <c r="Z44" s="206" t="str">
        <f t="shared" si="2"/>
        <v/>
      </c>
      <c r="AA44" s="206" t="str">
        <f t="shared" si="3"/>
        <v/>
      </c>
      <c r="AB44" s="206" t="str">
        <f t="shared" si="4"/>
        <v/>
      </c>
      <c r="AC44" s="207" t="str">
        <f t="shared" si="5"/>
        <v/>
      </c>
      <c r="AD44" s="208" t="str">
        <f t="shared" si="6"/>
        <v/>
      </c>
      <c r="AE44" s="209" t="str">
        <f t="shared" si="18"/>
        <v/>
      </c>
      <c r="AF44" s="210" t="str">
        <f t="shared" si="7"/>
        <v/>
      </c>
      <c r="AG44" s="219" t="str">
        <f t="shared" si="8"/>
        <v/>
      </c>
      <c r="AH44" s="207" t="str">
        <f t="shared" si="9"/>
        <v/>
      </c>
    </row>
    <row r="45" spans="1:34" s="167" customFormat="1" ht="12.75" customHeight="1">
      <c r="A45" s="181">
        <v>38</v>
      </c>
      <c r="B45" s="177"/>
      <c r="C45" s="182"/>
      <c r="D45" s="179"/>
      <c r="E45" s="180" t="str">
        <f t="shared" si="10"/>
        <v/>
      </c>
      <c r="F45" s="179"/>
      <c r="G45" s="180" t="str">
        <f t="shared" si="11"/>
        <v/>
      </c>
      <c r="H45" s="179"/>
      <c r="I45" s="180" t="str">
        <f t="shared" si="12"/>
        <v/>
      </c>
      <c r="J45" s="179"/>
      <c r="K45" s="180" t="str">
        <f t="shared" si="13"/>
        <v/>
      </c>
      <c r="L45" s="179"/>
      <c r="M45" s="180" t="str">
        <f t="shared" si="14"/>
        <v/>
      </c>
      <c r="N45" s="179"/>
      <c r="O45" s="180" t="str">
        <f t="shared" si="15"/>
        <v/>
      </c>
      <c r="P45" s="179"/>
      <c r="Q45" s="192" t="str">
        <f t="shared" si="0"/>
        <v/>
      </c>
      <c r="R45" s="193"/>
      <c r="S45" s="179"/>
      <c r="T45" s="192" t="str">
        <f t="shared" si="16"/>
        <v/>
      </c>
      <c r="U45" s="193"/>
      <c r="V45" s="179"/>
      <c r="W45" s="192" t="str">
        <f t="shared" si="17"/>
        <v/>
      </c>
      <c r="X45" s="194"/>
      <c r="Y45" s="205" t="str">
        <f t="shared" si="1"/>
        <v/>
      </c>
      <c r="Z45" s="206" t="str">
        <f t="shared" si="2"/>
        <v/>
      </c>
      <c r="AA45" s="206" t="str">
        <f t="shared" si="3"/>
        <v/>
      </c>
      <c r="AB45" s="206" t="str">
        <f t="shared" si="4"/>
        <v/>
      </c>
      <c r="AC45" s="207" t="str">
        <f t="shared" si="5"/>
        <v/>
      </c>
      <c r="AD45" s="208" t="str">
        <f t="shared" si="6"/>
        <v/>
      </c>
      <c r="AE45" s="209" t="str">
        <f t="shared" si="18"/>
        <v/>
      </c>
      <c r="AF45" s="210" t="str">
        <f t="shared" si="7"/>
        <v/>
      </c>
      <c r="AG45" s="219" t="str">
        <f t="shared" si="8"/>
        <v/>
      </c>
      <c r="AH45" s="207" t="str">
        <f t="shared" si="9"/>
        <v/>
      </c>
    </row>
    <row r="46" spans="1:34" s="167" customFormat="1" ht="12.75" customHeight="1">
      <c r="A46" s="181">
        <v>39</v>
      </c>
      <c r="B46" s="177"/>
      <c r="C46" s="182"/>
      <c r="D46" s="179"/>
      <c r="E46" s="180" t="str">
        <f t="shared" si="10"/>
        <v/>
      </c>
      <c r="F46" s="179"/>
      <c r="G46" s="180" t="str">
        <f t="shared" si="11"/>
        <v/>
      </c>
      <c r="H46" s="179"/>
      <c r="I46" s="180" t="str">
        <f t="shared" si="12"/>
        <v/>
      </c>
      <c r="J46" s="179"/>
      <c r="K46" s="180" t="str">
        <f t="shared" si="13"/>
        <v/>
      </c>
      <c r="L46" s="179"/>
      <c r="M46" s="180" t="str">
        <f t="shared" si="14"/>
        <v/>
      </c>
      <c r="N46" s="179"/>
      <c r="O46" s="180" t="str">
        <f t="shared" si="15"/>
        <v/>
      </c>
      <c r="P46" s="179"/>
      <c r="Q46" s="192" t="str">
        <f t="shared" si="0"/>
        <v/>
      </c>
      <c r="R46" s="193"/>
      <c r="S46" s="179"/>
      <c r="T46" s="192" t="str">
        <f t="shared" si="16"/>
        <v/>
      </c>
      <c r="U46" s="193"/>
      <c r="V46" s="179"/>
      <c r="W46" s="192" t="str">
        <f t="shared" si="17"/>
        <v/>
      </c>
      <c r="X46" s="194"/>
      <c r="Y46" s="205" t="str">
        <f t="shared" si="1"/>
        <v/>
      </c>
      <c r="Z46" s="206" t="str">
        <f t="shared" si="2"/>
        <v/>
      </c>
      <c r="AA46" s="206" t="str">
        <f t="shared" si="3"/>
        <v/>
      </c>
      <c r="AB46" s="206" t="str">
        <f t="shared" si="4"/>
        <v/>
      </c>
      <c r="AC46" s="207" t="str">
        <f t="shared" si="5"/>
        <v/>
      </c>
      <c r="AD46" s="208" t="str">
        <f t="shared" si="6"/>
        <v/>
      </c>
      <c r="AE46" s="209" t="str">
        <f t="shared" si="18"/>
        <v/>
      </c>
      <c r="AF46" s="210" t="str">
        <f t="shared" si="7"/>
        <v/>
      </c>
      <c r="AG46" s="219" t="str">
        <f t="shared" si="8"/>
        <v/>
      </c>
      <c r="AH46" s="207" t="str">
        <f t="shared" si="9"/>
        <v/>
      </c>
    </row>
    <row r="47" spans="1:34" s="167" customFormat="1" ht="12.75" customHeight="1">
      <c r="A47" s="181">
        <v>40</v>
      </c>
      <c r="B47" s="177"/>
      <c r="C47" s="182"/>
      <c r="D47" s="179"/>
      <c r="E47" s="180" t="str">
        <f t="shared" si="10"/>
        <v/>
      </c>
      <c r="F47" s="179"/>
      <c r="G47" s="180" t="str">
        <f t="shared" si="11"/>
        <v/>
      </c>
      <c r="H47" s="179"/>
      <c r="I47" s="180" t="str">
        <f t="shared" si="12"/>
        <v/>
      </c>
      <c r="J47" s="179"/>
      <c r="K47" s="180" t="str">
        <f t="shared" si="13"/>
        <v/>
      </c>
      <c r="L47" s="179"/>
      <c r="M47" s="180" t="str">
        <f t="shared" si="14"/>
        <v/>
      </c>
      <c r="N47" s="179"/>
      <c r="O47" s="180" t="str">
        <f t="shared" si="15"/>
        <v/>
      </c>
      <c r="P47" s="179"/>
      <c r="Q47" s="192" t="str">
        <f t="shared" si="0"/>
        <v/>
      </c>
      <c r="R47" s="193"/>
      <c r="S47" s="179"/>
      <c r="T47" s="192" t="str">
        <f t="shared" si="16"/>
        <v/>
      </c>
      <c r="U47" s="193"/>
      <c r="V47" s="179"/>
      <c r="W47" s="192" t="str">
        <f t="shared" si="17"/>
        <v/>
      </c>
      <c r="X47" s="194"/>
      <c r="Y47" s="205" t="str">
        <f t="shared" si="1"/>
        <v/>
      </c>
      <c r="Z47" s="206" t="str">
        <f t="shared" si="2"/>
        <v/>
      </c>
      <c r="AA47" s="206" t="str">
        <f t="shared" si="3"/>
        <v/>
      </c>
      <c r="AB47" s="206" t="str">
        <f t="shared" si="4"/>
        <v/>
      </c>
      <c r="AC47" s="207" t="str">
        <f t="shared" si="5"/>
        <v/>
      </c>
      <c r="AD47" s="208" t="str">
        <f t="shared" si="6"/>
        <v/>
      </c>
      <c r="AE47" s="209" t="str">
        <f t="shared" si="18"/>
        <v/>
      </c>
      <c r="AF47" s="210" t="str">
        <f t="shared" si="7"/>
        <v/>
      </c>
      <c r="AG47" s="219" t="str">
        <f t="shared" si="8"/>
        <v/>
      </c>
      <c r="AH47" s="207" t="str">
        <f t="shared" si="9"/>
        <v/>
      </c>
    </row>
    <row r="48" spans="1:34" s="167" customFormat="1" ht="12.75" customHeight="1">
      <c r="A48" s="181">
        <v>41</v>
      </c>
      <c r="B48" s="177"/>
      <c r="C48" s="182"/>
      <c r="D48" s="179"/>
      <c r="E48" s="180" t="str">
        <f t="shared" si="10"/>
        <v/>
      </c>
      <c r="F48" s="179"/>
      <c r="G48" s="180" t="str">
        <f t="shared" si="11"/>
        <v/>
      </c>
      <c r="H48" s="179"/>
      <c r="I48" s="180" t="str">
        <f t="shared" si="12"/>
        <v/>
      </c>
      <c r="J48" s="179"/>
      <c r="K48" s="180" t="str">
        <f t="shared" si="13"/>
        <v/>
      </c>
      <c r="L48" s="179"/>
      <c r="M48" s="180" t="str">
        <f t="shared" si="14"/>
        <v/>
      </c>
      <c r="N48" s="179"/>
      <c r="O48" s="180" t="str">
        <f t="shared" si="15"/>
        <v/>
      </c>
      <c r="P48" s="179"/>
      <c r="Q48" s="192" t="str">
        <f t="shared" si="0"/>
        <v/>
      </c>
      <c r="R48" s="193"/>
      <c r="S48" s="179"/>
      <c r="T48" s="192" t="str">
        <f t="shared" si="16"/>
        <v/>
      </c>
      <c r="U48" s="193"/>
      <c r="V48" s="179"/>
      <c r="W48" s="192" t="str">
        <f t="shared" si="17"/>
        <v/>
      </c>
      <c r="X48" s="194"/>
      <c r="Y48" s="205" t="str">
        <f t="shared" si="1"/>
        <v/>
      </c>
      <c r="Z48" s="206" t="str">
        <f t="shared" si="2"/>
        <v/>
      </c>
      <c r="AA48" s="206" t="str">
        <f t="shared" si="3"/>
        <v/>
      </c>
      <c r="AB48" s="206" t="str">
        <f t="shared" si="4"/>
        <v/>
      </c>
      <c r="AC48" s="207" t="str">
        <f t="shared" si="5"/>
        <v/>
      </c>
      <c r="AD48" s="208" t="str">
        <f t="shared" si="6"/>
        <v/>
      </c>
      <c r="AE48" s="209" t="str">
        <f t="shared" si="18"/>
        <v/>
      </c>
      <c r="AF48" s="210" t="str">
        <f t="shared" si="7"/>
        <v/>
      </c>
      <c r="AG48" s="219" t="str">
        <f t="shared" si="8"/>
        <v/>
      </c>
      <c r="AH48" s="207" t="str">
        <f t="shared" si="9"/>
        <v/>
      </c>
    </row>
    <row r="49" spans="1:36" s="167" customFormat="1" ht="12.75" customHeight="1">
      <c r="A49" s="181">
        <v>42</v>
      </c>
      <c r="B49" s="177"/>
      <c r="C49" s="182"/>
      <c r="D49" s="179"/>
      <c r="E49" s="180" t="str">
        <f t="shared" si="10"/>
        <v/>
      </c>
      <c r="F49" s="179"/>
      <c r="G49" s="180" t="str">
        <f t="shared" si="11"/>
        <v/>
      </c>
      <c r="H49" s="179"/>
      <c r="I49" s="180" t="str">
        <f t="shared" si="12"/>
        <v/>
      </c>
      <c r="J49" s="179"/>
      <c r="K49" s="180" t="str">
        <f t="shared" si="13"/>
        <v/>
      </c>
      <c r="L49" s="179"/>
      <c r="M49" s="180" t="str">
        <f t="shared" si="14"/>
        <v/>
      </c>
      <c r="N49" s="179"/>
      <c r="O49" s="180" t="str">
        <f t="shared" si="15"/>
        <v/>
      </c>
      <c r="P49" s="179"/>
      <c r="Q49" s="192" t="str">
        <f t="shared" si="0"/>
        <v/>
      </c>
      <c r="R49" s="193"/>
      <c r="S49" s="179"/>
      <c r="T49" s="192" t="str">
        <f t="shared" si="16"/>
        <v/>
      </c>
      <c r="U49" s="193"/>
      <c r="V49" s="179"/>
      <c r="W49" s="192" t="str">
        <f t="shared" si="17"/>
        <v/>
      </c>
      <c r="X49" s="194"/>
      <c r="Y49" s="205" t="str">
        <f t="shared" si="1"/>
        <v/>
      </c>
      <c r="Z49" s="206" t="str">
        <f t="shared" si="2"/>
        <v/>
      </c>
      <c r="AA49" s="206" t="str">
        <f t="shared" si="3"/>
        <v/>
      </c>
      <c r="AB49" s="206" t="str">
        <f t="shared" si="4"/>
        <v/>
      </c>
      <c r="AC49" s="207" t="str">
        <f t="shared" si="5"/>
        <v/>
      </c>
      <c r="AD49" s="208" t="str">
        <f t="shared" si="6"/>
        <v/>
      </c>
      <c r="AE49" s="209" t="str">
        <f t="shared" si="18"/>
        <v/>
      </c>
      <c r="AF49" s="210" t="str">
        <f t="shared" si="7"/>
        <v/>
      </c>
      <c r="AG49" s="219" t="str">
        <f t="shared" si="8"/>
        <v/>
      </c>
      <c r="AH49" s="207" t="str">
        <f t="shared" si="9"/>
        <v/>
      </c>
    </row>
    <row r="50" spans="1:36" s="167" customFormat="1" ht="12.75" customHeight="1">
      <c r="A50" s="181">
        <v>43</v>
      </c>
      <c r="B50" s="177"/>
      <c r="C50" s="182"/>
      <c r="D50" s="179"/>
      <c r="E50" s="180" t="str">
        <f t="shared" si="10"/>
        <v/>
      </c>
      <c r="F50" s="179"/>
      <c r="G50" s="180" t="str">
        <f t="shared" si="11"/>
        <v/>
      </c>
      <c r="H50" s="179"/>
      <c r="I50" s="180" t="str">
        <f t="shared" si="12"/>
        <v/>
      </c>
      <c r="J50" s="179"/>
      <c r="K50" s="180" t="str">
        <f t="shared" si="13"/>
        <v/>
      </c>
      <c r="L50" s="179"/>
      <c r="M50" s="180" t="str">
        <f t="shared" si="14"/>
        <v/>
      </c>
      <c r="N50" s="179"/>
      <c r="O50" s="180" t="str">
        <f t="shared" si="15"/>
        <v/>
      </c>
      <c r="P50" s="179"/>
      <c r="Q50" s="192" t="str">
        <f t="shared" si="0"/>
        <v/>
      </c>
      <c r="R50" s="193"/>
      <c r="S50" s="179"/>
      <c r="T50" s="192" t="str">
        <f t="shared" si="16"/>
        <v/>
      </c>
      <c r="U50" s="193"/>
      <c r="V50" s="179"/>
      <c r="W50" s="192" t="str">
        <f t="shared" si="17"/>
        <v/>
      </c>
      <c r="X50" s="194"/>
      <c r="Y50" s="205" t="str">
        <f t="shared" si="1"/>
        <v/>
      </c>
      <c r="Z50" s="206" t="str">
        <f t="shared" si="2"/>
        <v/>
      </c>
      <c r="AA50" s="206" t="str">
        <f t="shared" si="3"/>
        <v/>
      </c>
      <c r="AB50" s="206" t="str">
        <f t="shared" si="4"/>
        <v/>
      </c>
      <c r="AC50" s="207" t="str">
        <f t="shared" si="5"/>
        <v/>
      </c>
      <c r="AD50" s="208" t="str">
        <f t="shared" si="6"/>
        <v/>
      </c>
      <c r="AE50" s="209" t="str">
        <f t="shared" si="18"/>
        <v/>
      </c>
      <c r="AF50" s="210" t="str">
        <f t="shared" si="7"/>
        <v/>
      </c>
      <c r="AG50" s="219" t="str">
        <f t="shared" si="8"/>
        <v/>
      </c>
      <c r="AH50" s="207" t="str">
        <f t="shared" si="9"/>
        <v/>
      </c>
    </row>
    <row r="51" spans="1:36" s="167" customFormat="1" ht="12.75" customHeight="1">
      <c r="A51" s="181">
        <v>44</v>
      </c>
      <c r="B51" s="177"/>
      <c r="C51" s="182"/>
      <c r="D51" s="179"/>
      <c r="E51" s="180" t="str">
        <f t="shared" si="10"/>
        <v/>
      </c>
      <c r="F51" s="179"/>
      <c r="G51" s="180" t="str">
        <f t="shared" si="11"/>
        <v/>
      </c>
      <c r="H51" s="179"/>
      <c r="I51" s="180" t="str">
        <f t="shared" si="12"/>
        <v/>
      </c>
      <c r="J51" s="179"/>
      <c r="K51" s="180" t="str">
        <f t="shared" si="13"/>
        <v/>
      </c>
      <c r="L51" s="179"/>
      <c r="M51" s="180" t="str">
        <f t="shared" si="14"/>
        <v/>
      </c>
      <c r="N51" s="179"/>
      <c r="O51" s="180" t="str">
        <f t="shared" si="15"/>
        <v/>
      </c>
      <c r="P51" s="179"/>
      <c r="Q51" s="192" t="str">
        <f t="shared" si="0"/>
        <v/>
      </c>
      <c r="R51" s="193"/>
      <c r="S51" s="179"/>
      <c r="T51" s="192" t="str">
        <f t="shared" si="16"/>
        <v/>
      </c>
      <c r="U51" s="193"/>
      <c r="V51" s="179"/>
      <c r="W51" s="192" t="str">
        <f t="shared" si="17"/>
        <v/>
      </c>
      <c r="X51" s="194"/>
      <c r="Y51" s="205" t="str">
        <f t="shared" si="1"/>
        <v/>
      </c>
      <c r="Z51" s="206" t="str">
        <f t="shared" si="2"/>
        <v/>
      </c>
      <c r="AA51" s="206" t="str">
        <f t="shared" si="3"/>
        <v/>
      </c>
      <c r="AB51" s="206" t="str">
        <f t="shared" si="4"/>
        <v/>
      </c>
      <c r="AC51" s="207" t="str">
        <f t="shared" si="5"/>
        <v/>
      </c>
      <c r="AD51" s="208" t="str">
        <f t="shared" si="6"/>
        <v/>
      </c>
      <c r="AE51" s="209" t="str">
        <f t="shared" si="18"/>
        <v/>
      </c>
      <c r="AF51" s="210" t="str">
        <f t="shared" si="7"/>
        <v/>
      </c>
      <c r="AG51" s="219" t="str">
        <f t="shared" si="8"/>
        <v/>
      </c>
      <c r="AH51" s="207" t="str">
        <f t="shared" si="9"/>
        <v/>
      </c>
    </row>
    <row r="52" spans="1:36" s="167" customFormat="1" ht="12.75" customHeight="1">
      <c r="A52" s="181">
        <v>45</v>
      </c>
      <c r="B52" s="177"/>
      <c r="C52" s="182"/>
      <c r="D52" s="179"/>
      <c r="E52" s="180" t="str">
        <f t="shared" si="10"/>
        <v/>
      </c>
      <c r="F52" s="179"/>
      <c r="G52" s="180" t="str">
        <f t="shared" si="11"/>
        <v/>
      </c>
      <c r="H52" s="179"/>
      <c r="I52" s="180" t="str">
        <f t="shared" si="12"/>
        <v/>
      </c>
      <c r="J52" s="179"/>
      <c r="K52" s="180" t="str">
        <f t="shared" si="13"/>
        <v/>
      </c>
      <c r="L52" s="179"/>
      <c r="M52" s="180" t="str">
        <f t="shared" si="14"/>
        <v/>
      </c>
      <c r="N52" s="179"/>
      <c r="O52" s="180" t="str">
        <f t="shared" si="15"/>
        <v/>
      </c>
      <c r="P52" s="179"/>
      <c r="Q52" s="192" t="str">
        <f t="shared" si="0"/>
        <v/>
      </c>
      <c r="R52" s="193"/>
      <c r="S52" s="179"/>
      <c r="T52" s="192" t="str">
        <f t="shared" si="16"/>
        <v/>
      </c>
      <c r="U52" s="193"/>
      <c r="V52" s="179"/>
      <c r="W52" s="192" t="str">
        <f t="shared" si="17"/>
        <v/>
      </c>
      <c r="X52" s="194"/>
      <c r="Y52" s="205" t="str">
        <f t="shared" si="1"/>
        <v/>
      </c>
      <c r="Z52" s="206" t="str">
        <f t="shared" si="2"/>
        <v/>
      </c>
      <c r="AA52" s="206" t="str">
        <f t="shared" si="3"/>
        <v/>
      </c>
      <c r="AB52" s="206" t="str">
        <f t="shared" si="4"/>
        <v/>
      </c>
      <c r="AC52" s="207" t="str">
        <f t="shared" si="5"/>
        <v/>
      </c>
      <c r="AD52" s="208" t="str">
        <f t="shared" si="6"/>
        <v/>
      </c>
      <c r="AE52" s="209" t="str">
        <f t="shared" si="18"/>
        <v/>
      </c>
      <c r="AF52" s="210" t="str">
        <f t="shared" si="7"/>
        <v/>
      </c>
      <c r="AG52" s="219" t="str">
        <f t="shared" si="8"/>
        <v/>
      </c>
      <c r="AH52" s="207" t="str">
        <f t="shared" si="9"/>
        <v/>
      </c>
    </row>
    <row r="53" spans="1:36" s="167" customFormat="1" ht="12.75" customHeight="1">
      <c r="A53" s="181">
        <v>46</v>
      </c>
      <c r="B53" s="177"/>
      <c r="C53" s="182"/>
      <c r="D53" s="179"/>
      <c r="E53" s="180" t="str">
        <f t="shared" si="10"/>
        <v/>
      </c>
      <c r="F53" s="179"/>
      <c r="G53" s="180" t="str">
        <f t="shared" si="11"/>
        <v/>
      </c>
      <c r="H53" s="179"/>
      <c r="I53" s="180" t="str">
        <f t="shared" si="12"/>
        <v/>
      </c>
      <c r="J53" s="179"/>
      <c r="K53" s="180" t="str">
        <f t="shared" si="13"/>
        <v/>
      </c>
      <c r="L53" s="179"/>
      <c r="M53" s="180" t="str">
        <f t="shared" si="14"/>
        <v/>
      </c>
      <c r="N53" s="179"/>
      <c r="O53" s="180" t="str">
        <f t="shared" si="15"/>
        <v/>
      </c>
      <c r="P53" s="179"/>
      <c r="Q53" s="192" t="str">
        <f t="shared" si="0"/>
        <v/>
      </c>
      <c r="R53" s="193"/>
      <c r="S53" s="179"/>
      <c r="T53" s="192" t="str">
        <f t="shared" si="16"/>
        <v/>
      </c>
      <c r="U53" s="193"/>
      <c r="V53" s="179"/>
      <c r="W53" s="192" t="str">
        <f t="shared" si="17"/>
        <v/>
      </c>
      <c r="X53" s="194"/>
      <c r="Y53" s="205" t="str">
        <f t="shared" si="1"/>
        <v/>
      </c>
      <c r="Z53" s="206" t="str">
        <f t="shared" si="2"/>
        <v/>
      </c>
      <c r="AA53" s="206" t="str">
        <f t="shared" si="3"/>
        <v/>
      </c>
      <c r="AB53" s="206" t="str">
        <f t="shared" si="4"/>
        <v/>
      </c>
      <c r="AC53" s="207" t="str">
        <f t="shared" si="5"/>
        <v/>
      </c>
      <c r="AD53" s="208" t="str">
        <f t="shared" si="6"/>
        <v/>
      </c>
      <c r="AE53" s="209" t="str">
        <f t="shared" si="18"/>
        <v/>
      </c>
      <c r="AF53" s="210" t="str">
        <f t="shared" si="7"/>
        <v/>
      </c>
      <c r="AG53" s="219" t="str">
        <f t="shared" si="8"/>
        <v/>
      </c>
      <c r="AH53" s="207" t="str">
        <f t="shared" si="9"/>
        <v/>
      </c>
    </row>
    <row r="54" spans="1:36" s="167" customFormat="1" ht="12.75" customHeight="1">
      <c r="A54" s="181">
        <v>47</v>
      </c>
      <c r="B54" s="177"/>
      <c r="C54" s="182"/>
      <c r="D54" s="179"/>
      <c r="E54" s="180" t="str">
        <f t="shared" si="10"/>
        <v/>
      </c>
      <c r="F54" s="179"/>
      <c r="G54" s="180" t="str">
        <f t="shared" si="11"/>
        <v/>
      </c>
      <c r="H54" s="179"/>
      <c r="I54" s="180" t="str">
        <f t="shared" si="12"/>
        <v/>
      </c>
      <c r="J54" s="179"/>
      <c r="K54" s="180" t="str">
        <f t="shared" si="13"/>
        <v/>
      </c>
      <c r="L54" s="179"/>
      <c r="M54" s="180" t="str">
        <f t="shared" si="14"/>
        <v/>
      </c>
      <c r="N54" s="179"/>
      <c r="O54" s="180" t="str">
        <f t="shared" si="15"/>
        <v/>
      </c>
      <c r="P54" s="179"/>
      <c r="Q54" s="192" t="str">
        <f t="shared" si="0"/>
        <v/>
      </c>
      <c r="R54" s="193"/>
      <c r="S54" s="179"/>
      <c r="T54" s="192" t="str">
        <f t="shared" si="16"/>
        <v/>
      </c>
      <c r="U54" s="193"/>
      <c r="V54" s="179"/>
      <c r="W54" s="192" t="str">
        <f t="shared" si="17"/>
        <v/>
      </c>
      <c r="X54" s="194"/>
      <c r="Y54" s="205" t="str">
        <f t="shared" si="1"/>
        <v/>
      </c>
      <c r="Z54" s="206" t="str">
        <f t="shared" si="2"/>
        <v/>
      </c>
      <c r="AA54" s="206" t="str">
        <f t="shared" si="3"/>
        <v/>
      </c>
      <c r="AB54" s="206" t="str">
        <f t="shared" si="4"/>
        <v/>
      </c>
      <c r="AC54" s="207" t="str">
        <f t="shared" si="5"/>
        <v/>
      </c>
      <c r="AD54" s="208" t="str">
        <f t="shared" si="6"/>
        <v/>
      </c>
      <c r="AE54" s="209" t="str">
        <f t="shared" si="18"/>
        <v/>
      </c>
      <c r="AF54" s="210" t="str">
        <f t="shared" si="7"/>
        <v/>
      </c>
      <c r="AG54" s="219" t="str">
        <f t="shared" si="8"/>
        <v/>
      </c>
      <c r="AH54" s="207" t="str">
        <f t="shared" si="9"/>
        <v/>
      </c>
    </row>
    <row r="55" spans="1:36" s="167" customFormat="1" ht="12.75" customHeight="1">
      <c r="A55" s="181">
        <v>48</v>
      </c>
      <c r="B55" s="177"/>
      <c r="C55" s="182"/>
      <c r="D55" s="179"/>
      <c r="E55" s="180" t="str">
        <f t="shared" si="10"/>
        <v/>
      </c>
      <c r="F55" s="179"/>
      <c r="G55" s="180" t="str">
        <f t="shared" si="11"/>
        <v/>
      </c>
      <c r="H55" s="179"/>
      <c r="I55" s="180" t="str">
        <f t="shared" si="12"/>
        <v/>
      </c>
      <c r="J55" s="179"/>
      <c r="K55" s="180" t="str">
        <f t="shared" si="13"/>
        <v/>
      </c>
      <c r="L55" s="179"/>
      <c r="M55" s="180" t="str">
        <f t="shared" si="14"/>
        <v/>
      </c>
      <c r="N55" s="179"/>
      <c r="O55" s="180" t="str">
        <f t="shared" si="15"/>
        <v/>
      </c>
      <c r="P55" s="179"/>
      <c r="Q55" s="192" t="str">
        <f t="shared" si="0"/>
        <v/>
      </c>
      <c r="R55" s="193"/>
      <c r="S55" s="179"/>
      <c r="T55" s="192" t="str">
        <f t="shared" si="16"/>
        <v/>
      </c>
      <c r="U55" s="193"/>
      <c r="V55" s="179"/>
      <c r="W55" s="192" t="str">
        <f t="shared" si="17"/>
        <v/>
      </c>
      <c r="X55" s="194"/>
      <c r="Y55" s="205" t="str">
        <f t="shared" si="1"/>
        <v/>
      </c>
      <c r="Z55" s="206" t="str">
        <f t="shared" si="2"/>
        <v/>
      </c>
      <c r="AA55" s="206" t="str">
        <f t="shared" si="3"/>
        <v/>
      </c>
      <c r="AB55" s="206" t="str">
        <f t="shared" si="4"/>
        <v/>
      </c>
      <c r="AC55" s="207" t="str">
        <f t="shared" si="5"/>
        <v/>
      </c>
      <c r="AD55" s="208" t="str">
        <f t="shared" si="6"/>
        <v/>
      </c>
      <c r="AE55" s="209" t="str">
        <f t="shared" si="18"/>
        <v/>
      </c>
      <c r="AF55" s="210" t="str">
        <f t="shared" si="7"/>
        <v/>
      </c>
      <c r="AG55" s="219" t="str">
        <f t="shared" si="8"/>
        <v/>
      </c>
      <c r="AH55" s="207" t="str">
        <f t="shared" si="9"/>
        <v/>
      </c>
    </row>
    <row r="56" spans="1:36" s="167" customFormat="1" ht="12.75" customHeight="1">
      <c r="A56" s="181">
        <v>49</v>
      </c>
      <c r="B56" s="177"/>
      <c r="C56" s="182"/>
      <c r="D56" s="179"/>
      <c r="E56" s="180" t="str">
        <f t="shared" si="10"/>
        <v/>
      </c>
      <c r="F56" s="179"/>
      <c r="G56" s="180" t="str">
        <f t="shared" si="11"/>
        <v/>
      </c>
      <c r="H56" s="179"/>
      <c r="I56" s="180" t="str">
        <f t="shared" si="12"/>
        <v/>
      </c>
      <c r="J56" s="179"/>
      <c r="K56" s="180" t="str">
        <f t="shared" si="13"/>
        <v/>
      </c>
      <c r="L56" s="179"/>
      <c r="M56" s="180" t="str">
        <f t="shared" si="14"/>
        <v/>
      </c>
      <c r="N56" s="179"/>
      <c r="O56" s="180" t="str">
        <f t="shared" si="15"/>
        <v/>
      </c>
      <c r="P56" s="179"/>
      <c r="Q56" s="192" t="str">
        <f t="shared" si="0"/>
        <v/>
      </c>
      <c r="R56" s="193"/>
      <c r="S56" s="179"/>
      <c r="T56" s="192" t="str">
        <f t="shared" si="16"/>
        <v/>
      </c>
      <c r="U56" s="193"/>
      <c r="V56" s="179"/>
      <c r="W56" s="192" t="str">
        <f t="shared" si="17"/>
        <v/>
      </c>
      <c r="X56" s="194"/>
      <c r="Y56" s="205" t="str">
        <f t="shared" si="1"/>
        <v/>
      </c>
      <c r="Z56" s="206" t="str">
        <f t="shared" si="2"/>
        <v/>
      </c>
      <c r="AA56" s="206" t="str">
        <f t="shared" si="3"/>
        <v/>
      </c>
      <c r="AB56" s="206" t="str">
        <f t="shared" si="4"/>
        <v/>
      </c>
      <c r="AC56" s="207" t="str">
        <f t="shared" si="5"/>
        <v/>
      </c>
      <c r="AD56" s="208" t="str">
        <f t="shared" si="6"/>
        <v/>
      </c>
      <c r="AE56" s="209" t="str">
        <f t="shared" si="18"/>
        <v/>
      </c>
      <c r="AF56" s="210" t="str">
        <f t="shared" si="7"/>
        <v/>
      </c>
      <c r="AG56" s="219" t="str">
        <f t="shared" si="8"/>
        <v/>
      </c>
      <c r="AH56" s="207" t="str">
        <f t="shared" si="9"/>
        <v/>
      </c>
    </row>
    <row r="57" spans="1:36" s="167" customFormat="1" ht="12.75" customHeight="1">
      <c r="A57" s="181">
        <v>50</v>
      </c>
      <c r="B57" s="177"/>
      <c r="C57" s="182"/>
      <c r="D57" s="179"/>
      <c r="E57" s="180" t="str">
        <f t="shared" si="10"/>
        <v/>
      </c>
      <c r="F57" s="179"/>
      <c r="G57" s="180" t="str">
        <f t="shared" si="11"/>
        <v/>
      </c>
      <c r="H57" s="179"/>
      <c r="I57" s="180" t="str">
        <f t="shared" si="12"/>
        <v/>
      </c>
      <c r="J57" s="179"/>
      <c r="K57" s="180" t="str">
        <f t="shared" si="13"/>
        <v/>
      </c>
      <c r="L57" s="179"/>
      <c r="M57" s="180" t="str">
        <f t="shared" si="14"/>
        <v/>
      </c>
      <c r="N57" s="179"/>
      <c r="O57" s="180" t="str">
        <f t="shared" si="15"/>
        <v/>
      </c>
      <c r="P57" s="179"/>
      <c r="Q57" s="192" t="str">
        <f t="shared" si="0"/>
        <v/>
      </c>
      <c r="R57" s="193"/>
      <c r="S57" s="179"/>
      <c r="T57" s="192" t="str">
        <f t="shared" si="16"/>
        <v/>
      </c>
      <c r="U57" s="193"/>
      <c r="V57" s="179"/>
      <c r="W57" s="192" t="str">
        <f t="shared" si="17"/>
        <v/>
      </c>
      <c r="X57" s="194"/>
      <c r="Y57" s="205" t="str">
        <f t="shared" si="1"/>
        <v/>
      </c>
      <c r="Z57" s="206" t="str">
        <f t="shared" si="2"/>
        <v/>
      </c>
      <c r="AA57" s="206" t="str">
        <f t="shared" si="3"/>
        <v/>
      </c>
      <c r="AB57" s="206" t="str">
        <f t="shared" si="4"/>
        <v/>
      </c>
      <c r="AC57" s="207" t="str">
        <f t="shared" si="5"/>
        <v/>
      </c>
      <c r="AD57" s="208" t="str">
        <f t="shared" si="6"/>
        <v/>
      </c>
      <c r="AE57" s="209" t="str">
        <f t="shared" si="18"/>
        <v/>
      </c>
      <c r="AF57" s="210" t="str">
        <f t="shared" si="7"/>
        <v/>
      </c>
      <c r="AG57" s="219" t="str">
        <f t="shared" si="8"/>
        <v/>
      </c>
      <c r="AH57" s="207" t="str">
        <f t="shared" si="9"/>
        <v/>
      </c>
    </row>
    <row r="58" spans="1:36" s="167" customFormat="1" ht="12.75" customHeight="1">
      <c r="A58" s="181">
        <v>51</v>
      </c>
      <c r="B58" s="177"/>
      <c r="C58" s="182"/>
      <c r="D58" s="179"/>
      <c r="E58" s="180" t="str">
        <f t="shared" si="10"/>
        <v/>
      </c>
      <c r="F58" s="179"/>
      <c r="G58" s="180" t="str">
        <f t="shared" si="11"/>
        <v/>
      </c>
      <c r="H58" s="179"/>
      <c r="I58" s="180" t="str">
        <f t="shared" si="12"/>
        <v/>
      </c>
      <c r="J58" s="179"/>
      <c r="K58" s="180" t="str">
        <f t="shared" si="13"/>
        <v/>
      </c>
      <c r="L58" s="179"/>
      <c r="M58" s="180" t="str">
        <f t="shared" si="14"/>
        <v/>
      </c>
      <c r="N58" s="179"/>
      <c r="O58" s="180" t="str">
        <f t="shared" si="15"/>
        <v/>
      </c>
      <c r="P58" s="179"/>
      <c r="Q58" s="192" t="str">
        <f t="shared" si="0"/>
        <v/>
      </c>
      <c r="R58" s="193"/>
      <c r="S58" s="179"/>
      <c r="T58" s="192" t="str">
        <f t="shared" si="16"/>
        <v/>
      </c>
      <c r="U58" s="193"/>
      <c r="V58" s="179"/>
      <c r="W58" s="192" t="str">
        <f t="shared" si="17"/>
        <v/>
      </c>
      <c r="X58" s="194"/>
      <c r="Y58" s="205" t="str">
        <f t="shared" si="1"/>
        <v/>
      </c>
      <c r="Z58" s="206" t="str">
        <f t="shared" si="2"/>
        <v/>
      </c>
      <c r="AA58" s="206" t="str">
        <f t="shared" si="3"/>
        <v/>
      </c>
      <c r="AB58" s="206" t="str">
        <f t="shared" si="4"/>
        <v/>
      </c>
      <c r="AC58" s="207" t="str">
        <f t="shared" si="5"/>
        <v/>
      </c>
      <c r="AD58" s="208" t="str">
        <f t="shared" si="6"/>
        <v/>
      </c>
      <c r="AE58" s="209" t="str">
        <f t="shared" si="18"/>
        <v/>
      </c>
      <c r="AF58" s="210" t="str">
        <f t="shared" si="7"/>
        <v/>
      </c>
      <c r="AG58" s="219" t="str">
        <f t="shared" si="8"/>
        <v/>
      </c>
      <c r="AH58" s="207" t="str">
        <f t="shared" si="9"/>
        <v/>
      </c>
    </row>
    <row r="59" spans="1:36" s="167" customFormat="1" ht="12.75" customHeight="1">
      <c r="A59" s="181">
        <v>52</v>
      </c>
      <c r="B59" s="177"/>
      <c r="C59" s="182"/>
      <c r="D59" s="179"/>
      <c r="E59" s="180" t="str">
        <f t="shared" si="10"/>
        <v/>
      </c>
      <c r="F59" s="179"/>
      <c r="G59" s="180" t="str">
        <f t="shared" si="11"/>
        <v/>
      </c>
      <c r="H59" s="179"/>
      <c r="I59" s="180" t="str">
        <f t="shared" si="12"/>
        <v/>
      </c>
      <c r="J59" s="179"/>
      <c r="K59" s="180" t="str">
        <f t="shared" si="13"/>
        <v/>
      </c>
      <c r="L59" s="179"/>
      <c r="M59" s="180" t="str">
        <f t="shared" si="14"/>
        <v/>
      </c>
      <c r="N59" s="179"/>
      <c r="O59" s="180" t="str">
        <f t="shared" si="15"/>
        <v/>
      </c>
      <c r="P59" s="179"/>
      <c r="Q59" s="192" t="str">
        <f t="shared" si="0"/>
        <v/>
      </c>
      <c r="R59" s="193"/>
      <c r="S59" s="179"/>
      <c r="T59" s="192" t="str">
        <f t="shared" si="16"/>
        <v/>
      </c>
      <c r="U59" s="193"/>
      <c r="V59" s="179"/>
      <c r="W59" s="192" t="str">
        <f t="shared" si="17"/>
        <v/>
      </c>
      <c r="X59" s="194"/>
      <c r="Y59" s="205" t="str">
        <f t="shared" si="1"/>
        <v/>
      </c>
      <c r="Z59" s="206" t="str">
        <f t="shared" si="2"/>
        <v/>
      </c>
      <c r="AA59" s="206" t="str">
        <f t="shared" si="3"/>
        <v/>
      </c>
      <c r="AB59" s="206" t="str">
        <f t="shared" si="4"/>
        <v/>
      </c>
      <c r="AC59" s="207" t="str">
        <f t="shared" si="5"/>
        <v/>
      </c>
      <c r="AD59" s="208" t="str">
        <f t="shared" si="6"/>
        <v/>
      </c>
      <c r="AE59" s="209" t="str">
        <f t="shared" si="18"/>
        <v/>
      </c>
      <c r="AF59" s="210" t="str">
        <f t="shared" si="7"/>
        <v/>
      </c>
      <c r="AG59" s="219" t="str">
        <f t="shared" si="8"/>
        <v/>
      </c>
      <c r="AH59" s="207" t="str">
        <f t="shared" si="9"/>
        <v/>
      </c>
    </row>
    <row r="60" spans="1:36" s="167" customFormat="1" ht="12.75" customHeight="1">
      <c r="A60" s="181">
        <v>53</v>
      </c>
      <c r="B60" s="177"/>
      <c r="C60" s="182"/>
      <c r="D60" s="179"/>
      <c r="E60" s="180" t="str">
        <f t="shared" si="10"/>
        <v/>
      </c>
      <c r="F60" s="179"/>
      <c r="G60" s="180" t="str">
        <f t="shared" si="11"/>
        <v/>
      </c>
      <c r="H60" s="179"/>
      <c r="I60" s="180" t="str">
        <f t="shared" si="12"/>
        <v/>
      </c>
      <c r="J60" s="179"/>
      <c r="K60" s="180" t="str">
        <f t="shared" si="13"/>
        <v/>
      </c>
      <c r="L60" s="179"/>
      <c r="M60" s="180" t="str">
        <f t="shared" si="14"/>
        <v/>
      </c>
      <c r="N60" s="179"/>
      <c r="O60" s="180" t="str">
        <f t="shared" si="15"/>
        <v/>
      </c>
      <c r="P60" s="179"/>
      <c r="Q60" s="192" t="str">
        <f t="shared" si="0"/>
        <v/>
      </c>
      <c r="R60" s="193"/>
      <c r="S60" s="179"/>
      <c r="T60" s="192" t="str">
        <f t="shared" si="16"/>
        <v/>
      </c>
      <c r="U60" s="193"/>
      <c r="V60" s="179"/>
      <c r="W60" s="192" t="str">
        <f t="shared" si="17"/>
        <v/>
      </c>
      <c r="X60" s="194"/>
      <c r="Y60" s="205" t="str">
        <f t="shared" si="1"/>
        <v/>
      </c>
      <c r="Z60" s="206" t="str">
        <f t="shared" si="2"/>
        <v/>
      </c>
      <c r="AA60" s="206" t="str">
        <f t="shared" si="3"/>
        <v/>
      </c>
      <c r="AB60" s="206" t="str">
        <f t="shared" si="4"/>
        <v/>
      </c>
      <c r="AC60" s="207" t="str">
        <f t="shared" si="5"/>
        <v/>
      </c>
      <c r="AD60" s="208" t="str">
        <f t="shared" si="6"/>
        <v/>
      </c>
      <c r="AE60" s="209" t="str">
        <f t="shared" si="18"/>
        <v/>
      </c>
      <c r="AF60" s="210" t="str">
        <f t="shared" si="7"/>
        <v/>
      </c>
      <c r="AG60" s="219" t="str">
        <f t="shared" si="8"/>
        <v/>
      </c>
      <c r="AH60" s="207" t="str">
        <f t="shared" si="9"/>
        <v/>
      </c>
    </row>
    <row r="61" spans="1:36" s="167" customFormat="1" ht="12.75" customHeight="1">
      <c r="A61" s="181">
        <v>54</v>
      </c>
      <c r="B61" s="177"/>
      <c r="C61" s="182"/>
      <c r="D61" s="179"/>
      <c r="E61" s="180" t="str">
        <f t="shared" si="10"/>
        <v/>
      </c>
      <c r="F61" s="179"/>
      <c r="G61" s="180" t="str">
        <f t="shared" si="11"/>
        <v/>
      </c>
      <c r="H61" s="179"/>
      <c r="I61" s="180" t="str">
        <f t="shared" si="12"/>
        <v/>
      </c>
      <c r="J61" s="179"/>
      <c r="K61" s="180" t="str">
        <f t="shared" si="13"/>
        <v/>
      </c>
      <c r="L61" s="179"/>
      <c r="M61" s="180" t="str">
        <f t="shared" si="14"/>
        <v/>
      </c>
      <c r="N61" s="179"/>
      <c r="O61" s="180" t="str">
        <f t="shared" si="15"/>
        <v/>
      </c>
      <c r="P61" s="179"/>
      <c r="Q61" s="192" t="str">
        <f t="shared" si="0"/>
        <v/>
      </c>
      <c r="R61" s="193"/>
      <c r="S61" s="179"/>
      <c r="T61" s="192" t="str">
        <f t="shared" si="16"/>
        <v/>
      </c>
      <c r="U61" s="193"/>
      <c r="V61" s="179"/>
      <c r="W61" s="192" t="str">
        <f t="shared" si="17"/>
        <v/>
      </c>
      <c r="X61" s="194"/>
      <c r="Y61" s="205" t="str">
        <f t="shared" si="1"/>
        <v/>
      </c>
      <c r="Z61" s="206" t="str">
        <f t="shared" si="2"/>
        <v/>
      </c>
      <c r="AA61" s="206" t="str">
        <f t="shared" si="3"/>
        <v/>
      </c>
      <c r="AB61" s="206" t="str">
        <f t="shared" si="4"/>
        <v/>
      </c>
      <c r="AC61" s="207" t="str">
        <f t="shared" si="5"/>
        <v/>
      </c>
      <c r="AD61" s="208" t="str">
        <f t="shared" si="6"/>
        <v/>
      </c>
      <c r="AE61" s="209" t="str">
        <f t="shared" si="18"/>
        <v/>
      </c>
      <c r="AF61" s="210" t="str">
        <f t="shared" si="7"/>
        <v/>
      </c>
      <c r="AG61" s="219" t="str">
        <f t="shared" si="8"/>
        <v/>
      </c>
      <c r="AH61" s="207" t="str">
        <f t="shared" si="9"/>
        <v/>
      </c>
    </row>
    <row r="62" spans="1:36" s="167" customFormat="1" ht="12.75" customHeight="1">
      <c r="A62" s="181">
        <v>55</v>
      </c>
      <c r="B62" s="177"/>
      <c r="C62" s="182"/>
      <c r="D62" s="179"/>
      <c r="E62" s="180" t="str">
        <f t="shared" si="10"/>
        <v/>
      </c>
      <c r="F62" s="179"/>
      <c r="G62" s="180" t="str">
        <f t="shared" si="11"/>
        <v/>
      </c>
      <c r="H62" s="179"/>
      <c r="I62" s="180" t="str">
        <f t="shared" si="12"/>
        <v/>
      </c>
      <c r="J62" s="179"/>
      <c r="K62" s="180" t="str">
        <f t="shared" si="13"/>
        <v/>
      </c>
      <c r="L62" s="179"/>
      <c r="M62" s="180" t="str">
        <f t="shared" si="14"/>
        <v/>
      </c>
      <c r="N62" s="179"/>
      <c r="O62" s="185" t="str">
        <f t="shared" si="15"/>
        <v/>
      </c>
      <c r="P62" s="179"/>
      <c r="Q62" s="195" t="str">
        <f t="shared" si="0"/>
        <v/>
      </c>
      <c r="R62" s="196"/>
      <c r="S62" s="179"/>
      <c r="T62" s="195" t="str">
        <f t="shared" si="16"/>
        <v/>
      </c>
      <c r="U62" s="196"/>
      <c r="V62" s="179"/>
      <c r="W62" s="195" t="str">
        <f t="shared" si="17"/>
        <v/>
      </c>
      <c r="X62" s="197"/>
      <c r="Y62" s="211" t="str">
        <f t="shared" si="1"/>
        <v/>
      </c>
      <c r="Z62" s="212" t="str">
        <f t="shared" si="2"/>
        <v/>
      </c>
      <c r="AA62" s="212" t="str">
        <f t="shared" si="3"/>
        <v/>
      </c>
      <c r="AB62" s="212" t="str">
        <f t="shared" si="4"/>
        <v/>
      </c>
      <c r="AC62" s="213" t="str">
        <f t="shared" si="5"/>
        <v/>
      </c>
      <c r="AD62" s="214" t="str">
        <f t="shared" si="6"/>
        <v/>
      </c>
      <c r="AE62" s="215" t="str">
        <f t="shared" si="18"/>
        <v/>
      </c>
      <c r="AF62" s="216" t="str">
        <f t="shared" si="7"/>
        <v/>
      </c>
      <c r="AG62" s="220" t="str">
        <f t="shared" si="8"/>
        <v/>
      </c>
      <c r="AH62" s="213" t="str">
        <f t="shared" si="9"/>
        <v/>
      </c>
    </row>
    <row r="63" spans="1:36" s="167" customFormat="1" ht="12.75" customHeight="1">
      <c r="A63" s="342" t="s">
        <v>33</v>
      </c>
      <c r="B63" s="343"/>
      <c r="C63" s="344"/>
      <c r="D63" s="345" t="str">
        <f>IF(COUNTA(D8:D62)=0,"",(SUM(D8:D62)))</f>
        <v/>
      </c>
      <c r="E63" s="346"/>
      <c r="F63" s="345" t="str">
        <f>IF(COUNTA(F8:F62)=0,"",(SUM(F8:F62)))</f>
        <v/>
      </c>
      <c r="G63" s="346"/>
      <c r="H63" s="345" t="str">
        <f t="shared" ref="H63" si="19">IF(COUNTA(H8:H62)=0,"",(SUM(H8:H62)))</f>
        <v/>
      </c>
      <c r="I63" s="346"/>
      <c r="J63" s="345" t="str">
        <f t="shared" ref="J63" si="20">IF(COUNTA(J8:J62)=0,"",(SUM(J8:J62)))</f>
        <v/>
      </c>
      <c r="K63" s="346"/>
      <c r="L63" s="345" t="str">
        <f t="shared" ref="L63" si="21">IF(COUNTA(L8:L62)=0,"",(SUM(L8:L62)))</f>
        <v/>
      </c>
      <c r="M63" s="346"/>
      <c r="N63" s="345" t="str">
        <f t="shared" ref="N63" si="22">IF(COUNTA(N8:N62)=0,"",(SUM(N8:N62)))</f>
        <v/>
      </c>
      <c r="O63" s="346"/>
      <c r="P63" s="345" t="str">
        <f t="shared" ref="P63" si="23">IF(COUNTA(P8:P62)=0,"",(SUM(P8:P62)))</f>
        <v/>
      </c>
      <c r="Q63" s="346"/>
      <c r="R63" s="198"/>
      <c r="S63" s="345" t="str">
        <f t="shared" ref="S63" si="24">IF(COUNTA(S8:S62)=0,"",(SUM(S8:S62)))</f>
        <v/>
      </c>
      <c r="T63" s="346"/>
      <c r="U63" s="199"/>
      <c r="V63" s="345" t="str">
        <f t="shared" ref="V63" si="25">IF(COUNTA(V8:V62)=0,"",(SUM(V8:V62)))</f>
        <v/>
      </c>
      <c r="W63" s="346"/>
      <c r="X63" s="199"/>
      <c r="Y63" s="342" t="s">
        <v>34</v>
      </c>
      <c r="Z63" s="343"/>
      <c r="AA63" s="343"/>
      <c r="AB63" s="343"/>
      <c r="AC63" s="347"/>
      <c r="AD63" s="217" t="str">
        <f>IF(OR(COUNTIF(AD8:AD62,"P")&lt;&gt;0,COUNTIF(AD8:AD62,"F")&lt;&gt;0,COUNTIF(AD8:AD62,"ab")&lt;&gt;0),(COUNTIF(AD8:AD62,"ab")),"")</f>
        <v/>
      </c>
      <c r="AE63" s="217" t="str">
        <f>IF(OR(COUNTIF(AE8:AE62,"P")&lt;&gt;0,COUNTIF(AE8:AE62,"F")&lt;&gt;0,COUNTIF(AE8:AE62,"ab")&lt;&gt;0,COUNTIF(AE8:AE62,"Q1")&lt;&gt;0,COUNTIF(AE8:AE62,"Q2")&lt;&gt;0,COUNTIF(AE8:AE62,"R1")&lt;&gt;0,COUNTIF(AE8:AE62,"R2")&lt;&gt;0),(COUNTIF(AE8:AE62,"ab")),"")</f>
        <v/>
      </c>
      <c r="AF63" s="348" t="s">
        <v>34</v>
      </c>
      <c r="AG63" s="349"/>
      <c r="AH63" s="350"/>
      <c r="AI63" s="221"/>
      <c r="AJ63" s="221"/>
    </row>
    <row r="64" spans="1:36" s="167" customFormat="1" ht="12.75" customHeight="1">
      <c r="A64" s="351" t="s">
        <v>35</v>
      </c>
      <c r="B64" s="352"/>
      <c r="C64" s="353"/>
      <c r="D64" s="354" t="str">
        <f>IF(D63="","",IF(D63=0,0,AVERAGE(D8:D62)))</f>
        <v/>
      </c>
      <c r="E64" s="355"/>
      <c r="F64" s="354" t="str">
        <f>IF(F63="","",IF(F63=0,0,AVERAGE(F8:F62)))</f>
        <v/>
      </c>
      <c r="G64" s="355"/>
      <c r="H64" s="354" t="str">
        <f t="shared" ref="H64" si="26">IF(H63="","",IF(H63=0,0,AVERAGE(H8:H62)))</f>
        <v/>
      </c>
      <c r="I64" s="355"/>
      <c r="J64" s="354" t="str">
        <f t="shared" ref="J64" si="27">IF(J63="","",IF(J63=0,0,AVERAGE(J8:J62)))</f>
        <v/>
      </c>
      <c r="K64" s="355"/>
      <c r="L64" s="354" t="str">
        <f t="shared" ref="L64" si="28">IF(L63="","",IF(L63=0,0,AVERAGE(L8:L62)))</f>
        <v/>
      </c>
      <c r="M64" s="355"/>
      <c r="N64" s="354" t="str">
        <f t="shared" ref="N64" si="29">IF(N63="","",IF(N63=0,0,AVERAGE(N8:N62)))</f>
        <v/>
      </c>
      <c r="O64" s="355"/>
      <c r="P64" s="354" t="str">
        <f t="shared" ref="P64" si="30">IF(P63="","",IF(P63=0,0,AVERAGE(P8:P62)))</f>
        <v/>
      </c>
      <c r="Q64" s="355"/>
      <c r="R64" s="200"/>
      <c r="S64" s="354" t="str">
        <f t="shared" ref="S64" si="31">IF(S63="","",IF(S63=0,0,AVERAGE(S8:S62)))</f>
        <v/>
      </c>
      <c r="T64" s="355"/>
      <c r="U64" s="201"/>
      <c r="V64" s="354" t="str">
        <f t="shared" ref="V64" si="32">IF(V63="","",IF(V63=0,0,AVERAGE(V8:V62)))</f>
        <v/>
      </c>
      <c r="W64" s="355"/>
      <c r="X64" s="201"/>
      <c r="Y64" s="356" t="s">
        <v>36</v>
      </c>
      <c r="Z64" s="357"/>
      <c r="AA64" s="357"/>
      <c r="AB64" s="357"/>
      <c r="AC64" s="358"/>
      <c r="AD64" s="218" t="str">
        <f>IF(OR(COUNTIF(AD8:AD62,"P")&lt;&gt;0,COUNTIF(AD8:AD62,"F")&lt;&gt;0,COUNTIF(AD8:AD62,"ab")&lt;&gt;0),(COUNTIF(AD8:AD62,"P")),"")</f>
        <v/>
      </c>
      <c r="AE64" s="218" t="str">
        <f>IF(OR(COUNTIF(AE8:AE62,"P")&lt;&gt;0,COUNTIF(AE8:AE62,"F")&lt;&gt;0,COUNTIF(AE8:AE62,"ab")&lt;&gt;0,COUNTIF(AE8:AE62,"Q1")&lt;&gt;0,COUNTIF(AE8:AE62,"Q2")&lt;&gt;0,COUNTIF(AE8:AE62,"R1")&lt;&gt;0,COUNTIF(AE8:AE62,"R2")&lt;&gt;0),(COUNTIF(AE8:AE62,"P")),"")</f>
        <v/>
      </c>
      <c r="AF64" s="356" t="s">
        <v>36</v>
      </c>
      <c r="AG64" s="357"/>
      <c r="AH64" s="359"/>
    </row>
    <row r="65" spans="1:66" s="167" customFormat="1" ht="13.2">
      <c r="A65" s="222"/>
      <c r="B65" s="223"/>
      <c r="C65" s="224"/>
      <c r="D65" s="225"/>
      <c r="E65" s="226"/>
      <c r="F65" s="227"/>
      <c r="G65" s="226"/>
      <c r="H65" s="227"/>
      <c r="I65" s="226"/>
      <c r="J65" s="227"/>
      <c r="K65" s="226"/>
      <c r="L65" s="227"/>
      <c r="M65" s="226"/>
      <c r="N65" s="227"/>
      <c r="O65" s="226"/>
      <c r="P65" s="227"/>
      <c r="Q65" s="256"/>
      <c r="R65" s="226"/>
      <c r="S65" s="227"/>
      <c r="T65" s="226"/>
      <c r="U65" s="257"/>
      <c r="V65" s="227"/>
      <c r="W65" s="226"/>
      <c r="X65" s="257"/>
      <c r="Y65" s="351" t="s">
        <v>37</v>
      </c>
      <c r="Z65" s="352"/>
      <c r="AA65" s="352"/>
      <c r="AB65" s="352"/>
      <c r="AC65" s="360"/>
      <c r="AD65" s="283" t="str">
        <f>IF(OR(COUNTIF(AD8:AD62,"P")&lt;&gt;0,COUNTIF(AD8:AD62,"F")&lt;&gt;0,COUNTIF(AD8:AD62,"ab")&lt;&gt;0),(COUNTIF(AD8:AD62,"F")),"")</f>
        <v/>
      </c>
      <c r="AE65" s="218" t="str">
        <f>IF(OR(COUNTIF(AE8:AE62,"P")&lt;&gt;0,COUNTIF(AE8:AE62,"F")&lt;&gt;0,COUNTIF(AE8:AE62,"ab")&lt;&gt;0,COUNTIF(AE8:AE62,"Q1")&lt;&gt;0,COUNTIF(AE8:AE62,"Q2")&lt;&gt;0,COUNTIF(AE8:AE62,"R1")&lt;&gt;0,COUNTIF(AE8:AE62,"R2")&lt;&gt;0),(COUNTIF(AE8:AE62,"Q1")),"")</f>
        <v/>
      </c>
      <c r="AF65" s="356" t="s">
        <v>38</v>
      </c>
      <c r="AG65" s="357"/>
      <c r="AH65" s="359"/>
    </row>
    <row r="66" spans="1:66" s="167" customFormat="1" ht="12" customHeight="1">
      <c r="A66" s="418" t="s">
        <v>39</v>
      </c>
      <c r="B66" s="418"/>
      <c r="C66" s="228" t="s">
        <v>40</v>
      </c>
      <c r="D66" s="229"/>
      <c r="E66" s="192" t="str">
        <f>IF(D$63="","",(COUNTIF(E$8:E$62,"A")))</f>
        <v/>
      </c>
      <c r="F66" s="229"/>
      <c r="G66" s="192" t="str">
        <f>IF(F$63="","",(COUNTIF(G$8:G$62,"A")))</f>
        <v/>
      </c>
      <c r="H66" s="229"/>
      <c r="I66" s="192" t="str">
        <f>IF(H$63="","",(COUNTIF(I$8:I$62,"A")))</f>
        <v/>
      </c>
      <c r="J66" s="229"/>
      <c r="K66" s="192" t="str">
        <f>IF(J$63="","",(COUNTIF(K$8:K$62,"A")))</f>
        <v/>
      </c>
      <c r="L66" s="229"/>
      <c r="M66" s="192" t="str">
        <f>IF(L$63="","",(COUNTIF(M$8:M$62,"A")))</f>
        <v/>
      </c>
      <c r="N66" s="229"/>
      <c r="O66" s="192" t="str">
        <f>IF(N$63="","",(COUNTIF(O$8:O$62,"A")))</f>
        <v/>
      </c>
      <c r="P66" s="229"/>
      <c r="Q66" s="192" t="str">
        <f>IF(P$63="","",(COUNTIF(Q$8:Q$62,"A")))</f>
        <v/>
      </c>
      <c r="R66" s="229"/>
      <c r="S66" s="229"/>
      <c r="T66" s="192" t="str">
        <f>IF(S$63="","",(COUNTIF(T$8:T$62,"A")))</f>
        <v/>
      </c>
      <c r="U66" s="261"/>
      <c r="V66" s="306"/>
      <c r="W66" s="189" t="str">
        <f>IF(V$63="","",(COUNTIF(W$8:W$62,"A")))</f>
        <v/>
      </c>
      <c r="X66" s="307"/>
      <c r="Y66" s="205" t="str">
        <f>IF((COUNT($D66:$W66)=0),"",(SUM($D66:$W66)))</f>
        <v/>
      </c>
      <c r="Z66" s="284"/>
      <c r="AA66" s="284"/>
      <c r="AB66" s="284"/>
      <c r="AC66" s="284"/>
      <c r="AD66" s="285"/>
      <c r="AE66" s="218" t="str">
        <f>IF(OR(COUNTIF(AE8:AE62,"P")&lt;&gt;0,COUNTIF(AE8:AE62,"F")&lt;&gt;0,COUNTIF(AE8:AE62,"ab")&lt;&gt;0,COUNTIF(AE8:AE62,"Q1")&lt;&gt;0,COUNTIF(AE8:AE62,"Q2")&lt;&gt;0,COUNTIF(AE8:AE62,"R1")&lt;&gt;0,COUNTIF(AE8:AE62,"R2")&lt;&gt;0),(COUNTIF(AE8:AE62,"Q2")),"")</f>
        <v/>
      </c>
      <c r="AF66" s="356" t="s">
        <v>41</v>
      </c>
      <c r="AG66" s="357"/>
      <c r="AH66" s="359"/>
    </row>
    <row r="67" spans="1:66" s="167" customFormat="1" ht="12" customHeight="1">
      <c r="A67" s="418"/>
      <c r="B67" s="418"/>
      <c r="C67" s="228" t="s">
        <v>42</v>
      </c>
      <c r="D67" s="229"/>
      <c r="E67" s="192" t="str">
        <f>IF(D$63="","",(COUNTIF(E$8:E$62,"B")))</f>
        <v/>
      </c>
      <c r="F67" s="229"/>
      <c r="G67" s="192" t="str">
        <f>IF(F$63="","",(COUNTIF(G$8:G$62,"B")))</f>
        <v/>
      </c>
      <c r="H67" s="229"/>
      <c r="I67" s="192" t="str">
        <f>IF(H$63="","",(COUNTIF(I$8:I$62,"B")))</f>
        <v/>
      </c>
      <c r="J67" s="229"/>
      <c r="K67" s="192" t="str">
        <f>IF(J$63="","",(COUNTIF(K$8:K$62,"B")))</f>
        <v/>
      </c>
      <c r="L67" s="229"/>
      <c r="M67" s="192" t="str">
        <f>IF(L$63="","",(COUNTIF(M$8:M$62,"B")))</f>
        <v/>
      </c>
      <c r="N67" s="229"/>
      <c r="O67" s="192" t="str">
        <f>IF(N$63="","",(COUNTIF(O$8:O$62,"B")))</f>
        <v/>
      </c>
      <c r="P67" s="229"/>
      <c r="Q67" s="192" t="str">
        <f>IF(P$63="","",(COUNTIF(Q$8:Q$62,"B")))</f>
        <v/>
      </c>
      <c r="R67" s="229"/>
      <c r="S67" s="229"/>
      <c r="T67" s="192" t="str">
        <f>IF(S$63="","",(COUNTIF(T$8:T$62,"B")))</f>
        <v/>
      </c>
      <c r="U67" s="261"/>
      <c r="V67" s="262"/>
      <c r="W67" s="192" t="str">
        <f>IF(V$63="","",(COUNTIF(W$8:W$62,"B")))</f>
        <v/>
      </c>
      <c r="X67" s="264"/>
      <c r="Y67" s="286"/>
      <c r="Z67" s="240" t="str">
        <f>IF((COUNT($D67:$W67)=0),"",SUM($D67:$W67))</f>
        <v/>
      </c>
      <c r="AA67" s="229"/>
      <c r="AB67" s="229"/>
      <c r="AC67" s="229"/>
      <c r="AD67" s="287"/>
      <c r="AE67" s="218" t="str">
        <f>IF(OR(COUNTIF(AE8:AE62,"P")&lt;&gt;0,COUNTIF(AE8:AE62,"F")&lt;&gt;0,COUNTIF(AE8:AE62,"ab")&lt;&gt;0,COUNTIF(AE8:AE62,"Q1")&lt;&gt;0,COUNTIF(AE8:AE62,"Q2")&lt;&gt;0,COUNTIF(AE8:AE62,"R1")&lt;&gt;0,COUNTIF(AE8:AE62,"R2")&lt;&gt;0),(COUNTIF(AE8:AE62,"R1")),"")</f>
        <v/>
      </c>
      <c r="AF67" s="356" t="s">
        <v>43</v>
      </c>
      <c r="AG67" s="357"/>
      <c r="AH67" s="359"/>
    </row>
    <row r="68" spans="1:66" s="167" customFormat="1" ht="12" customHeight="1">
      <c r="A68" s="418"/>
      <c r="B68" s="418"/>
      <c r="C68" s="228" t="s">
        <v>44</v>
      </c>
      <c r="D68" s="229"/>
      <c r="E68" s="192" t="str">
        <f>IF(D$63="","",(COUNTIF(E$8:E$62,"C")))</f>
        <v/>
      </c>
      <c r="F68" s="229"/>
      <c r="G68" s="192" t="str">
        <f>IF(F$63="","",(COUNTIF(G$8:G$62,"C")))</f>
        <v/>
      </c>
      <c r="H68" s="229"/>
      <c r="I68" s="192" t="str">
        <f>IF(H$63="","",(COUNTIF(I$8:I$62,"C")))</f>
        <v/>
      </c>
      <c r="J68" s="229"/>
      <c r="K68" s="192" t="str">
        <f>IF(J$63="","",(COUNTIF(K$8:K$62,"C")))</f>
        <v/>
      </c>
      <c r="L68" s="229"/>
      <c r="M68" s="192" t="str">
        <f>IF(L$63="","",(COUNTIF(M$8:M$62,"C")))</f>
        <v/>
      </c>
      <c r="N68" s="229"/>
      <c r="O68" s="192" t="str">
        <f>IF(N$63="","",(COUNTIF(O$8:O$62,"C")))</f>
        <v/>
      </c>
      <c r="P68" s="229"/>
      <c r="Q68" s="192" t="str">
        <f>IF(P$63="","",(COUNTIF(Q$8:Q$62,"C")))</f>
        <v/>
      </c>
      <c r="R68" s="229"/>
      <c r="S68" s="229"/>
      <c r="T68" s="192" t="str">
        <f>IF(S$63="","",(COUNTIF(T$8:T$62,"C")))</f>
        <v/>
      </c>
      <c r="U68" s="261"/>
      <c r="V68" s="262"/>
      <c r="W68" s="192" t="str">
        <f>IF(V$63="","",(COUNTIF(W$8:W$62,"C")))</f>
        <v/>
      </c>
      <c r="X68" s="264"/>
      <c r="Y68" s="286"/>
      <c r="Z68" s="229"/>
      <c r="AA68" s="240" t="str">
        <f>IF((COUNT($D68:$W68)=0),"",SUM($D68:$W68))</f>
        <v/>
      </c>
      <c r="AB68" s="229"/>
      <c r="AC68" s="229"/>
      <c r="AD68" s="287"/>
      <c r="AE68" s="218" t="str">
        <f>IF(OR(COUNTIF(AE8:AE62,"P")&lt;&gt;0,COUNTIF(AE8:AE62,"F")&lt;&gt;0,COUNTIF(AE8:AE62,"ab")&lt;&gt;0,COUNTIF(AE8:AE62,"Q1")&lt;&gt;0,COUNTIF(AE8:AE62,"Q2")&lt;&gt;0,COUNTIF(AE8:AE62,"R1")&lt;&gt;0,COUNTIF(AE8:AE62,"R2")&lt;&gt;0),(COUNTIF(AE8:AE62,"R2")),"")</f>
        <v/>
      </c>
      <c r="AF68" s="356" t="s">
        <v>45</v>
      </c>
      <c r="AG68" s="357"/>
      <c r="AH68" s="359"/>
    </row>
    <row r="69" spans="1:66" s="167" customFormat="1" ht="12" customHeight="1">
      <c r="A69" s="418"/>
      <c r="B69" s="418"/>
      <c r="C69" s="228" t="s">
        <v>46</v>
      </c>
      <c r="D69" s="229"/>
      <c r="E69" s="192" t="str">
        <f>IF(D$63="","",(COUNTIF(E$8:E$62,"S")))</f>
        <v/>
      </c>
      <c r="F69" s="229"/>
      <c r="G69" s="192" t="str">
        <f>IF(F$63="","",(COUNTIF(G$8:G$62,"S")))</f>
        <v/>
      </c>
      <c r="H69" s="229"/>
      <c r="I69" s="192" t="str">
        <f>IF(H$63="","",(COUNTIF(I$8:I$62,"S")))</f>
        <v/>
      </c>
      <c r="J69" s="229"/>
      <c r="K69" s="192" t="str">
        <f>IF(J$63="","",(COUNTIF(K$8:K$62,"S")))</f>
        <v/>
      </c>
      <c r="L69" s="229"/>
      <c r="M69" s="192" t="str">
        <f>IF(L$63="","",(COUNTIF(M$8:M$62,"S")))</f>
        <v/>
      </c>
      <c r="N69" s="229"/>
      <c r="O69" s="192" t="str">
        <f>IF(N$63="","",(COUNTIF(O$8:O$62,"S")))</f>
        <v/>
      </c>
      <c r="P69" s="229"/>
      <c r="Q69" s="192" t="str">
        <f>IF(P$63="","",(COUNTIF(Q$8:Q$62,"S")))</f>
        <v/>
      </c>
      <c r="R69" s="229"/>
      <c r="S69" s="229"/>
      <c r="T69" s="192" t="str">
        <f>IF(S$63="","",(COUNTIF(T$8:T$62,"S")))</f>
        <v/>
      </c>
      <c r="U69" s="261"/>
      <c r="V69" s="262"/>
      <c r="W69" s="192" t="str">
        <f>IF(V$63="","",(COUNTIF(W$8:W$62,"S")))</f>
        <v/>
      </c>
      <c r="X69" s="264"/>
      <c r="Y69" s="286"/>
      <c r="Z69" s="229"/>
      <c r="AA69" s="229"/>
      <c r="AB69" s="240" t="str">
        <f>IF((COUNT($D69:$W69)=0),"",SUM($D69:$W69))</f>
        <v/>
      </c>
      <c r="AC69" s="229"/>
      <c r="AD69" s="287"/>
      <c r="AE69" s="218" t="str">
        <f>IF(OR(COUNTIF(AE8:AE62,"P")&lt;&gt;0,COUNTIF(AE8:AE62,"F")&lt;&gt;0,COUNTIF(AE8:AE62,"ab")&lt;&gt;0,COUNTIF(AE8:AE62,"Q1")&lt;&gt;0,COUNTIF(AE8:AE62,"Q2")&lt;&gt;0,COUNTIF(AE8:AE62,"R1")&lt;&gt;0,COUNTIF(AE8:AE62,"R2")&lt;&gt;0),(COUNTIF(AE8:AE62,"F")),"")</f>
        <v/>
      </c>
      <c r="AF69" s="356" t="s">
        <v>37</v>
      </c>
      <c r="AG69" s="357"/>
      <c r="AH69" s="359"/>
    </row>
    <row r="70" spans="1:66" s="167" customFormat="1" ht="12" customHeight="1">
      <c r="A70" s="418"/>
      <c r="B70" s="418"/>
      <c r="C70" s="228" t="s">
        <v>32</v>
      </c>
      <c r="D70" s="229"/>
      <c r="E70" s="192" t="str">
        <f>IF(D$63="","",(COUNTIF(E$8:E$62,"W")))</f>
        <v/>
      </c>
      <c r="F70" s="229"/>
      <c r="G70" s="192" t="str">
        <f>IF(F$63="","",(COUNTIF(G$8:G$62,"W")))</f>
        <v/>
      </c>
      <c r="H70" s="229"/>
      <c r="I70" s="192" t="str">
        <f>IF(H$63="","",(COUNTIF(I$8:I$62,"W")))</f>
        <v/>
      </c>
      <c r="J70" s="229"/>
      <c r="K70" s="192" t="str">
        <f>IF(J$63="","",(COUNTIF(K$8:K$62,"W")))</f>
        <v/>
      </c>
      <c r="L70" s="229"/>
      <c r="M70" s="192" t="str">
        <f>IF(L$63="","",(COUNTIF(M$8:M$62,"W")))</f>
        <v/>
      </c>
      <c r="N70" s="229"/>
      <c r="O70" s="192" t="str">
        <f>IF(N$63="","",(COUNTIF(O$8:O$62,"W")))</f>
        <v/>
      </c>
      <c r="P70" s="229"/>
      <c r="Q70" s="192" t="str">
        <f>IF(P$63="","",(COUNTIF(Q$8:Q$62,"W")))</f>
        <v/>
      </c>
      <c r="R70" s="229"/>
      <c r="S70" s="229"/>
      <c r="T70" s="192" t="str">
        <f>IF(S$63="","",(COUNTIF(T$8:T$62,"W")))</f>
        <v/>
      </c>
      <c r="U70" s="261"/>
      <c r="V70" s="265"/>
      <c r="W70" s="192" t="str">
        <f>IF(V$63="","",(COUNTIF(W$8:W$62,"W")))</f>
        <v/>
      </c>
      <c r="X70" s="266"/>
      <c r="Y70" s="286"/>
      <c r="Z70" s="229"/>
      <c r="AA70" s="229"/>
      <c r="AB70" s="229"/>
      <c r="AC70" s="240" t="str">
        <f>IF((COUNT($D70:$W70)=0),"",SUM($D70:$W70))</f>
        <v/>
      </c>
      <c r="AD70" s="287"/>
      <c r="AE70" s="283" t="str">
        <f>IF(AND(AE63="",AE64="",AE65="",AE66="",AE67="",AE68="",AE69=""),"",SUM(AE63:AE69))</f>
        <v/>
      </c>
      <c r="AF70" s="351" t="s">
        <v>33</v>
      </c>
      <c r="AG70" s="352"/>
      <c r="AH70" s="353"/>
    </row>
    <row r="71" spans="1:66" s="167" customFormat="1" ht="12" customHeight="1">
      <c r="A71" s="419"/>
      <c r="B71" s="419"/>
      <c r="C71" s="230" t="s">
        <v>47</v>
      </c>
      <c r="D71" s="231"/>
      <c r="E71" s="232" t="str">
        <f>IF(D$63="","",(COUNTIF(E$8:E$62,"ab")))</f>
        <v/>
      </c>
      <c r="F71" s="231"/>
      <c r="G71" s="232" t="str">
        <f>IF(F$63="","",(COUNTIF(G$8:G$62,"ab")))</f>
        <v/>
      </c>
      <c r="H71" s="231"/>
      <c r="I71" s="232" t="str">
        <f>IF(H$63="","",(COUNTIF(I$8:I$62,"ab")))</f>
        <v/>
      </c>
      <c r="J71" s="231"/>
      <c r="K71" s="232" t="str">
        <f>IF(J$63="","",(COUNTIF(K$8:K$62,"ab")))</f>
        <v/>
      </c>
      <c r="L71" s="231"/>
      <c r="M71" s="232" t="str">
        <f>IF(L$63="","",(COUNTIF(M$8:M$62,"ab")))</f>
        <v/>
      </c>
      <c r="N71" s="231"/>
      <c r="O71" s="232" t="str">
        <f>IF(N$63="","",(COUNTIF(O$8:O$62,"ab")))</f>
        <v/>
      </c>
      <c r="P71" s="231"/>
      <c r="Q71" s="232" t="str">
        <f>IF(P$63="","",(COUNTIF(Q$8:Q$62,"ab")))</f>
        <v/>
      </c>
      <c r="R71" s="231"/>
      <c r="S71" s="231"/>
      <c r="T71" s="232" t="str">
        <f>IF(S$63="","",(COUNTIF(T$8:T$62,"ab")))</f>
        <v/>
      </c>
      <c r="U71" s="267"/>
      <c r="V71" s="268"/>
      <c r="W71" s="269" t="str">
        <f>IF(V$63="","",(COUNTIF(W$8:W$62,"ab")))</f>
        <v/>
      </c>
      <c r="X71" s="270"/>
      <c r="Y71" s="288"/>
      <c r="Z71" s="288"/>
      <c r="AA71" s="288"/>
      <c r="AB71" s="288"/>
      <c r="AC71" s="288"/>
      <c r="AD71" s="289" t="str">
        <f>IF((COUNT($D71:$W71)=0),"",SUM($D71:$W71))</f>
        <v/>
      </c>
      <c r="AE71" s="290"/>
      <c r="AF71" s="257"/>
      <c r="AG71" s="257"/>
      <c r="AH71" s="288"/>
    </row>
    <row r="72" spans="1:66" s="167" customFormat="1" ht="12" customHeight="1">
      <c r="A72" s="361" t="s">
        <v>33</v>
      </c>
      <c r="B72" s="362"/>
      <c r="C72" s="362"/>
      <c r="D72" s="233"/>
      <c r="E72" s="234" t="str">
        <f>IF(D$63="","",(SUM(E$66:E$71)))</f>
        <v/>
      </c>
      <c r="F72" s="233"/>
      <c r="G72" s="234" t="str">
        <f>IF(F$63="","",(SUM(G$66:G$71)))</f>
        <v/>
      </c>
      <c r="H72" s="233"/>
      <c r="I72" s="234" t="str">
        <f>IF(H$63="","",(SUM(I$66:I$71)))</f>
        <v/>
      </c>
      <c r="J72" s="233"/>
      <c r="K72" s="234" t="str">
        <f>IF(J$63="","",(SUM(K$66:K$71)))</f>
        <v/>
      </c>
      <c r="L72" s="233"/>
      <c r="M72" s="234" t="str">
        <f>IF(L$63="","",(SUM(M$66:M$71)))</f>
        <v/>
      </c>
      <c r="N72" s="233"/>
      <c r="O72" s="234" t="str">
        <f>IF(N$63="","",(SUM(O$66:O$71)))</f>
        <v/>
      </c>
      <c r="P72" s="233"/>
      <c r="Q72" s="234" t="str">
        <f>IF(P$63="","",(SUM(Q$66:Q$71)))</f>
        <v/>
      </c>
      <c r="R72" s="233"/>
      <c r="S72" s="233"/>
      <c r="T72" s="234" t="str">
        <f>IF(S$63="","",(SUM(T$66:T$71)))</f>
        <v/>
      </c>
      <c r="U72" s="271"/>
      <c r="V72" s="272"/>
      <c r="W72" s="273" t="str">
        <f>IF(V$63="","",(SUM(W$66:W$71)))</f>
        <v/>
      </c>
      <c r="X72" s="274"/>
      <c r="Y72" s="274"/>
      <c r="Z72" s="288"/>
      <c r="AA72" s="288"/>
      <c r="AB72" s="288"/>
      <c r="AC72" s="288"/>
      <c r="AD72" s="290"/>
      <c r="AE72" s="290"/>
      <c r="AF72" s="257"/>
      <c r="AG72" s="257"/>
      <c r="AH72" s="288"/>
    </row>
    <row r="73" spans="1:66" s="167" customFormat="1" ht="9.75" customHeight="1">
      <c r="A73" s="221"/>
      <c r="B73" s="221"/>
      <c r="C73" s="221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89"/>
      <c r="AE73" s="289"/>
      <c r="AF73" s="291"/>
      <c r="AG73" s="291"/>
      <c r="AH73" s="235"/>
    </row>
    <row r="74" spans="1:66" s="167" customFormat="1" ht="15" customHeight="1">
      <c r="A74" s="221"/>
      <c r="B74" s="221"/>
      <c r="C74" s="236" t="s">
        <v>48</v>
      </c>
      <c r="D74" s="237" t="str">
        <f>IF(D$63="","",(COUNTIFS(D$8:D$62,"&lt;=39",D$8:D$62,"&gt;=30")))</f>
        <v/>
      </c>
      <c r="E74" s="238"/>
      <c r="F74" s="237" t="str">
        <f>IF(F$63="","",(COUNTIFS(F$8:F$62,"&lt;=39",F$8:F$62,"&gt;=30")))</f>
        <v/>
      </c>
      <c r="G74" s="238"/>
      <c r="H74" s="237" t="str">
        <f>IF(H$63="","",(COUNTIFS(H$8:H$62,"&lt;=39",H$8:H$62,"&gt;=30")))</f>
        <v/>
      </c>
      <c r="I74" s="238"/>
      <c r="J74" s="237" t="str">
        <f>IF(J$63="","",(COUNTIFS(J$8:J$62,"&lt;=39",J$8:J$62,"&gt;=30")))</f>
        <v/>
      </c>
      <c r="K74" s="238"/>
      <c r="L74" s="237" t="str">
        <f>IF(L$63="","",(COUNTIFS(L$8:L$62,"&lt;=39",L$8:L$62,"&gt;=30")))</f>
        <v/>
      </c>
      <c r="M74" s="238"/>
      <c r="N74" s="237" t="str">
        <f>IF(N$63="","",(COUNTIFS(N$8:N$62,"&lt;=39",N$8:N$62,"&gt;=30")))</f>
        <v/>
      </c>
      <c r="O74" s="238"/>
      <c r="P74" s="237" t="str">
        <f>IF(P$63="","",(COUNTIFS(P$8:P$62,"&lt;=39",P$8:P$62,"&gt;=30")))</f>
        <v/>
      </c>
      <c r="Q74" s="238"/>
      <c r="R74" s="238"/>
      <c r="S74" s="237" t="str">
        <f>IF(S$63="","",(COUNTIFS(S$8:S$62,"&lt;=39",S$8:S$62,"&gt;=30")))</f>
        <v/>
      </c>
      <c r="T74" s="238"/>
      <c r="U74" s="238"/>
      <c r="V74" s="275" t="str">
        <f>IF(V$63="","",(COUNTIFS(V$8:V$62,"&lt;=39",V$8:V$62,"&gt;=30")))</f>
        <v/>
      </c>
      <c r="W74" s="276"/>
      <c r="X74" s="277"/>
      <c r="Y74" s="235"/>
      <c r="Z74" s="363" t="s">
        <v>49</v>
      </c>
      <c r="AA74" s="364"/>
      <c r="AB74" s="364"/>
      <c r="AC74" s="364"/>
      <c r="AD74" s="365"/>
      <c r="AE74" s="366" t="s">
        <v>50</v>
      </c>
      <c r="AF74" s="367"/>
      <c r="AG74" s="367"/>
      <c r="AH74" s="368"/>
    </row>
    <row r="75" spans="1:66" s="167" customFormat="1" ht="13.2">
      <c r="A75" s="221"/>
      <c r="B75" s="221"/>
      <c r="C75" s="239" t="s">
        <v>51</v>
      </c>
      <c r="D75" s="240" t="str">
        <f>IF(D$63="","",(COUNTIFS(D$8:D$62,"&lt;=29",D$8:D$62,"&gt;=20")))</f>
        <v/>
      </c>
      <c r="E75" s="229"/>
      <c r="F75" s="240" t="str">
        <f>IF(F$63="","",(COUNTIFS(F$8:F$62,"&lt;=29",F$8:F$62,"&gt;=20")))</f>
        <v/>
      </c>
      <c r="G75" s="229"/>
      <c r="H75" s="240" t="str">
        <f>IF(H$63="","",(COUNTIFS(H$8:H$62,"&lt;=29",H$8:H$62,"&gt;=20")))</f>
        <v/>
      </c>
      <c r="I75" s="229"/>
      <c r="J75" s="240" t="str">
        <f>IF(J$63="","",(COUNTIFS(J$8:J$62,"&lt;=29",J$8:J$62,"&gt;=20")))</f>
        <v/>
      </c>
      <c r="K75" s="229"/>
      <c r="L75" s="240" t="str">
        <f>IF(L$63="","",(COUNTIFS(L$8:L$62,"&lt;=29",L$8:L$62,"&gt;=20")))</f>
        <v/>
      </c>
      <c r="M75" s="229"/>
      <c r="N75" s="240" t="str">
        <f>IF(N$63="","",(COUNTIFS(N$8:N$62,"&lt;=29",N$8:N$62,"&gt;=20")))</f>
        <v/>
      </c>
      <c r="O75" s="229"/>
      <c r="P75" s="240" t="str">
        <f>IF(P$63="","",(COUNTIFS(P$8:P$62,"&lt;=29",P$8:P$62,"&gt;=20")))</f>
        <v/>
      </c>
      <c r="Q75" s="229"/>
      <c r="R75" s="229"/>
      <c r="S75" s="240" t="str">
        <f>IF(S$63="","",(COUNTIFS(S$8:S$62,"&lt;=29",S$8:S$62,"&gt;=20")))</f>
        <v/>
      </c>
      <c r="T75" s="229"/>
      <c r="U75" s="229"/>
      <c r="V75" s="278" t="str">
        <f>IF(V$63="","",(COUNTIFS(V$8:V$62,"&lt;=29",V$8:V$62,"&gt;=20")))</f>
        <v/>
      </c>
      <c r="W75" s="279"/>
      <c r="X75" s="270"/>
      <c r="Y75" s="235"/>
      <c r="Z75" s="363" t="s">
        <v>20</v>
      </c>
      <c r="AA75" s="364"/>
      <c r="AB75" s="364"/>
      <c r="AC75" s="364"/>
      <c r="AD75" s="364"/>
      <c r="AE75" s="364"/>
      <c r="AF75" s="364"/>
      <c r="AG75" s="364"/>
      <c r="AH75" s="365"/>
    </row>
    <row r="76" spans="1:66" s="167" customFormat="1" ht="13.2">
      <c r="A76" s="221"/>
      <c r="B76" s="221"/>
      <c r="C76" s="241" t="s">
        <v>52</v>
      </c>
      <c r="D76" s="240" t="str">
        <f>IF(D$63="","",(COUNTIFS(D$8:D$62,"&gt;=10",D$8:D$62,"&lt;=19")))</f>
        <v/>
      </c>
      <c r="E76" s="229"/>
      <c r="F76" s="240" t="str">
        <f>IF(F$63="","",(COUNTIFS(F$8:F$62,"&gt;=10",F$8:F$62,"&lt;=19")))</f>
        <v/>
      </c>
      <c r="G76" s="229"/>
      <c r="H76" s="240" t="str">
        <f>IF(H$63="","",(COUNTIFS(H$8:H$62,"&gt;=10",H$8:H$62,"&lt;=19")))</f>
        <v/>
      </c>
      <c r="I76" s="229"/>
      <c r="J76" s="240" t="str">
        <f>IF(J$63="","",(COUNTIFS(J$8:J$62,"&gt;=10",J$8:J$62,"&lt;=19")))</f>
        <v/>
      </c>
      <c r="K76" s="229"/>
      <c r="L76" s="240" t="str">
        <f>IF(L$63="","",(COUNTIFS(L$8:L$62,"&gt;=10",L$8:L$62,"&lt;=19")))</f>
        <v/>
      </c>
      <c r="M76" s="229"/>
      <c r="N76" s="240" t="str">
        <f>IF(N$63="","",(COUNTIFS(N$8:N$62,"&gt;=10",N$8:N$62,"&lt;=19")))</f>
        <v/>
      </c>
      <c r="O76" s="229"/>
      <c r="P76" s="240" t="str">
        <f>IF(P$63="","",(COUNTIFS(P$8:P$62,"&gt;=10",P$8:P$62,"&lt;=19")))</f>
        <v/>
      </c>
      <c r="Q76" s="229"/>
      <c r="R76" s="229"/>
      <c r="S76" s="240" t="str">
        <f>IF(S$63="","",(COUNTIFS(S$8:S$62,"&gt;=10",S$8:S$62,"&lt;=19")))</f>
        <v/>
      </c>
      <c r="T76" s="229"/>
      <c r="U76" s="229"/>
      <c r="V76" s="278" t="str">
        <f>IF(V$63="","",(COUNTIFS(V$8:V$62,"&gt;=10",V$8:V$62,"&lt;=19")))</f>
        <v/>
      </c>
      <c r="W76" s="279"/>
      <c r="X76" s="270"/>
      <c r="Z76" s="292" t="s">
        <v>53</v>
      </c>
      <c r="AA76" s="369" t="s">
        <v>54</v>
      </c>
      <c r="AB76" s="370"/>
      <c r="AC76" s="370"/>
      <c r="AD76" s="370"/>
      <c r="AE76" s="370"/>
      <c r="AF76" s="370"/>
      <c r="AG76" s="370"/>
      <c r="AH76" s="371"/>
    </row>
    <row r="77" spans="1:66" s="167" customFormat="1" ht="13.2">
      <c r="A77" s="221"/>
      <c r="B77" s="221"/>
      <c r="C77" s="242" t="s">
        <v>55</v>
      </c>
      <c r="D77" s="243" t="str">
        <f>IF(D$63="","",(COUNTIFS(D$8:D$62,"&gt;=0",D$8:D$62,"&lt;=9")))</f>
        <v/>
      </c>
      <c r="E77" s="244"/>
      <c r="F77" s="243" t="str">
        <f>IF(F$63="","",(COUNTIFS(F$8:F$62,"&gt;=0",F$8:F$62,"&lt;=9")))</f>
        <v/>
      </c>
      <c r="G77" s="244"/>
      <c r="H77" s="243" t="str">
        <f>IF(H$63="","",(COUNTIFS(H$8:H$62,"&gt;=0",H$8:H$62,"&lt;=9")))</f>
        <v/>
      </c>
      <c r="I77" s="244"/>
      <c r="J77" s="243" t="str">
        <f>IF(J$63="","",(COUNTIFS(J$8:J$62,"&gt;=0",J$8:J$62,"&lt;=9")))</f>
        <v/>
      </c>
      <c r="K77" s="244"/>
      <c r="L77" s="243" t="str">
        <f>IF(L$63="","",(COUNTIFS(L$8:L$62,"&gt;=0",L$8:L$62,"&lt;=9")))</f>
        <v/>
      </c>
      <c r="M77" s="244"/>
      <c r="N77" s="243" t="str">
        <f>IF(N$63="","",(COUNTIFS(N$8:N$62,"&gt;=0",N$8:N$62,"&lt;=9")))</f>
        <v/>
      </c>
      <c r="O77" s="244"/>
      <c r="P77" s="243" t="str">
        <f>IF(P$63="","",(COUNTIFS(P$8:P$62,"&gt;=0",P$8:P$62,"&lt;=9")))</f>
        <v/>
      </c>
      <c r="Q77" s="244"/>
      <c r="R77" s="244"/>
      <c r="S77" s="243" t="str">
        <f>IF(S$63="","",(COUNTIFS(S$8:S$62,"&gt;=0",S$8:S$62,"&lt;=9")))</f>
        <v/>
      </c>
      <c r="T77" s="244"/>
      <c r="U77" s="244"/>
      <c r="V77" s="280" t="str">
        <f>IF(V$63="","",(COUNTIFS(V$8:V$62,"&gt;=0",V$8:V$62,"&lt;=9")))</f>
        <v/>
      </c>
      <c r="W77" s="281"/>
      <c r="X77" s="282"/>
      <c r="Y77" s="235"/>
      <c r="Z77" s="293" t="s">
        <v>56</v>
      </c>
      <c r="AA77" s="372" t="s">
        <v>57</v>
      </c>
      <c r="AB77" s="373"/>
      <c r="AC77" s="373"/>
      <c r="AD77" s="373"/>
      <c r="AE77" s="373"/>
      <c r="AF77" s="373"/>
      <c r="AG77" s="373"/>
      <c r="AH77" s="374"/>
    </row>
    <row r="78" spans="1:66" ht="13.5" customHeight="1">
      <c r="A78" s="70"/>
      <c r="B78" s="70"/>
      <c r="C78" s="245"/>
      <c r="D78" s="70"/>
      <c r="E78" s="246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246"/>
      <c r="Z78" s="294" t="s">
        <v>58</v>
      </c>
      <c r="AA78" s="372" t="s">
        <v>59</v>
      </c>
      <c r="AB78" s="373"/>
      <c r="AC78" s="373"/>
      <c r="AD78" s="373"/>
      <c r="AE78" s="373"/>
      <c r="AF78" s="373"/>
      <c r="AG78" s="373"/>
      <c r="AH78" s="374"/>
    </row>
    <row r="79" spans="1:66" s="167" customFormat="1" ht="14.25" customHeight="1">
      <c r="A79" s="221"/>
      <c r="B79" s="247" t="s">
        <v>27</v>
      </c>
      <c r="C79" s="375" t="s">
        <v>60</v>
      </c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76"/>
      <c r="W79" s="377"/>
      <c r="X79" s="221"/>
      <c r="Y79" s="235"/>
      <c r="Z79" s="295" t="s">
        <v>61</v>
      </c>
      <c r="AA79" s="372" t="s">
        <v>62</v>
      </c>
      <c r="AB79" s="373"/>
      <c r="AC79" s="373"/>
      <c r="AD79" s="373"/>
      <c r="AE79" s="373"/>
      <c r="AF79" s="373"/>
      <c r="AG79" s="373"/>
      <c r="AH79" s="374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/>
      <c r="AX79" s="221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  <c r="BM79" s="221"/>
      <c r="BN79" s="221"/>
    </row>
    <row r="80" spans="1:66" s="167" customFormat="1" ht="12" customHeight="1">
      <c r="A80" s="221"/>
      <c r="B80" s="378" t="s">
        <v>15</v>
      </c>
      <c r="C80" s="379"/>
      <c r="D80" s="380" t="s">
        <v>16</v>
      </c>
      <c r="E80" s="381"/>
      <c r="F80" s="381"/>
      <c r="G80" s="381"/>
      <c r="H80" s="381"/>
      <c r="I80" s="381"/>
      <c r="J80" s="381"/>
      <c r="K80" s="381"/>
      <c r="L80" s="381"/>
      <c r="M80" s="382"/>
      <c r="N80" s="380" t="s">
        <v>17</v>
      </c>
      <c r="O80" s="381"/>
      <c r="P80" s="381"/>
      <c r="Q80" s="381"/>
      <c r="R80" s="381"/>
      <c r="S80" s="381"/>
      <c r="T80" s="381"/>
      <c r="U80" s="381"/>
      <c r="V80" s="381"/>
      <c r="W80" s="382"/>
      <c r="X80" s="221"/>
      <c r="Y80" s="235"/>
      <c r="Z80" s="296" t="s">
        <v>63</v>
      </c>
      <c r="AA80" s="372" t="s">
        <v>64</v>
      </c>
      <c r="AB80" s="373"/>
      <c r="AC80" s="373"/>
      <c r="AD80" s="373"/>
      <c r="AE80" s="373"/>
      <c r="AF80" s="373"/>
      <c r="AG80" s="373"/>
      <c r="AH80" s="374"/>
      <c r="AJ80" s="221"/>
      <c r="AK80" s="221"/>
      <c r="AL80" s="221"/>
      <c r="AM80" s="221"/>
      <c r="AN80" s="221"/>
      <c r="AO80" s="221"/>
      <c r="AP80" s="221"/>
      <c r="AQ80" s="221"/>
      <c r="AR80" s="221"/>
      <c r="AS80" s="221"/>
      <c r="AT80" s="221"/>
      <c r="AU80" s="221"/>
      <c r="AV80" s="221"/>
      <c r="AW80" s="221"/>
      <c r="AX80" s="221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</row>
    <row r="81" spans="1:66" s="167" customFormat="1" ht="12" customHeight="1">
      <c r="A81" s="221"/>
      <c r="B81" s="248" t="s">
        <v>65</v>
      </c>
      <c r="C81" s="249" t="s">
        <v>66</v>
      </c>
      <c r="D81" s="383" t="s">
        <v>67</v>
      </c>
      <c r="E81" s="384"/>
      <c r="F81" s="385" t="s">
        <v>68</v>
      </c>
      <c r="G81" s="386"/>
      <c r="H81" s="386"/>
      <c r="I81" s="386"/>
      <c r="J81" s="386"/>
      <c r="K81" s="386"/>
      <c r="L81" s="386"/>
      <c r="M81" s="387"/>
      <c r="N81" s="383" t="s">
        <v>69</v>
      </c>
      <c r="O81" s="384"/>
      <c r="P81" s="386" t="s">
        <v>70</v>
      </c>
      <c r="Q81" s="386"/>
      <c r="R81" s="386"/>
      <c r="S81" s="386"/>
      <c r="T81" s="386"/>
      <c r="U81" s="386"/>
      <c r="V81" s="386"/>
      <c r="W81" s="387"/>
      <c r="X81" s="221"/>
      <c r="Y81" s="235"/>
      <c r="Z81" s="297" t="s">
        <v>71</v>
      </c>
      <c r="AA81" s="372" t="s">
        <v>72</v>
      </c>
      <c r="AB81" s="373"/>
      <c r="AC81" s="373"/>
      <c r="AD81" s="373"/>
      <c r="AE81" s="373"/>
      <c r="AF81" s="373"/>
      <c r="AG81" s="373"/>
      <c r="AH81" s="374"/>
      <c r="AI81" s="221"/>
      <c r="AJ81" s="298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221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</row>
    <row r="82" spans="1:66" s="167" customFormat="1" ht="12" customHeight="1">
      <c r="A82" s="221"/>
      <c r="B82" s="250" t="s">
        <v>73</v>
      </c>
      <c r="C82" s="251" t="s">
        <v>74</v>
      </c>
      <c r="D82" s="388" t="s">
        <v>75</v>
      </c>
      <c r="E82" s="389"/>
      <c r="F82" s="390" t="s">
        <v>76</v>
      </c>
      <c r="G82" s="391"/>
      <c r="H82" s="391"/>
      <c r="I82" s="391"/>
      <c r="J82" s="391"/>
      <c r="K82" s="391"/>
      <c r="L82" s="391"/>
      <c r="M82" s="392"/>
      <c r="N82" s="388" t="s">
        <v>77</v>
      </c>
      <c r="O82" s="389"/>
      <c r="P82" s="391" t="s">
        <v>78</v>
      </c>
      <c r="Q82" s="391"/>
      <c r="R82" s="391"/>
      <c r="S82" s="391"/>
      <c r="T82" s="391"/>
      <c r="U82" s="391"/>
      <c r="V82" s="391"/>
      <c r="W82" s="392"/>
      <c r="X82" s="221"/>
      <c r="Y82" s="416" t="s">
        <v>79</v>
      </c>
      <c r="Z82" s="416"/>
      <c r="AA82" s="416"/>
      <c r="AB82" s="417" t="s">
        <v>80</v>
      </c>
      <c r="AC82" s="417"/>
      <c r="AD82" s="417"/>
      <c r="AE82" s="417"/>
      <c r="AF82" s="417"/>
      <c r="AG82" s="417"/>
      <c r="AH82" s="417"/>
      <c r="AI82" s="221"/>
      <c r="AJ82" s="298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</row>
    <row r="83" spans="1:66" s="167" customFormat="1" ht="12" customHeight="1">
      <c r="A83" s="221"/>
      <c r="B83" s="250" t="s">
        <v>81</v>
      </c>
      <c r="C83" s="251" t="s">
        <v>82</v>
      </c>
      <c r="D83" s="388" t="s">
        <v>83</v>
      </c>
      <c r="E83" s="389"/>
      <c r="F83" s="390" t="s">
        <v>84</v>
      </c>
      <c r="G83" s="391"/>
      <c r="H83" s="391"/>
      <c r="I83" s="391"/>
      <c r="J83" s="391"/>
      <c r="K83" s="391"/>
      <c r="L83" s="391"/>
      <c r="M83" s="392"/>
      <c r="N83" s="388" t="s">
        <v>85</v>
      </c>
      <c r="O83" s="389"/>
      <c r="P83" s="391" t="s">
        <v>86</v>
      </c>
      <c r="Q83" s="391"/>
      <c r="R83" s="391"/>
      <c r="S83" s="391"/>
      <c r="T83" s="391"/>
      <c r="U83" s="391"/>
      <c r="V83" s="391"/>
      <c r="W83" s="392"/>
      <c r="X83" s="221"/>
      <c r="Y83" s="416"/>
      <c r="Z83" s="416"/>
      <c r="AA83" s="416"/>
      <c r="AB83" s="416"/>
      <c r="AC83" s="416"/>
      <c r="AD83" s="416"/>
      <c r="AE83" s="416"/>
      <c r="AF83" s="416"/>
      <c r="AG83" s="416"/>
      <c r="AH83" s="416"/>
      <c r="AI83" s="221"/>
      <c r="AJ83" s="298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</row>
    <row r="84" spans="1:66" s="167" customFormat="1" ht="12" customHeight="1">
      <c r="A84" s="221"/>
      <c r="B84" s="250" t="s">
        <v>87</v>
      </c>
      <c r="C84" s="251" t="s">
        <v>88</v>
      </c>
      <c r="D84" s="388" t="s">
        <v>89</v>
      </c>
      <c r="E84" s="389"/>
      <c r="F84" s="390" t="s">
        <v>90</v>
      </c>
      <c r="G84" s="391"/>
      <c r="H84" s="391"/>
      <c r="I84" s="391"/>
      <c r="J84" s="391"/>
      <c r="K84" s="391"/>
      <c r="L84" s="391"/>
      <c r="M84" s="392"/>
      <c r="N84" s="388" t="s">
        <v>91</v>
      </c>
      <c r="O84" s="389"/>
      <c r="P84" s="391" t="s">
        <v>92</v>
      </c>
      <c r="Q84" s="391"/>
      <c r="R84" s="391"/>
      <c r="S84" s="391"/>
      <c r="T84" s="391"/>
      <c r="U84" s="391"/>
      <c r="V84" s="391"/>
      <c r="W84" s="392"/>
      <c r="X84" s="221"/>
      <c r="Y84" s="415" t="s">
        <v>93</v>
      </c>
      <c r="Z84" s="415"/>
      <c r="AA84" s="415"/>
      <c r="AB84" s="415"/>
      <c r="AC84" s="416" t="s">
        <v>80</v>
      </c>
      <c r="AD84" s="416"/>
      <c r="AE84" s="416"/>
      <c r="AF84" s="416"/>
      <c r="AG84" s="416"/>
      <c r="AH84" s="416"/>
      <c r="AI84" s="221"/>
      <c r="AJ84" s="298"/>
      <c r="AK84" s="221"/>
      <c r="AL84" s="221"/>
      <c r="AM84" s="221"/>
      <c r="AN84" s="221"/>
      <c r="AO84" s="221"/>
      <c r="AP84" s="221"/>
      <c r="AQ84" s="221"/>
      <c r="AR84" s="221"/>
      <c r="AS84" s="221"/>
      <c r="AT84" s="221"/>
      <c r="AU84" s="221"/>
      <c r="AV84" s="221"/>
      <c r="AW84" s="221"/>
      <c r="AX84" s="221"/>
      <c r="AY84" s="221"/>
      <c r="AZ84" s="221"/>
      <c r="BA84" s="221"/>
      <c r="BB84" s="221"/>
      <c r="BC84" s="221"/>
      <c r="BD84" s="221"/>
      <c r="BE84" s="221"/>
      <c r="BF84" s="221"/>
      <c r="BG84" s="221"/>
      <c r="BH84" s="221"/>
      <c r="BI84" s="221"/>
      <c r="BJ84" s="221"/>
      <c r="BK84" s="221"/>
      <c r="BL84" s="221"/>
      <c r="BM84" s="221"/>
      <c r="BN84" s="221"/>
    </row>
    <row r="85" spans="1:66" s="167" customFormat="1" ht="12" customHeight="1">
      <c r="A85" s="221"/>
      <c r="B85" s="250" t="s">
        <v>94</v>
      </c>
      <c r="C85" s="252"/>
      <c r="D85" s="388" t="s">
        <v>95</v>
      </c>
      <c r="E85" s="389"/>
      <c r="F85" s="390" t="s">
        <v>96</v>
      </c>
      <c r="G85" s="391"/>
      <c r="H85" s="391"/>
      <c r="I85" s="391"/>
      <c r="J85" s="391"/>
      <c r="K85" s="391"/>
      <c r="L85" s="391"/>
      <c r="M85" s="392"/>
      <c r="N85" s="388" t="s">
        <v>97</v>
      </c>
      <c r="O85" s="389"/>
      <c r="P85" s="391" t="s">
        <v>98</v>
      </c>
      <c r="Q85" s="391"/>
      <c r="R85" s="391"/>
      <c r="S85" s="391"/>
      <c r="T85" s="391"/>
      <c r="U85" s="391"/>
      <c r="V85" s="391"/>
      <c r="W85" s="392"/>
      <c r="X85" s="221"/>
      <c r="Y85" s="415"/>
      <c r="Z85" s="415"/>
      <c r="AA85" s="415"/>
      <c r="AB85" s="415"/>
      <c r="AC85" s="416"/>
      <c r="AD85" s="416"/>
      <c r="AE85" s="416"/>
      <c r="AF85" s="416"/>
      <c r="AG85" s="416"/>
      <c r="AH85" s="416"/>
      <c r="AI85" s="221"/>
    </row>
    <row r="86" spans="1:66" s="167" customFormat="1" ht="12" customHeight="1">
      <c r="A86" s="221"/>
      <c r="B86" s="250" t="s">
        <v>99</v>
      </c>
      <c r="C86" s="253"/>
      <c r="D86" s="388" t="s">
        <v>100</v>
      </c>
      <c r="E86" s="389"/>
      <c r="F86" s="390" t="s">
        <v>101</v>
      </c>
      <c r="G86" s="391"/>
      <c r="H86" s="391"/>
      <c r="I86" s="391"/>
      <c r="J86" s="391"/>
      <c r="K86" s="391"/>
      <c r="L86" s="391"/>
      <c r="M86" s="392"/>
      <c r="N86" s="388" t="s">
        <v>102</v>
      </c>
      <c r="O86" s="389"/>
      <c r="P86" s="391" t="s">
        <v>103</v>
      </c>
      <c r="Q86" s="391"/>
      <c r="R86" s="391"/>
      <c r="S86" s="391"/>
      <c r="T86" s="391"/>
      <c r="U86" s="391"/>
      <c r="V86" s="391"/>
      <c r="W86" s="392"/>
      <c r="X86" s="221"/>
      <c r="Y86" s="413" t="s">
        <v>104</v>
      </c>
      <c r="Z86" s="413"/>
      <c r="AA86" s="413"/>
      <c r="AB86" s="413"/>
      <c r="AC86" s="413"/>
      <c r="AD86" s="414" t="s">
        <v>80</v>
      </c>
      <c r="AE86" s="414"/>
      <c r="AF86" s="414"/>
      <c r="AG86" s="414"/>
      <c r="AH86" s="414"/>
    </row>
    <row r="87" spans="1:66" s="167" customFormat="1" ht="12" customHeight="1">
      <c r="A87" s="221"/>
      <c r="B87" s="250" t="s">
        <v>105</v>
      </c>
      <c r="C87" s="253"/>
      <c r="D87" s="388" t="s">
        <v>106</v>
      </c>
      <c r="E87" s="389"/>
      <c r="F87" s="393"/>
      <c r="G87" s="394"/>
      <c r="H87" s="394"/>
      <c r="I87" s="394"/>
      <c r="J87" s="394"/>
      <c r="K87" s="394"/>
      <c r="L87" s="394"/>
      <c r="M87" s="395"/>
      <c r="N87" s="388" t="s">
        <v>107</v>
      </c>
      <c r="O87" s="389"/>
      <c r="P87" s="391" t="s">
        <v>108</v>
      </c>
      <c r="Q87" s="391"/>
      <c r="R87" s="391"/>
      <c r="S87" s="391"/>
      <c r="T87" s="391"/>
      <c r="U87" s="391"/>
      <c r="V87" s="391"/>
      <c r="W87" s="392"/>
      <c r="X87" s="221"/>
      <c r="Y87" s="413"/>
      <c r="Z87" s="413"/>
      <c r="AA87" s="413"/>
      <c r="AB87" s="413"/>
      <c r="AC87" s="413"/>
      <c r="AD87" s="414"/>
      <c r="AE87" s="414"/>
      <c r="AF87" s="414"/>
      <c r="AG87" s="414"/>
      <c r="AH87" s="414"/>
      <c r="AI87" s="299"/>
      <c r="AJ87" s="300"/>
      <c r="AK87" s="301"/>
    </row>
    <row r="88" spans="1:66" s="167" customFormat="1" ht="12" customHeight="1">
      <c r="A88" s="221"/>
      <c r="B88" s="254" t="s">
        <v>109</v>
      </c>
      <c r="C88" s="255"/>
      <c r="D88" s="396" t="s">
        <v>110</v>
      </c>
      <c r="E88" s="397"/>
      <c r="F88" s="398"/>
      <c r="G88" s="399"/>
      <c r="H88" s="399"/>
      <c r="I88" s="399"/>
      <c r="J88" s="399"/>
      <c r="K88" s="399"/>
      <c r="L88" s="399"/>
      <c r="M88" s="400"/>
      <c r="N88" s="396" t="s">
        <v>111</v>
      </c>
      <c r="O88" s="397"/>
      <c r="P88" s="399"/>
      <c r="Q88" s="399"/>
      <c r="R88" s="399"/>
      <c r="S88" s="399"/>
      <c r="T88" s="399"/>
      <c r="U88" s="399"/>
      <c r="V88" s="399"/>
      <c r="W88" s="400"/>
      <c r="X88" s="221"/>
      <c r="Y88" s="413"/>
      <c r="Z88" s="413"/>
      <c r="AA88" s="413"/>
      <c r="AB88" s="413"/>
      <c r="AC88" s="413"/>
      <c r="AD88" s="414"/>
      <c r="AE88" s="414"/>
      <c r="AF88" s="414"/>
      <c r="AG88" s="414"/>
      <c r="AH88" s="414"/>
      <c r="AI88" s="299"/>
      <c r="AJ88" s="300"/>
      <c r="AK88" s="301"/>
    </row>
    <row r="89" spans="1:66">
      <c r="A89" s="401" t="s">
        <v>112</v>
      </c>
      <c r="B89" s="401"/>
      <c r="C89" s="401"/>
      <c r="D89" s="401"/>
      <c r="E89" s="401"/>
      <c r="F89" s="401"/>
      <c r="G89" s="401"/>
      <c r="H89" s="401"/>
      <c r="I89" s="401"/>
      <c r="J89" s="401"/>
      <c r="K89" s="401"/>
      <c r="L89" s="401"/>
      <c r="M89" s="401"/>
      <c r="N89" s="401"/>
      <c r="O89" s="401"/>
      <c r="P89" s="401"/>
      <c r="Q89" s="401"/>
      <c r="R89" s="401"/>
      <c r="S89" s="401"/>
      <c r="T89" s="401"/>
      <c r="U89" s="401"/>
      <c r="V89" s="401"/>
      <c r="W89" s="401"/>
      <c r="X89" s="401"/>
      <c r="Y89" s="401"/>
      <c r="Z89" s="401"/>
      <c r="AA89" s="401"/>
      <c r="AB89" s="401"/>
      <c r="AC89" s="401"/>
      <c r="AD89" s="401"/>
      <c r="AE89" s="401"/>
      <c r="AF89" s="401"/>
      <c r="AG89" s="401"/>
      <c r="AH89" s="401"/>
    </row>
  </sheetData>
  <sheetProtection algorithmName="SHA-512" hashValue="DROIzGIMVQvpZJNfiJDrgin+Gjh/vY1nNmIKmpG7ak7AH2RBQtIKDwhvs6H7JNN5HIATKkIjy6kU5t4RoUCHgw==" saltValue="ZwYaMJ5Wk+hBtN75iaJhpA==" spinCount="100000" sheet="1" objects="1" scenarios="1"/>
  <mergeCells count="115">
    <mergeCell ref="A89:AH89"/>
    <mergeCell ref="A6:A7"/>
    <mergeCell ref="B6:B7"/>
    <mergeCell ref="AD6:AD7"/>
    <mergeCell ref="AE6:AE7"/>
    <mergeCell ref="AF6:AF7"/>
    <mergeCell ref="AG6:AG7"/>
    <mergeCell ref="AH6:AH7"/>
    <mergeCell ref="Y86:AC88"/>
    <mergeCell ref="AD86:AH88"/>
    <mergeCell ref="Y82:AA83"/>
    <mergeCell ref="AB82:AH83"/>
    <mergeCell ref="Y84:AB85"/>
    <mergeCell ref="AC84:AH85"/>
    <mergeCell ref="A66:B71"/>
    <mergeCell ref="D86:E86"/>
    <mergeCell ref="F86:M86"/>
    <mergeCell ref="N86:O86"/>
    <mergeCell ref="P86:W86"/>
    <mergeCell ref="D87:E87"/>
    <mergeCell ref="F87:M87"/>
    <mergeCell ref="N87:O87"/>
    <mergeCell ref="P87:W87"/>
    <mergeCell ref="D88:E88"/>
    <mergeCell ref="F88:M88"/>
    <mergeCell ref="N88:O88"/>
    <mergeCell ref="P88:W88"/>
    <mergeCell ref="D83:E83"/>
    <mergeCell ref="F83:M83"/>
    <mergeCell ref="N83:O83"/>
    <mergeCell ref="P83:W83"/>
    <mergeCell ref="D84:E84"/>
    <mergeCell ref="F84:M84"/>
    <mergeCell ref="N84:O84"/>
    <mergeCell ref="P84:W84"/>
    <mergeCell ref="D85:E85"/>
    <mergeCell ref="F85:M85"/>
    <mergeCell ref="N85:O85"/>
    <mergeCell ref="P85:W85"/>
    <mergeCell ref="D81:E81"/>
    <mergeCell ref="F81:M81"/>
    <mergeCell ref="N81:O81"/>
    <mergeCell ref="P81:W81"/>
    <mergeCell ref="AA81:AH81"/>
    <mergeCell ref="D82:E82"/>
    <mergeCell ref="F82:M82"/>
    <mergeCell ref="N82:O82"/>
    <mergeCell ref="P82:W82"/>
    <mergeCell ref="Z75:AH75"/>
    <mergeCell ref="AA76:AH76"/>
    <mergeCell ref="AA77:AH77"/>
    <mergeCell ref="AA78:AH78"/>
    <mergeCell ref="C79:W79"/>
    <mergeCell ref="AA79:AH79"/>
    <mergeCell ref="B80:C80"/>
    <mergeCell ref="D80:M80"/>
    <mergeCell ref="N80:W80"/>
    <mergeCell ref="AA80:AH80"/>
    <mergeCell ref="Y65:AC65"/>
    <mergeCell ref="AF65:AH65"/>
    <mergeCell ref="AF66:AH66"/>
    <mergeCell ref="AF67:AH67"/>
    <mergeCell ref="AF68:AH68"/>
    <mergeCell ref="AF69:AH69"/>
    <mergeCell ref="AF70:AH70"/>
    <mergeCell ref="A72:C72"/>
    <mergeCell ref="Z74:AD74"/>
    <mergeCell ref="AE74:AH74"/>
    <mergeCell ref="AF63:AH63"/>
    <mergeCell ref="A64:C64"/>
    <mergeCell ref="D64:E64"/>
    <mergeCell ref="F64:G64"/>
    <mergeCell ref="H64:I64"/>
    <mergeCell ref="J64:K64"/>
    <mergeCell ref="L64:M64"/>
    <mergeCell ref="N64:O64"/>
    <mergeCell ref="P64:Q64"/>
    <mergeCell ref="S64:T64"/>
    <mergeCell ref="V64:W64"/>
    <mergeCell ref="Y64:AC64"/>
    <mergeCell ref="AF64:AH64"/>
    <mergeCell ref="Y6:AC6"/>
    <mergeCell ref="A63:C63"/>
    <mergeCell ref="D63:E63"/>
    <mergeCell ref="F63:G63"/>
    <mergeCell ref="H63:I63"/>
    <mergeCell ref="J63:K63"/>
    <mergeCell ref="L63:M63"/>
    <mergeCell ref="N63:O63"/>
    <mergeCell ref="P63:Q63"/>
    <mergeCell ref="S63:T63"/>
    <mergeCell ref="V63:W63"/>
    <mergeCell ref="Y63:AC63"/>
    <mergeCell ref="D6:E6"/>
    <mergeCell ref="F6:G6"/>
    <mergeCell ref="H6:I6"/>
    <mergeCell ref="J6:K6"/>
    <mergeCell ref="L6:M6"/>
    <mergeCell ref="N6:O6"/>
    <mergeCell ref="P6:R6"/>
    <mergeCell ref="S6:U6"/>
    <mergeCell ref="V6:X6"/>
    <mergeCell ref="A3:AH3"/>
    <mergeCell ref="A4:C4"/>
    <mergeCell ref="D4:R4"/>
    <mergeCell ref="S4:V4"/>
    <mergeCell ref="W4:AB4"/>
    <mergeCell ref="AC4:AF4"/>
    <mergeCell ref="AG4:AH4"/>
    <mergeCell ref="A5:C5"/>
    <mergeCell ref="D5:I5"/>
    <mergeCell ref="J5:M5"/>
    <mergeCell ref="N5:R5"/>
    <mergeCell ref="S5:V5"/>
    <mergeCell ref="W5:AH5"/>
  </mergeCells>
  <conditionalFormatting sqref="B8:B62">
    <cfRule type="expression" dxfId="407" priority="1">
      <formula>$AE8="F"</formula>
    </cfRule>
    <cfRule type="expression" dxfId="406" priority="2">
      <formula>$AE8="R2"</formula>
    </cfRule>
    <cfRule type="expression" dxfId="405" priority="3">
      <formula>$AE8="R1"</formula>
    </cfRule>
    <cfRule type="expression" dxfId="404" priority="4">
      <formula>$AE8="Q2"</formula>
    </cfRule>
    <cfRule type="expression" dxfId="403" priority="5">
      <formula>$AE8="Q1"</formula>
    </cfRule>
    <cfRule type="expression" dxfId="402" priority="21">
      <formula>$AE$8="P"</formula>
    </cfRule>
  </conditionalFormatting>
  <conditionalFormatting sqref="D8:D62">
    <cfRule type="cellIs" dxfId="401" priority="64" operator="between">
      <formula>10</formula>
      <formula>19</formula>
    </cfRule>
    <cfRule type="cellIs" dxfId="400" priority="63" operator="between">
      <formula>20</formula>
      <formula>29</formula>
    </cfRule>
    <cfRule type="cellIs" dxfId="399" priority="62" operator="between">
      <formula>30</formula>
      <formula>39</formula>
    </cfRule>
    <cfRule type="cellIs" dxfId="398" priority="66" operator="between">
      <formula>0</formula>
      <formula>9</formula>
    </cfRule>
    <cfRule type="containsBlanks" dxfId="397" priority="65">
      <formula>LEN(TRIM(D8))=0</formula>
    </cfRule>
  </conditionalFormatting>
  <conditionalFormatting sqref="F8:F62">
    <cfRule type="cellIs" dxfId="396" priority="16" operator="between">
      <formula>30</formula>
      <formula>39</formula>
    </cfRule>
    <cfRule type="cellIs" dxfId="395" priority="17" operator="between">
      <formula>20</formula>
      <formula>29</formula>
    </cfRule>
    <cfRule type="cellIs" dxfId="394" priority="18" operator="between">
      <formula>10</formula>
      <formula>19</formula>
    </cfRule>
    <cfRule type="containsBlanks" dxfId="393" priority="19">
      <formula>LEN(TRIM(F8))=0</formula>
    </cfRule>
    <cfRule type="cellIs" dxfId="392" priority="20" operator="between">
      <formula>0</formula>
      <formula>9</formula>
    </cfRule>
  </conditionalFormatting>
  <conditionalFormatting sqref="H8:H62">
    <cfRule type="cellIs" dxfId="391" priority="13" operator="between">
      <formula>10</formula>
      <formula>19</formula>
    </cfRule>
    <cfRule type="cellIs" dxfId="390" priority="11" operator="between">
      <formula>30</formula>
      <formula>39</formula>
    </cfRule>
    <cfRule type="cellIs" dxfId="389" priority="12" operator="between">
      <formula>20</formula>
      <formula>29</formula>
    </cfRule>
    <cfRule type="containsBlanks" dxfId="388" priority="14">
      <formula>LEN(TRIM(H8))=0</formula>
    </cfRule>
    <cfRule type="cellIs" dxfId="387" priority="15" operator="between">
      <formula>0</formula>
      <formula>9</formula>
    </cfRule>
  </conditionalFormatting>
  <conditionalFormatting sqref="J8:J62">
    <cfRule type="cellIs" dxfId="386" priority="6" operator="between">
      <formula>30</formula>
      <formula>39</formula>
    </cfRule>
    <cfRule type="cellIs" dxfId="385" priority="8" operator="between">
      <formula>10</formula>
      <formula>19</formula>
    </cfRule>
    <cfRule type="containsBlanks" dxfId="384" priority="9">
      <formula>LEN(TRIM(J8))=0</formula>
    </cfRule>
    <cfRule type="cellIs" dxfId="383" priority="10" operator="between">
      <formula>0</formula>
      <formula>9</formula>
    </cfRule>
    <cfRule type="cellIs" dxfId="382" priority="7" operator="between">
      <formula>20</formula>
      <formula>29</formula>
    </cfRule>
  </conditionalFormatting>
  <conditionalFormatting sqref="L8:L62">
    <cfRule type="cellIs" dxfId="381" priority="42" operator="between">
      <formula>30</formula>
      <formula>39</formula>
    </cfRule>
    <cfRule type="cellIs" dxfId="380" priority="43" operator="between">
      <formula>20</formula>
      <formula>29</formula>
    </cfRule>
    <cfRule type="cellIs" dxfId="379" priority="44" operator="between">
      <formula>10</formula>
      <formula>19</formula>
    </cfRule>
    <cfRule type="cellIs" dxfId="378" priority="46" operator="between">
      <formula>0</formula>
      <formula>9</formula>
    </cfRule>
    <cfRule type="containsBlanks" dxfId="377" priority="45">
      <formula>LEN(TRIM(L8))=0</formula>
    </cfRule>
  </conditionalFormatting>
  <conditionalFormatting sqref="N8:N62">
    <cfRule type="cellIs" dxfId="376" priority="37" operator="between">
      <formula>30</formula>
      <formula>39</formula>
    </cfRule>
    <cfRule type="cellIs" dxfId="375" priority="38" operator="between">
      <formula>20</formula>
      <formula>29</formula>
    </cfRule>
    <cfRule type="containsBlanks" dxfId="374" priority="40">
      <formula>LEN(TRIM(N8))=0</formula>
    </cfRule>
    <cfRule type="cellIs" dxfId="373" priority="41" operator="between">
      <formula>0</formula>
      <formula>9</formula>
    </cfRule>
    <cfRule type="cellIs" dxfId="372" priority="39" operator="between">
      <formula>10</formula>
      <formula>19</formula>
    </cfRule>
  </conditionalFormatting>
  <conditionalFormatting sqref="P8:P62">
    <cfRule type="cellIs" dxfId="371" priority="33" operator="between">
      <formula>20</formula>
      <formula>29</formula>
    </cfRule>
    <cfRule type="cellIs" dxfId="370" priority="34" operator="between">
      <formula>10</formula>
      <formula>19</formula>
    </cfRule>
    <cfRule type="containsBlanks" dxfId="369" priority="35">
      <formula>LEN(TRIM(P8))=0</formula>
    </cfRule>
    <cfRule type="cellIs" dxfId="368" priority="36" operator="between">
      <formula>0</formula>
      <formula>9</formula>
    </cfRule>
    <cfRule type="cellIs" dxfId="367" priority="32" operator="between">
      <formula>30</formula>
      <formula>39</formula>
    </cfRule>
  </conditionalFormatting>
  <conditionalFormatting sqref="S8:S62">
    <cfRule type="cellIs" dxfId="366" priority="26" operator="between">
      <formula>0</formula>
      <formula>9</formula>
    </cfRule>
    <cfRule type="containsBlanks" dxfId="365" priority="25">
      <formula>LEN(TRIM(S8))=0</formula>
    </cfRule>
    <cfRule type="cellIs" dxfId="364" priority="24" operator="between">
      <formula>10</formula>
      <formula>19</formula>
    </cfRule>
    <cfRule type="cellIs" dxfId="363" priority="23" operator="between">
      <formula>20</formula>
      <formula>29</formula>
    </cfRule>
    <cfRule type="cellIs" dxfId="362" priority="22" operator="between">
      <formula>30</formula>
      <formula>39</formula>
    </cfRule>
  </conditionalFormatting>
  <conditionalFormatting sqref="V8:V62">
    <cfRule type="cellIs" dxfId="361" priority="27" operator="between">
      <formula>30</formula>
      <formula>39</formula>
    </cfRule>
    <cfRule type="cellIs" dxfId="360" priority="28" operator="between">
      <formula>20</formula>
      <formula>29</formula>
    </cfRule>
    <cfRule type="cellIs" dxfId="359" priority="29" operator="between">
      <formula>10</formula>
      <formula>19</formula>
    </cfRule>
    <cfRule type="containsBlanks" dxfId="358" priority="30">
      <formula>LEN(TRIM(V8))=0</formula>
    </cfRule>
    <cfRule type="cellIs" dxfId="357" priority="31" operator="between">
      <formula>0</formula>
      <formula>9</formula>
    </cfRule>
  </conditionalFormatting>
  <dataValidations count="9">
    <dataValidation type="custom" allowBlank="1" showInputMessage="1" showErrorMessage="1" sqref="AK6" xr:uid="{00000000-0002-0000-0200-000000000000}">
      <formula1>EXACT(AK6,LOWER(AK10))</formula1>
    </dataValidation>
    <dataValidation type="custom" allowBlank="1" showInputMessage="1" showErrorMessage="1" sqref="AI74" xr:uid="{00000000-0002-0000-0200-000001000000}">
      <formula1>OR(AND(AI74&gt;=0,AI74&lt;=100),AI74="ab")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8:D10 F8:F10 H8:H10 J8:J10 L8:L10 N8:N10 P8:P10 S8:S10 V8:V10" xr:uid="{00000000-0002-0000-0200-000002000000}">
      <formula1>OR(AND(D8:D62&gt;=0,D8:D62&lt;=100),D8:D62="ab")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11:D23 F11:F23 H11:H23 J11:J23 L11:L23 N11:N23 P11:P23 S11:S23 V11:V23" xr:uid="{00000000-0002-0000-0200-000003000000}">
      <formula1>OR(AND(D11:D66&gt;=0,D11:D66&lt;=100),D11:D66="ab")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24:D53 F24:F53 H24:H53 J24:J53 L24:L53 N24:N53 P24:P53 S24:S53 V24:V53" xr:uid="{00000000-0002-0000-0200-000004000000}">
      <formula1>OR(AND(D24:D83&gt;=0,D24:D83&lt;=100),D24:D83="ab")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54:D62 F54:F62 H54:H62 J54:J62 L54:L62 N54:N62 P54:P62 S54:S62 V54:V62" xr:uid="{00000000-0002-0000-0200-000005000000}">
      <formula1>OR(AND(D54:D114&gt;=0,D54:D114&lt;=100),D54:D114="ab")</formula1>
    </dataValidation>
    <dataValidation type="list" allowBlank="1" showInputMessage="1" showErrorMessage="1" sqref="R8:R62" xr:uid="{00000000-0002-0000-0200-000006000000}">
      <formula1>$B$81:$B$88</formula1>
    </dataValidation>
    <dataValidation type="list" allowBlank="1" showInputMessage="1" showErrorMessage="1" sqref="U8:U62" xr:uid="{00000000-0002-0000-0200-000007000000}">
      <formula1>$D$81:$D$88</formula1>
    </dataValidation>
    <dataValidation type="list" allowBlank="1" showInputMessage="1" showErrorMessage="1" sqref="X8:X62" xr:uid="{00000000-0002-0000-0200-000008000000}">
      <formula1>$N$81:$N$88</formula1>
    </dataValidation>
  </dataValidations>
  <pageMargins left="0.196850393700787" right="0.196850393700787" top="0.23622047244094499" bottom="0" header="0.31496062992126" footer="0.31496062992126"/>
  <pageSetup paperSize="8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N89"/>
  <sheetViews>
    <sheetView topLeftCell="A61" workbookViewId="0">
      <selection activeCell="A61" sqref="A1:XFD1048576"/>
    </sheetView>
  </sheetViews>
  <sheetFormatPr defaultColWidth="9.109375" defaultRowHeight="13.8"/>
  <cols>
    <col min="1" max="1" width="3.33203125" style="168" customWidth="1"/>
    <col min="2" max="2" width="5.88671875" style="168" customWidth="1"/>
    <col min="3" max="3" width="25.33203125" style="168" customWidth="1"/>
    <col min="4" max="4" width="3.6640625" style="168" customWidth="1"/>
    <col min="5" max="5" width="3" style="168" customWidth="1"/>
    <col min="6" max="6" width="3.6640625" style="168" customWidth="1"/>
    <col min="7" max="7" width="3" style="168" customWidth="1"/>
    <col min="8" max="8" width="3.6640625" style="168" customWidth="1"/>
    <col min="9" max="9" width="3" style="168" customWidth="1"/>
    <col min="10" max="10" width="3.6640625" style="168" customWidth="1"/>
    <col min="11" max="11" width="3" style="168" customWidth="1"/>
    <col min="12" max="12" width="3.6640625" style="168" customWidth="1"/>
    <col min="13" max="13" width="3" style="168" customWidth="1"/>
    <col min="14" max="14" width="3.6640625" style="168" customWidth="1"/>
    <col min="15" max="15" width="3" style="168" customWidth="1"/>
    <col min="16" max="16" width="3.6640625" style="168" customWidth="1"/>
    <col min="17" max="17" width="3" style="168" customWidth="1"/>
    <col min="18" max="18" width="3.33203125" style="168" customWidth="1"/>
    <col min="19" max="19" width="3.6640625" style="168" customWidth="1"/>
    <col min="20" max="20" width="3" style="168" customWidth="1"/>
    <col min="21" max="21" width="3.33203125" style="168" customWidth="1"/>
    <col min="22" max="22" width="3.6640625" style="168" customWidth="1"/>
    <col min="23" max="23" width="3" style="168" customWidth="1"/>
    <col min="24" max="24" width="3.33203125" style="168" customWidth="1"/>
    <col min="25" max="29" width="3.5546875" style="169" customWidth="1"/>
    <col min="30" max="30" width="3" style="170" customWidth="1"/>
    <col min="31" max="31" width="3.5546875" style="170" customWidth="1"/>
    <col min="32" max="32" width="4.88671875" style="171" customWidth="1"/>
    <col min="33" max="33" width="5.88671875" style="171" customWidth="1"/>
    <col min="34" max="34" width="3.88671875" style="169" customWidth="1"/>
    <col min="35" max="16384" width="9.109375" style="168"/>
  </cols>
  <sheetData>
    <row r="2" spans="1:34" ht="7.5" customHeight="1"/>
    <row r="3" spans="1:34" ht="19.5" customHeight="1">
      <c r="A3" s="308" t="s">
        <v>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</row>
    <row r="4" spans="1:34" s="166" customFormat="1" ht="15.75" customHeight="1">
      <c r="A4" s="310" t="s">
        <v>1</v>
      </c>
      <c r="B4" s="310"/>
      <c r="C4" s="310"/>
      <c r="D4" s="311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3" t="s">
        <v>2</v>
      </c>
      <c r="T4" s="314"/>
      <c r="U4" s="314"/>
      <c r="V4" s="315"/>
      <c r="W4" s="316"/>
      <c r="X4" s="317"/>
      <c r="Y4" s="317"/>
      <c r="Z4" s="317"/>
      <c r="AA4" s="317"/>
      <c r="AB4" s="318"/>
      <c r="AC4" s="319" t="s">
        <v>3</v>
      </c>
      <c r="AD4" s="320"/>
      <c r="AE4" s="321"/>
      <c r="AF4" s="321"/>
      <c r="AG4" s="316"/>
      <c r="AH4" s="318"/>
    </row>
    <row r="5" spans="1:34" s="166" customFormat="1" ht="15.75" customHeight="1">
      <c r="A5" s="310" t="s">
        <v>4</v>
      </c>
      <c r="B5" s="310"/>
      <c r="C5" s="310"/>
      <c r="D5" s="322"/>
      <c r="E5" s="322"/>
      <c r="F5" s="322"/>
      <c r="G5" s="322"/>
      <c r="H5" s="322"/>
      <c r="I5" s="322"/>
      <c r="J5" s="323" t="s">
        <v>5</v>
      </c>
      <c r="K5" s="323"/>
      <c r="L5" s="323"/>
      <c r="M5" s="323"/>
      <c r="N5" s="311"/>
      <c r="O5" s="312"/>
      <c r="P5" s="312"/>
      <c r="Q5" s="312"/>
      <c r="R5" s="312"/>
      <c r="S5" s="324" t="s">
        <v>6</v>
      </c>
      <c r="T5" s="325"/>
      <c r="U5" s="325"/>
      <c r="V5" s="326"/>
      <c r="W5" s="327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9"/>
    </row>
    <row r="6" spans="1:34" ht="76.5" customHeight="1">
      <c r="A6" s="402"/>
      <c r="B6" s="404" t="s">
        <v>7</v>
      </c>
      <c r="C6" s="172" t="s">
        <v>8</v>
      </c>
      <c r="D6" s="330" t="s">
        <v>9</v>
      </c>
      <c r="E6" s="331"/>
      <c r="F6" s="330" t="s">
        <v>10</v>
      </c>
      <c r="G6" s="331"/>
      <c r="H6" s="332" t="s">
        <v>11</v>
      </c>
      <c r="I6" s="333"/>
      <c r="J6" s="330" t="s">
        <v>12</v>
      </c>
      <c r="K6" s="331"/>
      <c r="L6" s="330" t="s">
        <v>13</v>
      </c>
      <c r="M6" s="331"/>
      <c r="N6" s="330" t="s">
        <v>14</v>
      </c>
      <c r="O6" s="334"/>
      <c r="P6" s="335" t="s">
        <v>15</v>
      </c>
      <c r="Q6" s="336"/>
      <c r="R6" s="337"/>
      <c r="S6" s="332" t="s">
        <v>16</v>
      </c>
      <c r="T6" s="338"/>
      <c r="U6" s="333"/>
      <c r="V6" s="332" t="s">
        <v>17</v>
      </c>
      <c r="W6" s="338"/>
      <c r="X6" s="333"/>
      <c r="Y6" s="339" t="s">
        <v>18</v>
      </c>
      <c r="Z6" s="340"/>
      <c r="AA6" s="340"/>
      <c r="AB6" s="340"/>
      <c r="AC6" s="341"/>
      <c r="AD6" s="406" t="s">
        <v>19</v>
      </c>
      <c r="AE6" s="408" t="s">
        <v>20</v>
      </c>
      <c r="AF6" s="332" t="s">
        <v>21</v>
      </c>
      <c r="AG6" s="338" t="s">
        <v>22</v>
      </c>
      <c r="AH6" s="333" t="s">
        <v>23</v>
      </c>
    </row>
    <row r="7" spans="1:34" ht="18" customHeight="1">
      <c r="A7" s="403"/>
      <c r="B7" s="405"/>
      <c r="C7" s="173" t="s">
        <v>24</v>
      </c>
      <c r="D7" s="174" t="s">
        <v>25</v>
      </c>
      <c r="E7" s="175" t="s">
        <v>26</v>
      </c>
      <c r="F7" s="174" t="s">
        <v>25</v>
      </c>
      <c r="G7" s="175" t="s">
        <v>26</v>
      </c>
      <c r="H7" s="174" t="s">
        <v>25</v>
      </c>
      <c r="I7" s="175" t="s">
        <v>26</v>
      </c>
      <c r="J7" s="174" t="s">
        <v>25</v>
      </c>
      <c r="K7" s="175" t="s">
        <v>26</v>
      </c>
      <c r="L7" s="174" t="s">
        <v>25</v>
      </c>
      <c r="M7" s="175" t="s">
        <v>26</v>
      </c>
      <c r="N7" s="174" t="s">
        <v>25</v>
      </c>
      <c r="O7" s="183" t="s">
        <v>26</v>
      </c>
      <c r="P7" s="174" t="s">
        <v>25</v>
      </c>
      <c r="Q7" s="186" t="s">
        <v>26</v>
      </c>
      <c r="R7" s="187" t="s">
        <v>27</v>
      </c>
      <c r="S7" s="174" t="s">
        <v>25</v>
      </c>
      <c r="T7" s="186" t="s">
        <v>26</v>
      </c>
      <c r="U7" s="188" t="s">
        <v>27</v>
      </c>
      <c r="V7" s="174" t="s">
        <v>25</v>
      </c>
      <c r="W7" s="186" t="s">
        <v>26</v>
      </c>
      <c r="X7" s="188" t="s">
        <v>27</v>
      </c>
      <c r="Y7" s="202" t="s">
        <v>28</v>
      </c>
      <c r="Z7" s="203" t="s">
        <v>29</v>
      </c>
      <c r="AA7" s="203" t="s">
        <v>30</v>
      </c>
      <c r="AB7" s="203" t="s">
        <v>31</v>
      </c>
      <c r="AC7" s="204" t="s">
        <v>32</v>
      </c>
      <c r="AD7" s="407"/>
      <c r="AE7" s="409"/>
      <c r="AF7" s="410"/>
      <c r="AG7" s="411"/>
      <c r="AH7" s="412"/>
    </row>
    <row r="8" spans="1:34" s="167" customFormat="1" ht="12.75" customHeight="1">
      <c r="A8" s="176">
        <v>1</v>
      </c>
      <c r="B8" s="177"/>
      <c r="C8" s="178"/>
      <c r="D8" s="179"/>
      <c r="E8" s="180" t="str">
        <f>IF(D8="","",IF(D8="ab","ab",IF(D8&gt;=75,"A",(IF(D8&gt;=65,"B",IF(D8&gt;=50,"C",IF(D8&gt;=40,"S","W")))))))</f>
        <v/>
      </c>
      <c r="F8" s="179"/>
      <c r="G8" s="180" t="str">
        <f>IF(F8="","",IF(F8="ab","ab",IF(F8&gt;=75,"A",(IF(F8&gt;=65,"B",IF(F8&gt;=50,"C",IF(F8&gt;=40,"S","W")))))))</f>
        <v/>
      </c>
      <c r="H8" s="179"/>
      <c r="I8" s="180" t="str">
        <f>IF(H8="","",IF(H8="ab","ab",IF(H8&gt;=75,"A",(IF(H8&gt;=65,"B",IF(H8&gt;=50,"C",IF(H8&gt;=40,"S","W")))))))</f>
        <v/>
      </c>
      <c r="J8" s="179"/>
      <c r="K8" s="180" t="str">
        <f>IF(J8="","",IF(J8="ab","ab",IF(J8&gt;=75,"A",(IF(J8&gt;=65,"B",IF(J8&gt;=50,"C",IF(J8&gt;=40,"S","W")))))))</f>
        <v/>
      </c>
      <c r="L8" s="179"/>
      <c r="M8" s="180" t="str">
        <f>IF(L8="","",IF(L8="ab","ab",IF(L8&gt;=75,"A",(IF(L8&gt;=65,"B",IF(L8&gt;=50,"C",IF(L8&gt;=40,"S","W")))))))</f>
        <v/>
      </c>
      <c r="N8" s="179"/>
      <c r="O8" s="184" t="str">
        <f>IF(N8="","",IF(N8="ab","ab",IF(N8&gt;=75,"A",(IF(N8&gt;=65,"B",IF(N8&gt;=50,"C",IF(N8&gt;=40,"S","W")))))))</f>
        <v/>
      </c>
      <c r="P8" s="179"/>
      <c r="Q8" s="189" t="str">
        <f t="shared" ref="Q8:Q62" si="0">IF(P8="","",IF(P8="ab","ab",IF(P8&gt;=75,"A",(IF(P8&gt;=65,"B",IF(P8&gt;=50,"C",IF(P8&gt;=40,"S","W")))))))</f>
        <v/>
      </c>
      <c r="R8" s="190"/>
      <c r="S8" s="179"/>
      <c r="T8" s="189" t="str">
        <f>IF(S8="","",IF(S8="ab","ab",IF(S8&gt;=75,"A",(IF(S8&gt;=65,"B",IF(S8&gt;=50,"C",IF(S8&gt;=40,"S","W")))))))</f>
        <v/>
      </c>
      <c r="U8" s="190"/>
      <c r="V8" s="179"/>
      <c r="W8" s="189" t="str">
        <f>IF(V8="","",IF(V8="ab","ab",IF(V8&gt;=75,"A",(IF(V8&gt;=65,"B",IF(V8&gt;=50,"C",IF(V8&gt;=40,"S","W")))))))</f>
        <v/>
      </c>
      <c r="X8" s="191"/>
      <c r="Y8" s="205" t="str">
        <f t="shared" ref="Y8:Y62" si="1">IF(AND($D8="ab",$F8="ab",$H8="ab",$J8="ab",$L8="ab",$N8="ab",$P8="ab",$S8="ab",$V8="ab"),"-",IF(COUNT($D8:$W8)=0,"",(COUNTIF($D8:$W8,"A"))))</f>
        <v/>
      </c>
      <c r="Z8" s="206" t="str">
        <f t="shared" ref="Z8:Z62" si="2">IF(AND($D8="ab",$F8="ab",$H8="ab",$J8="ab",$L8="ab",$N8="ab",$P8="ab",$S8="ab",$V8="ab"),"-",IF(COUNT($D8:$W8)=0,"",(COUNTIF($D8:$W8,"B"))))</f>
        <v/>
      </c>
      <c r="AA8" s="206" t="str">
        <f t="shared" ref="AA8:AA62" si="3">IF(AND($D8="ab",$F8="ab",$H8="ab",$J8="ab",$L8="ab",$N8="ab",$P8="ab",$S8="ab",$V8="ab"),"-",IF(COUNT($D8:$W8)=0,"",(COUNTIF($D8:$W8,"C"))))</f>
        <v/>
      </c>
      <c r="AB8" s="206" t="str">
        <f t="shared" ref="AB8:AB62" si="4">IF(AND($D8="ab",$F8="ab",$H8="ab",$J8="ab",$L8="ab",$N8="ab",$P8="ab",$S8="ab",$V8="ab"),"-",IF(COUNT($D8:$W8)=0,"",(COUNTIF($D8:$W8,"S"))))</f>
        <v/>
      </c>
      <c r="AC8" s="207" t="str">
        <f t="shared" ref="AC8:AC62" si="5">IF(AND($D8="ab",$F8="ab",$H8="ab",$J8="ab",$L8="ab",$N8="ab",$P8="ab",$S8="ab",$V8="ab"),"-",IF(COUNT($D8:$W8)=0,"",(COUNTIF($D8:$W8,"W"))))</f>
        <v/>
      </c>
      <c r="AD8" s="208" t="str">
        <f t="shared" ref="AD8:AD62" si="6">IF(AND(D8="ab",F8="ab",H8="ab",J8="ab",L8="ab",N8="ab",P8="ab",S8="ab",V8="ab"),"ab",IF(AND(Y8="",Z8="",AA8="",AB8="",AC8=""),"",IF(AND((D8&gt;=40),(H8&gt;=40),(Y8+Z8+AA8+AB8)&gt;=6,(Y8+Z8+AA8)&gt;=3),"P","F")))</f>
        <v/>
      </c>
      <c r="AE8" s="209" t="str">
        <f>IF(AD8="","",IF(AD8="P","P",IF(AND(AD8="F",H8&gt;=40,D8&gt;=40,(Y8+Z8+AA8+AB8)&gt;=6,(Y8+Z8+AA8)=2),"Q1",IF(AND(AD8="F",(OR(H8&gt;=40,D8&gt;=40)),(Y8+Z8+AA8+AB8)&gt;=5,(Y8+Z8+AA8)&gt;=3),"Q2",IF((COUNTIF(D8:X8,"&gt;=40"))&gt;=5,"R1",IF((COUNTIF(D8:X8,"&gt;=20"))&gt;=5,"R2","F"))))))</f>
        <v/>
      </c>
      <c r="AF8" s="210" t="str">
        <f t="shared" ref="AF8:AF62" si="7">IF(AND(D8="",F8="",H8="",J8="",L8="",N8="",P8="",S8="",V8=""),"",IF(AND(D8="ab",F8="ab",H8="ab",J8="ab",L8="ab",N8="ab",P8="ab",S8="ab",V8="ab"),"ab",IF(COUNT(D8:W8)=0,"",(SUM(D8:V8)))))</f>
        <v/>
      </c>
      <c r="AG8" s="219" t="str">
        <f t="shared" ref="AG8:AG62" si="8">IF(AF8="","",IF(AF8="ab","ab",IF(AF8=0,0,(AVERAGE(D8:V8)))))</f>
        <v/>
      </c>
      <c r="AH8" s="207" t="str">
        <f t="shared" ref="AH8:AH62" si="9">IF(AF8="","",IF(AF8="ab","ab",(RANK(AF8,$AF$8:$AF$62))))</f>
        <v/>
      </c>
    </row>
    <row r="9" spans="1:34" s="167" customFormat="1" ht="12.75" customHeight="1">
      <c r="A9" s="181">
        <v>2</v>
      </c>
      <c r="B9" s="177"/>
      <c r="C9" s="182"/>
      <c r="D9" s="179"/>
      <c r="E9" s="180" t="str">
        <f t="shared" ref="E9:E62" si="10">IF(D9="","",IF(D9="ab","ab",IF(D9&gt;=75,"A",(IF(D9&gt;=65,"B",IF(D9&gt;=50,"C",IF(D9&gt;=40,"S","W")))))))</f>
        <v/>
      </c>
      <c r="F9" s="179"/>
      <c r="G9" s="180" t="str">
        <f t="shared" ref="G9:G62" si="11">IF(F9="","",IF(F9="ab","ab",IF(F9&gt;=75,"A",(IF(F9&gt;=65,"B",IF(F9&gt;=50,"C",IF(F9&gt;=40,"S","W")))))))</f>
        <v/>
      </c>
      <c r="H9" s="179"/>
      <c r="I9" s="180" t="str">
        <f t="shared" ref="I9:I62" si="12">IF(H9="","",IF(H9="ab","ab",IF(H9&gt;=75,"A",(IF(H9&gt;=65,"B",IF(H9&gt;=50,"C",IF(H9&gt;=40,"S","W")))))))</f>
        <v/>
      </c>
      <c r="J9" s="179"/>
      <c r="K9" s="180" t="str">
        <f t="shared" ref="K9:K62" si="13">IF(J9="","",IF(J9="ab","ab",IF(J9&gt;=75,"A",(IF(J9&gt;=65,"B",IF(J9&gt;=50,"C",IF(J9&gt;=40,"S","W")))))))</f>
        <v/>
      </c>
      <c r="L9" s="179"/>
      <c r="M9" s="180" t="str">
        <f t="shared" ref="M9:M62" si="14">IF(L9="","",IF(L9="ab","ab",IF(L9&gt;=75,"A",(IF(L9&gt;=65,"B",IF(L9&gt;=50,"C",IF(L9&gt;=40,"S","W")))))))</f>
        <v/>
      </c>
      <c r="N9" s="179"/>
      <c r="O9" s="180" t="str">
        <f t="shared" ref="O9:O62" si="15">IF(N9="","",IF(N9="ab","ab",IF(N9&gt;=75,"A",(IF(N9&gt;=65,"B",IF(N9&gt;=50,"C",IF(N9&gt;=40,"S","W")))))))</f>
        <v/>
      </c>
      <c r="P9" s="179"/>
      <c r="Q9" s="192" t="str">
        <f t="shared" si="0"/>
        <v/>
      </c>
      <c r="R9" s="193"/>
      <c r="S9" s="179"/>
      <c r="T9" s="192" t="str">
        <f t="shared" ref="T9:T62" si="16">IF(S9="","",IF(S9="ab","ab",IF(S9&gt;=75,"A",(IF(S9&gt;=65,"B",IF(S9&gt;=50,"C",IF(S9&gt;=40,"S","W")))))))</f>
        <v/>
      </c>
      <c r="U9" s="193"/>
      <c r="V9" s="179"/>
      <c r="W9" s="192" t="str">
        <f t="shared" ref="W9:W62" si="17">IF(V9="","",IF(V9="ab","ab",IF(V9&gt;=75,"A",(IF(V9&gt;=65,"B",IF(V9&gt;=50,"C",IF(V9&gt;=40,"S","W")))))))</f>
        <v/>
      </c>
      <c r="X9" s="194"/>
      <c r="Y9" s="205" t="str">
        <f t="shared" si="1"/>
        <v/>
      </c>
      <c r="Z9" s="206" t="str">
        <f t="shared" si="2"/>
        <v/>
      </c>
      <c r="AA9" s="206" t="str">
        <f t="shared" si="3"/>
        <v/>
      </c>
      <c r="AB9" s="206" t="str">
        <f t="shared" si="4"/>
        <v/>
      </c>
      <c r="AC9" s="207" t="str">
        <f t="shared" si="5"/>
        <v/>
      </c>
      <c r="AD9" s="208" t="str">
        <f t="shared" si="6"/>
        <v/>
      </c>
      <c r="AE9" s="209" t="str">
        <f t="shared" ref="AE9:AE62" si="18">IF(AD9="","",IF(AD9="P","P",IF(AND(AD9="F",H9&gt;=40,D9&gt;=40,(Y9+Z9+AA9+AB9)&gt;=6,(Y9+Z9+AA9)=2),"Q1",IF(AND(AD9="F",(OR(H9&gt;=40,D9&gt;=40)),(Y9+Z9+AA9+AB9)&gt;=5,(Y9+Z9+AA9)&gt;=3),"Q2",IF((COUNTIF(D9:X9,"&gt;=40"))&gt;=5,"R1",IF((COUNTIF(D9:X9,"&gt;=20"))&gt;=5,"R2","F"))))))</f>
        <v/>
      </c>
      <c r="AF9" s="210" t="str">
        <f t="shared" si="7"/>
        <v/>
      </c>
      <c r="AG9" s="219" t="str">
        <f t="shared" si="8"/>
        <v/>
      </c>
      <c r="AH9" s="207" t="str">
        <f t="shared" si="9"/>
        <v/>
      </c>
    </row>
    <row r="10" spans="1:34" s="167" customFormat="1" ht="12.75" customHeight="1">
      <c r="A10" s="181">
        <v>3</v>
      </c>
      <c r="B10" s="177"/>
      <c r="C10" s="182"/>
      <c r="D10" s="179"/>
      <c r="E10" s="180" t="str">
        <f t="shared" si="10"/>
        <v/>
      </c>
      <c r="F10" s="179"/>
      <c r="G10" s="180" t="str">
        <f t="shared" si="11"/>
        <v/>
      </c>
      <c r="H10" s="179"/>
      <c r="I10" s="180" t="str">
        <f t="shared" si="12"/>
        <v/>
      </c>
      <c r="J10" s="179"/>
      <c r="K10" s="180" t="str">
        <f t="shared" si="13"/>
        <v/>
      </c>
      <c r="L10" s="179"/>
      <c r="M10" s="180" t="str">
        <f t="shared" si="14"/>
        <v/>
      </c>
      <c r="N10" s="179"/>
      <c r="O10" s="180" t="str">
        <f t="shared" si="15"/>
        <v/>
      </c>
      <c r="P10" s="179"/>
      <c r="Q10" s="192" t="str">
        <f t="shared" si="0"/>
        <v/>
      </c>
      <c r="R10" s="193"/>
      <c r="S10" s="179"/>
      <c r="T10" s="192" t="str">
        <f t="shared" si="16"/>
        <v/>
      </c>
      <c r="U10" s="193"/>
      <c r="V10" s="179"/>
      <c r="W10" s="192" t="str">
        <f t="shared" si="17"/>
        <v/>
      </c>
      <c r="X10" s="194"/>
      <c r="Y10" s="205" t="str">
        <f t="shared" si="1"/>
        <v/>
      </c>
      <c r="Z10" s="206" t="str">
        <f t="shared" si="2"/>
        <v/>
      </c>
      <c r="AA10" s="206" t="str">
        <f t="shared" si="3"/>
        <v/>
      </c>
      <c r="AB10" s="206" t="str">
        <f t="shared" si="4"/>
        <v/>
      </c>
      <c r="AC10" s="207" t="str">
        <f t="shared" si="5"/>
        <v/>
      </c>
      <c r="AD10" s="208" t="str">
        <f t="shared" si="6"/>
        <v/>
      </c>
      <c r="AE10" s="209" t="str">
        <f t="shared" si="18"/>
        <v/>
      </c>
      <c r="AF10" s="210" t="str">
        <f t="shared" si="7"/>
        <v/>
      </c>
      <c r="AG10" s="219" t="str">
        <f t="shared" si="8"/>
        <v/>
      </c>
      <c r="AH10" s="207" t="str">
        <f t="shared" si="9"/>
        <v/>
      </c>
    </row>
    <row r="11" spans="1:34" s="167" customFormat="1" ht="12.75" customHeight="1">
      <c r="A11" s="181">
        <v>4</v>
      </c>
      <c r="B11" s="177"/>
      <c r="C11" s="182"/>
      <c r="D11" s="179"/>
      <c r="E11" s="180" t="str">
        <f t="shared" si="10"/>
        <v/>
      </c>
      <c r="F11" s="179"/>
      <c r="G11" s="180" t="str">
        <f t="shared" si="11"/>
        <v/>
      </c>
      <c r="H11" s="179"/>
      <c r="I11" s="180" t="str">
        <f t="shared" si="12"/>
        <v/>
      </c>
      <c r="J11" s="179"/>
      <c r="K11" s="180" t="str">
        <f t="shared" si="13"/>
        <v/>
      </c>
      <c r="L11" s="179"/>
      <c r="M11" s="180" t="str">
        <f t="shared" si="14"/>
        <v/>
      </c>
      <c r="N11" s="179"/>
      <c r="O11" s="180" t="str">
        <f t="shared" si="15"/>
        <v/>
      </c>
      <c r="P11" s="179"/>
      <c r="Q11" s="192" t="str">
        <f t="shared" si="0"/>
        <v/>
      </c>
      <c r="R11" s="193"/>
      <c r="S11" s="179"/>
      <c r="T11" s="192" t="str">
        <f t="shared" si="16"/>
        <v/>
      </c>
      <c r="U11" s="193"/>
      <c r="V11" s="179"/>
      <c r="W11" s="192" t="str">
        <f t="shared" si="17"/>
        <v/>
      </c>
      <c r="X11" s="194"/>
      <c r="Y11" s="205" t="str">
        <f t="shared" si="1"/>
        <v/>
      </c>
      <c r="Z11" s="206" t="str">
        <f t="shared" si="2"/>
        <v/>
      </c>
      <c r="AA11" s="206" t="str">
        <f t="shared" si="3"/>
        <v/>
      </c>
      <c r="AB11" s="206" t="str">
        <f t="shared" si="4"/>
        <v/>
      </c>
      <c r="AC11" s="207" t="str">
        <f t="shared" si="5"/>
        <v/>
      </c>
      <c r="AD11" s="208" t="str">
        <f t="shared" si="6"/>
        <v/>
      </c>
      <c r="AE11" s="209" t="str">
        <f t="shared" si="18"/>
        <v/>
      </c>
      <c r="AF11" s="210" t="str">
        <f t="shared" si="7"/>
        <v/>
      </c>
      <c r="AG11" s="219" t="str">
        <f t="shared" si="8"/>
        <v/>
      </c>
      <c r="AH11" s="207" t="str">
        <f t="shared" si="9"/>
        <v/>
      </c>
    </row>
    <row r="12" spans="1:34" s="167" customFormat="1" ht="12.75" customHeight="1">
      <c r="A12" s="181">
        <v>5</v>
      </c>
      <c r="B12" s="177"/>
      <c r="C12" s="182"/>
      <c r="D12" s="179"/>
      <c r="E12" s="180" t="str">
        <f t="shared" si="10"/>
        <v/>
      </c>
      <c r="F12" s="179"/>
      <c r="G12" s="180" t="str">
        <f t="shared" si="11"/>
        <v/>
      </c>
      <c r="H12" s="179"/>
      <c r="I12" s="180" t="str">
        <f t="shared" si="12"/>
        <v/>
      </c>
      <c r="J12" s="179"/>
      <c r="K12" s="180" t="str">
        <f t="shared" si="13"/>
        <v/>
      </c>
      <c r="L12" s="179"/>
      <c r="M12" s="180" t="str">
        <f t="shared" si="14"/>
        <v/>
      </c>
      <c r="N12" s="179"/>
      <c r="O12" s="180" t="str">
        <f t="shared" si="15"/>
        <v/>
      </c>
      <c r="P12" s="179"/>
      <c r="Q12" s="192" t="str">
        <f t="shared" si="0"/>
        <v/>
      </c>
      <c r="R12" s="193"/>
      <c r="S12" s="179"/>
      <c r="T12" s="192" t="str">
        <f t="shared" si="16"/>
        <v/>
      </c>
      <c r="U12" s="193"/>
      <c r="V12" s="179"/>
      <c r="W12" s="192" t="str">
        <f t="shared" si="17"/>
        <v/>
      </c>
      <c r="X12" s="194"/>
      <c r="Y12" s="205" t="str">
        <f t="shared" si="1"/>
        <v/>
      </c>
      <c r="Z12" s="206" t="str">
        <f t="shared" si="2"/>
        <v/>
      </c>
      <c r="AA12" s="206" t="str">
        <f t="shared" si="3"/>
        <v/>
      </c>
      <c r="AB12" s="206" t="str">
        <f t="shared" si="4"/>
        <v/>
      </c>
      <c r="AC12" s="207" t="str">
        <f t="shared" si="5"/>
        <v/>
      </c>
      <c r="AD12" s="208" t="str">
        <f t="shared" si="6"/>
        <v/>
      </c>
      <c r="AE12" s="209" t="str">
        <f t="shared" si="18"/>
        <v/>
      </c>
      <c r="AF12" s="210" t="str">
        <f t="shared" si="7"/>
        <v/>
      </c>
      <c r="AG12" s="219" t="str">
        <f t="shared" si="8"/>
        <v/>
      </c>
      <c r="AH12" s="207" t="str">
        <f t="shared" si="9"/>
        <v/>
      </c>
    </row>
    <row r="13" spans="1:34" s="167" customFormat="1" ht="12.75" customHeight="1">
      <c r="A13" s="181">
        <v>6</v>
      </c>
      <c r="B13" s="177"/>
      <c r="C13" s="182"/>
      <c r="D13" s="179"/>
      <c r="E13" s="180" t="str">
        <f t="shared" si="10"/>
        <v/>
      </c>
      <c r="F13" s="179"/>
      <c r="G13" s="180" t="str">
        <f t="shared" si="11"/>
        <v/>
      </c>
      <c r="H13" s="179"/>
      <c r="I13" s="180" t="str">
        <f t="shared" si="12"/>
        <v/>
      </c>
      <c r="J13" s="179"/>
      <c r="K13" s="180" t="str">
        <f t="shared" si="13"/>
        <v/>
      </c>
      <c r="L13" s="179"/>
      <c r="M13" s="180" t="str">
        <f t="shared" si="14"/>
        <v/>
      </c>
      <c r="N13" s="179"/>
      <c r="O13" s="180" t="str">
        <f t="shared" si="15"/>
        <v/>
      </c>
      <c r="P13" s="179"/>
      <c r="Q13" s="192" t="str">
        <f t="shared" si="0"/>
        <v/>
      </c>
      <c r="R13" s="193"/>
      <c r="S13" s="179"/>
      <c r="T13" s="192" t="str">
        <f t="shared" si="16"/>
        <v/>
      </c>
      <c r="U13" s="193"/>
      <c r="V13" s="179"/>
      <c r="W13" s="192" t="str">
        <f t="shared" si="17"/>
        <v/>
      </c>
      <c r="X13" s="194"/>
      <c r="Y13" s="205" t="str">
        <f t="shared" si="1"/>
        <v/>
      </c>
      <c r="Z13" s="206" t="str">
        <f t="shared" si="2"/>
        <v/>
      </c>
      <c r="AA13" s="206" t="str">
        <f t="shared" si="3"/>
        <v/>
      </c>
      <c r="AB13" s="206" t="str">
        <f t="shared" si="4"/>
        <v/>
      </c>
      <c r="AC13" s="207" t="str">
        <f t="shared" si="5"/>
        <v/>
      </c>
      <c r="AD13" s="208" t="str">
        <f t="shared" si="6"/>
        <v/>
      </c>
      <c r="AE13" s="209" t="str">
        <f t="shared" si="18"/>
        <v/>
      </c>
      <c r="AF13" s="210" t="str">
        <f t="shared" si="7"/>
        <v/>
      </c>
      <c r="AG13" s="219" t="str">
        <f t="shared" si="8"/>
        <v/>
      </c>
      <c r="AH13" s="207" t="str">
        <f t="shared" si="9"/>
        <v/>
      </c>
    </row>
    <row r="14" spans="1:34" s="167" customFormat="1" ht="12.75" customHeight="1">
      <c r="A14" s="181">
        <v>7</v>
      </c>
      <c r="B14" s="177"/>
      <c r="C14" s="182"/>
      <c r="D14" s="179"/>
      <c r="E14" s="180" t="str">
        <f t="shared" si="10"/>
        <v/>
      </c>
      <c r="F14" s="179"/>
      <c r="G14" s="180" t="str">
        <f t="shared" si="11"/>
        <v/>
      </c>
      <c r="H14" s="179"/>
      <c r="I14" s="180" t="str">
        <f t="shared" si="12"/>
        <v/>
      </c>
      <c r="J14" s="179"/>
      <c r="K14" s="180" t="str">
        <f t="shared" si="13"/>
        <v/>
      </c>
      <c r="L14" s="179"/>
      <c r="M14" s="180" t="str">
        <f t="shared" si="14"/>
        <v/>
      </c>
      <c r="N14" s="179"/>
      <c r="O14" s="180" t="str">
        <f t="shared" si="15"/>
        <v/>
      </c>
      <c r="P14" s="179"/>
      <c r="Q14" s="192" t="str">
        <f t="shared" si="0"/>
        <v/>
      </c>
      <c r="R14" s="193"/>
      <c r="S14" s="179"/>
      <c r="T14" s="192" t="str">
        <f t="shared" si="16"/>
        <v/>
      </c>
      <c r="U14" s="193"/>
      <c r="V14" s="179"/>
      <c r="W14" s="192" t="str">
        <f t="shared" si="17"/>
        <v/>
      </c>
      <c r="X14" s="194"/>
      <c r="Y14" s="205" t="str">
        <f t="shared" si="1"/>
        <v/>
      </c>
      <c r="Z14" s="206" t="str">
        <f t="shared" si="2"/>
        <v/>
      </c>
      <c r="AA14" s="206" t="str">
        <f t="shared" si="3"/>
        <v/>
      </c>
      <c r="AB14" s="206" t="str">
        <f t="shared" si="4"/>
        <v/>
      </c>
      <c r="AC14" s="207" t="str">
        <f t="shared" si="5"/>
        <v/>
      </c>
      <c r="AD14" s="208" t="str">
        <f t="shared" si="6"/>
        <v/>
      </c>
      <c r="AE14" s="209" t="str">
        <f t="shared" si="18"/>
        <v/>
      </c>
      <c r="AF14" s="210" t="str">
        <f t="shared" si="7"/>
        <v/>
      </c>
      <c r="AG14" s="219" t="str">
        <f t="shared" si="8"/>
        <v/>
      </c>
      <c r="AH14" s="207" t="str">
        <f t="shared" si="9"/>
        <v/>
      </c>
    </row>
    <row r="15" spans="1:34" s="167" customFormat="1" ht="12.75" customHeight="1">
      <c r="A15" s="181">
        <v>8</v>
      </c>
      <c r="B15" s="177"/>
      <c r="C15" s="182"/>
      <c r="D15" s="179"/>
      <c r="E15" s="180" t="str">
        <f t="shared" si="10"/>
        <v/>
      </c>
      <c r="F15" s="179"/>
      <c r="G15" s="180" t="str">
        <f t="shared" si="11"/>
        <v/>
      </c>
      <c r="H15" s="179"/>
      <c r="I15" s="180" t="str">
        <f t="shared" si="12"/>
        <v/>
      </c>
      <c r="J15" s="179"/>
      <c r="K15" s="180" t="str">
        <f t="shared" si="13"/>
        <v/>
      </c>
      <c r="L15" s="179"/>
      <c r="M15" s="180" t="str">
        <f t="shared" si="14"/>
        <v/>
      </c>
      <c r="N15" s="179"/>
      <c r="O15" s="180" t="str">
        <f t="shared" si="15"/>
        <v/>
      </c>
      <c r="P15" s="179"/>
      <c r="Q15" s="192" t="str">
        <f t="shared" si="0"/>
        <v/>
      </c>
      <c r="R15" s="193"/>
      <c r="S15" s="179"/>
      <c r="T15" s="192" t="str">
        <f t="shared" si="16"/>
        <v/>
      </c>
      <c r="U15" s="193"/>
      <c r="V15" s="179"/>
      <c r="W15" s="192" t="str">
        <f t="shared" si="17"/>
        <v/>
      </c>
      <c r="X15" s="194"/>
      <c r="Y15" s="205" t="str">
        <f t="shared" si="1"/>
        <v/>
      </c>
      <c r="Z15" s="206" t="str">
        <f t="shared" si="2"/>
        <v/>
      </c>
      <c r="AA15" s="206" t="str">
        <f t="shared" si="3"/>
        <v/>
      </c>
      <c r="AB15" s="206" t="str">
        <f t="shared" si="4"/>
        <v/>
      </c>
      <c r="AC15" s="207" t="str">
        <f t="shared" si="5"/>
        <v/>
      </c>
      <c r="AD15" s="208" t="str">
        <f t="shared" si="6"/>
        <v/>
      </c>
      <c r="AE15" s="209" t="str">
        <f t="shared" si="18"/>
        <v/>
      </c>
      <c r="AF15" s="210" t="str">
        <f t="shared" si="7"/>
        <v/>
      </c>
      <c r="AG15" s="219" t="str">
        <f t="shared" si="8"/>
        <v/>
      </c>
      <c r="AH15" s="207" t="str">
        <f t="shared" si="9"/>
        <v/>
      </c>
    </row>
    <row r="16" spans="1:34" s="167" customFormat="1" ht="12.75" customHeight="1">
      <c r="A16" s="181">
        <v>9</v>
      </c>
      <c r="B16" s="177"/>
      <c r="C16" s="182"/>
      <c r="D16" s="179"/>
      <c r="E16" s="180" t="str">
        <f t="shared" si="10"/>
        <v/>
      </c>
      <c r="F16" s="179"/>
      <c r="G16" s="180" t="str">
        <f t="shared" si="11"/>
        <v/>
      </c>
      <c r="H16" s="179"/>
      <c r="I16" s="180" t="str">
        <f t="shared" si="12"/>
        <v/>
      </c>
      <c r="J16" s="179"/>
      <c r="K16" s="180" t="str">
        <f t="shared" si="13"/>
        <v/>
      </c>
      <c r="L16" s="179"/>
      <c r="M16" s="180" t="str">
        <f t="shared" si="14"/>
        <v/>
      </c>
      <c r="N16" s="179"/>
      <c r="O16" s="180" t="str">
        <f t="shared" si="15"/>
        <v/>
      </c>
      <c r="P16" s="179"/>
      <c r="Q16" s="192" t="str">
        <f t="shared" si="0"/>
        <v/>
      </c>
      <c r="R16" s="193"/>
      <c r="S16" s="179"/>
      <c r="T16" s="192" t="str">
        <f t="shared" si="16"/>
        <v/>
      </c>
      <c r="U16" s="193"/>
      <c r="V16" s="179"/>
      <c r="W16" s="192" t="str">
        <f t="shared" si="17"/>
        <v/>
      </c>
      <c r="X16" s="194"/>
      <c r="Y16" s="205" t="str">
        <f t="shared" si="1"/>
        <v/>
      </c>
      <c r="Z16" s="206" t="str">
        <f t="shared" si="2"/>
        <v/>
      </c>
      <c r="AA16" s="206" t="str">
        <f t="shared" si="3"/>
        <v/>
      </c>
      <c r="AB16" s="206" t="str">
        <f t="shared" si="4"/>
        <v/>
      </c>
      <c r="AC16" s="207" t="str">
        <f t="shared" si="5"/>
        <v/>
      </c>
      <c r="AD16" s="208" t="str">
        <f t="shared" si="6"/>
        <v/>
      </c>
      <c r="AE16" s="209" t="str">
        <f t="shared" si="18"/>
        <v/>
      </c>
      <c r="AF16" s="210" t="str">
        <f t="shared" si="7"/>
        <v/>
      </c>
      <c r="AG16" s="219" t="str">
        <f t="shared" si="8"/>
        <v/>
      </c>
      <c r="AH16" s="207" t="str">
        <f t="shared" si="9"/>
        <v/>
      </c>
    </row>
    <row r="17" spans="1:34" s="167" customFormat="1" ht="12.75" customHeight="1">
      <c r="A17" s="181">
        <v>10</v>
      </c>
      <c r="B17" s="177"/>
      <c r="C17" s="182"/>
      <c r="D17" s="179"/>
      <c r="E17" s="180" t="str">
        <f t="shared" si="10"/>
        <v/>
      </c>
      <c r="F17" s="179"/>
      <c r="G17" s="180" t="str">
        <f t="shared" si="11"/>
        <v/>
      </c>
      <c r="H17" s="179"/>
      <c r="I17" s="180" t="str">
        <f t="shared" si="12"/>
        <v/>
      </c>
      <c r="J17" s="179"/>
      <c r="K17" s="180" t="str">
        <f t="shared" si="13"/>
        <v/>
      </c>
      <c r="L17" s="179"/>
      <c r="M17" s="180" t="str">
        <f t="shared" si="14"/>
        <v/>
      </c>
      <c r="N17" s="179"/>
      <c r="O17" s="180" t="str">
        <f t="shared" si="15"/>
        <v/>
      </c>
      <c r="P17" s="179"/>
      <c r="Q17" s="192" t="str">
        <f t="shared" si="0"/>
        <v/>
      </c>
      <c r="R17" s="193"/>
      <c r="S17" s="179"/>
      <c r="T17" s="192" t="str">
        <f t="shared" si="16"/>
        <v/>
      </c>
      <c r="U17" s="193"/>
      <c r="V17" s="179"/>
      <c r="W17" s="192" t="str">
        <f t="shared" si="17"/>
        <v/>
      </c>
      <c r="X17" s="194"/>
      <c r="Y17" s="205" t="str">
        <f t="shared" si="1"/>
        <v/>
      </c>
      <c r="Z17" s="206" t="str">
        <f t="shared" si="2"/>
        <v/>
      </c>
      <c r="AA17" s="206" t="str">
        <f t="shared" si="3"/>
        <v/>
      </c>
      <c r="AB17" s="206" t="str">
        <f t="shared" si="4"/>
        <v/>
      </c>
      <c r="AC17" s="207" t="str">
        <f t="shared" si="5"/>
        <v/>
      </c>
      <c r="AD17" s="208" t="str">
        <f t="shared" si="6"/>
        <v/>
      </c>
      <c r="AE17" s="209" t="str">
        <f t="shared" si="18"/>
        <v/>
      </c>
      <c r="AF17" s="210" t="str">
        <f t="shared" si="7"/>
        <v/>
      </c>
      <c r="AG17" s="219" t="str">
        <f t="shared" si="8"/>
        <v/>
      </c>
      <c r="AH17" s="207" t="str">
        <f t="shared" si="9"/>
        <v/>
      </c>
    </row>
    <row r="18" spans="1:34" s="167" customFormat="1" ht="12.75" customHeight="1">
      <c r="A18" s="181">
        <v>11</v>
      </c>
      <c r="B18" s="177"/>
      <c r="C18" s="182"/>
      <c r="D18" s="179"/>
      <c r="E18" s="180" t="str">
        <f t="shared" si="10"/>
        <v/>
      </c>
      <c r="F18" s="179"/>
      <c r="G18" s="180" t="str">
        <f t="shared" si="11"/>
        <v/>
      </c>
      <c r="H18" s="179"/>
      <c r="I18" s="180" t="str">
        <f t="shared" si="12"/>
        <v/>
      </c>
      <c r="J18" s="179"/>
      <c r="K18" s="180" t="str">
        <f t="shared" si="13"/>
        <v/>
      </c>
      <c r="L18" s="179"/>
      <c r="M18" s="180" t="str">
        <f t="shared" si="14"/>
        <v/>
      </c>
      <c r="N18" s="179"/>
      <c r="O18" s="180" t="str">
        <f t="shared" si="15"/>
        <v/>
      </c>
      <c r="P18" s="179"/>
      <c r="Q18" s="192" t="str">
        <f t="shared" si="0"/>
        <v/>
      </c>
      <c r="R18" s="193"/>
      <c r="S18" s="179"/>
      <c r="T18" s="192" t="str">
        <f t="shared" si="16"/>
        <v/>
      </c>
      <c r="U18" s="193"/>
      <c r="V18" s="179"/>
      <c r="W18" s="192" t="str">
        <f t="shared" si="17"/>
        <v/>
      </c>
      <c r="X18" s="194"/>
      <c r="Y18" s="205" t="str">
        <f t="shared" si="1"/>
        <v/>
      </c>
      <c r="Z18" s="206" t="str">
        <f t="shared" si="2"/>
        <v/>
      </c>
      <c r="AA18" s="206" t="str">
        <f t="shared" si="3"/>
        <v/>
      </c>
      <c r="AB18" s="206" t="str">
        <f t="shared" si="4"/>
        <v/>
      </c>
      <c r="AC18" s="207" t="str">
        <f t="shared" si="5"/>
        <v/>
      </c>
      <c r="AD18" s="208" t="str">
        <f t="shared" si="6"/>
        <v/>
      </c>
      <c r="AE18" s="209" t="str">
        <f t="shared" si="18"/>
        <v/>
      </c>
      <c r="AF18" s="210" t="str">
        <f t="shared" si="7"/>
        <v/>
      </c>
      <c r="AG18" s="219" t="str">
        <f t="shared" si="8"/>
        <v/>
      </c>
      <c r="AH18" s="207" t="str">
        <f t="shared" si="9"/>
        <v/>
      </c>
    </row>
    <row r="19" spans="1:34" s="167" customFormat="1" ht="12.75" customHeight="1">
      <c r="A19" s="181">
        <v>12</v>
      </c>
      <c r="B19" s="177"/>
      <c r="C19" s="182"/>
      <c r="D19" s="179"/>
      <c r="E19" s="180" t="str">
        <f t="shared" si="10"/>
        <v/>
      </c>
      <c r="F19" s="179"/>
      <c r="G19" s="180" t="str">
        <f t="shared" si="11"/>
        <v/>
      </c>
      <c r="H19" s="179"/>
      <c r="I19" s="180" t="str">
        <f t="shared" si="12"/>
        <v/>
      </c>
      <c r="J19" s="179"/>
      <c r="K19" s="180" t="str">
        <f t="shared" si="13"/>
        <v/>
      </c>
      <c r="L19" s="179"/>
      <c r="M19" s="180" t="str">
        <f t="shared" si="14"/>
        <v/>
      </c>
      <c r="N19" s="179"/>
      <c r="O19" s="180" t="str">
        <f t="shared" si="15"/>
        <v/>
      </c>
      <c r="P19" s="179"/>
      <c r="Q19" s="192" t="str">
        <f t="shared" si="0"/>
        <v/>
      </c>
      <c r="R19" s="193"/>
      <c r="S19" s="179"/>
      <c r="T19" s="192" t="str">
        <f t="shared" si="16"/>
        <v/>
      </c>
      <c r="U19" s="193"/>
      <c r="V19" s="179"/>
      <c r="W19" s="192" t="str">
        <f t="shared" si="17"/>
        <v/>
      </c>
      <c r="X19" s="194"/>
      <c r="Y19" s="205" t="str">
        <f t="shared" si="1"/>
        <v/>
      </c>
      <c r="Z19" s="206" t="str">
        <f t="shared" si="2"/>
        <v/>
      </c>
      <c r="AA19" s="206" t="str">
        <f t="shared" si="3"/>
        <v/>
      </c>
      <c r="AB19" s="206" t="str">
        <f t="shared" si="4"/>
        <v/>
      </c>
      <c r="AC19" s="207" t="str">
        <f t="shared" si="5"/>
        <v/>
      </c>
      <c r="AD19" s="208" t="str">
        <f t="shared" si="6"/>
        <v/>
      </c>
      <c r="AE19" s="209" t="str">
        <f t="shared" si="18"/>
        <v/>
      </c>
      <c r="AF19" s="210" t="str">
        <f t="shared" si="7"/>
        <v/>
      </c>
      <c r="AG19" s="219" t="str">
        <f t="shared" si="8"/>
        <v/>
      </c>
      <c r="AH19" s="207" t="str">
        <f t="shared" si="9"/>
        <v/>
      </c>
    </row>
    <row r="20" spans="1:34" s="167" customFormat="1" ht="12.75" customHeight="1">
      <c r="A20" s="181">
        <v>13</v>
      </c>
      <c r="B20" s="177"/>
      <c r="C20" s="182"/>
      <c r="D20" s="179"/>
      <c r="E20" s="180" t="str">
        <f t="shared" si="10"/>
        <v/>
      </c>
      <c r="F20" s="179"/>
      <c r="G20" s="180" t="str">
        <f t="shared" si="11"/>
        <v/>
      </c>
      <c r="H20" s="179"/>
      <c r="I20" s="180" t="str">
        <f t="shared" si="12"/>
        <v/>
      </c>
      <c r="J20" s="179"/>
      <c r="K20" s="180" t="str">
        <f t="shared" si="13"/>
        <v/>
      </c>
      <c r="L20" s="179"/>
      <c r="M20" s="180" t="str">
        <f t="shared" si="14"/>
        <v/>
      </c>
      <c r="N20" s="179"/>
      <c r="O20" s="180" t="str">
        <f t="shared" si="15"/>
        <v/>
      </c>
      <c r="P20" s="179"/>
      <c r="Q20" s="192" t="str">
        <f t="shared" si="0"/>
        <v/>
      </c>
      <c r="R20" s="193"/>
      <c r="S20" s="179"/>
      <c r="T20" s="192" t="str">
        <f t="shared" si="16"/>
        <v/>
      </c>
      <c r="U20" s="193"/>
      <c r="V20" s="179"/>
      <c r="W20" s="192" t="str">
        <f t="shared" si="17"/>
        <v/>
      </c>
      <c r="X20" s="194"/>
      <c r="Y20" s="205" t="str">
        <f t="shared" si="1"/>
        <v/>
      </c>
      <c r="Z20" s="206" t="str">
        <f t="shared" si="2"/>
        <v/>
      </c>
      <c r="AA20" s="206" t="str">
        <f t="shared" si="3"/>
        <v/>
      </c>
      <c r="AB20" s="206" t="str">
        <f t="shared" si="4"/>
        <v/>
      </c>
      <c r="AC20" s="207" t="str">
        <f t="shared" si="5"/>
        <v/>
      </c>
      <c r="AD20" s="208" t="str">
        <f t="shared" si="6"/>
        <v/>
      </c>
      <c r="AE20" s="209" t="str">
        <f t="shared" si="18"/>
        <v/>
      </c>
      <c r="AF20" s="210" t="str">
        <f t="shared" si="7"/>
        <v/>
      </c>
      <c r="AG20" s="219" t="str">
        <f t="shared" si="8"/>
        <v/>
      </c>
      <c r="AH20" s="207" t="str">
        <f t="shared" si="9"/>
        <v/>
      </c>
    </row>
    <row r="21" spans="1:34" s="167" customFormat="1" ht="12.75" customHeight="1">
      <c r="A21" s="181">
        <v>14</v>
      </c>
      <c r="B21" s="177"/>
      <c r="C21" s="182"/>
      <c r="D21" s="179"/>
      <c r="E21" s="180" t="str">
        <f t="shared" si="10"/>
        <v/>
      </c>
      <c r="F21" s="179"/>
      <c r="G21" s="180" t="str">
        <f t="shared" si="11"/>
        <v/>
      </c>
      <c r="H21" s="179"/>
      <c r="I21" s="180" t="str">
        <f t="shared" si="12"/>
        <v/>
      </c>
      <c r="J21" s="179"/>
      <c r="K21" s="180" t="str">
        <f t="shared" si="13"/>
        <v/>
      </c>
      <c r="L21" s="179"/>
      <c r="M21" s="180" t="str">
        <f t="shared" si="14"/>
        <v/>
      </c>
      <c r="N21" s="179"/>
      <c r="O21" s="180" t="str">
        <f t="shared" si="15"/>
        <v/>
      </c>
      <c r="P21" s="179"/>
      <c r="Q21" s="192" t="str">
        <f t="shared" si="0"/>
        <v/>
      </c>
      <c r="R21" s="193"/>
      <c r="S21" s="179"/>
      <c r="T21" s="192" t="str">
        <f t="shared" si="16"/>
        <v/>
      </c>
      <c r="U21" s="193"/>
      <c r="V21" s="179"/>
      <c r="W21" s="192" t="str">
        <f t="shared" si="17"/>
        <v/>
      </c>
      <c r="X21" s="194"/>
      <c r="Y21" s="205" t="str">
        <f t="shared" si="1"/>
        <v/>
      </c>
      <c r="Z21" s="206" t="str">
        <f t="shared" si="2"/>
        <v/>
      </c>
      <c r="AA21" s="206" t="str">
        <f t="shared" si="3"/>
        <v/>
      </c>
      <c r="AB21" s="206" t="str">
        <f t="shared" si="4"/>
        <v/>
      </c>
      <c r="AC21" s="207" t="str">
        <f t="shared" si="5"/>
        <v/>
      </c>
      <c r="AD21" s="208" t="str">
        <f t="shared" si="6"/>
        <v/>
      </c>
      <c r="AE21" s="209" t="str">
        <f t="shared" si="18"/>
        <v/>
      </c>
      <c r="AF21" s="210" t="str">
        <f t="shared" si="7"/>
        <v/>
      </c>
      <c r="AG21" s="219" t="str">
        <f t="shared" si="8"/>
        <v/>
      </c>
      <c r="AH21" s="207" t="str">
        <f t="shared" si="9"/>
        <v/>
      </c>
    </row>
    <row r="22" spans="1:34" s="167" customFormat="1" ht="12.75" customHeight="1">
      <c r="A22" s="181">
        <v>15</v>
      </c>
      <c r="B22" s="177"/>
      <c r="C22" s="182"/>
      <c r="D22" s="179"/>
      <c r="E22" s="180" t="str">
        <f t="shared" si="10"/>
        <v/>
      </c>
      <c r="F22" s="179"/>
      <c r="G22" s="180" t="str">
        <f t="shared" si="11"/>
        <v/>
      </c>
      <c r="H22" s="179"/>
      <c r="I22" s="180" t="str">
        <f t="shared" si="12"/>
        <v/>
      </c>
      <c r="J22" s="179"/>
      <c r="K22" s="180" t="str">
        <f t="shared" si="13"/>
        <v/>
      </c>
      <c r="L22" s="179"/>
      <c r="M22" s="180" t="str">
        <f t="shared" si="14"/>
        <v/>
      </c>
      <c r="N22" s="179"/>
      <c r="O22" s="180" t="str">
        <f t="shared" si="15"/>
        <v/>
      </c>
      <c r="P22" s="179"/>
      <c r="Q22" s="192" t="str">
        <f t="shared" si="0"/>
        <v/>
      </c>
      <c r="R22" s="193"/>
      <c r="S22" s="179"/>
      <c r="T22" s="192" t="str">
        <f t="shared" si="16"/>
        <v/>
      </c>
      <c r="U22" s="193"/>
      <c r="V22" s="179"/>
      <c r="W22" s="192" t="str">
        <f t="shared" si="17"/>
        <v/>
      </c>
      <c r="X22" s="194"/>
      <c r="Y22" s="205" t="str">
        <f t="shared" si="1"/>
        <v/>
      </c>
      <c r="Z22" s="206" t="str">
        <f t="shared" si="2"/>
        <v/>
      </c>
      <c r="AA22" s="206" t="str">
        <f t="shared" si="3"/>
        <v/>
      </c>
      <c r="AB22" s="206" t="str">
        <f t="shared" si="4"/>
        <v/>
      </c>
      <c r="AC22" s="207" t="str">
        <f t="shared" si="5"/>
        <v/>
      </c>
      <c r="AD22" s="208" t="str">
        <f t="shared" si="6"/>
        <v/>
      </c>
      <c r="AE22" s="209" t="str">
        <f t="shared" si="18"/>
        <v/>
      </c>
      <c r="AF22" s="210" t="str">
        <f t="shared" si="7"/>
        <v/>
      </c>
      <c r="AG22" s="219" t="str">
        <f t="shared" si="8"/>
        <v/>
      </c>
      <c r="AH22" s="207" t="str">
        <f t="shared" si="9"/>
        <v/>
      </c>
    </row>
    <row r="23" spans="1:34" s="167" customFormat="1" ht="12.75" customHeight="1">
      <c r="A23" s="181">
        <v>16</v>
      </c>
      <c r="B23" s="177"/>
      <c r="C23" s="182"/>
      <c r="D23" s="179"/>
      <c r="E23" s="180" t="str">
        <f t="shared" si="10"/>
        <v/>
      </c>
      <c r="F23" s="179"/>
      <c r="G23" s="180" t="str">
        <f t="shared" si="11"/>
        <v/>
      </c>
      <c r="H23" s="179"/>
      <c r="I23" s="180" t="str">
        <f t="shared" si="12"/>
        <v/>
      </c>
      <c r="J23" s="179"/>
      <c r="K23" s="180" t="str">
        <f t="shared" si="13"/>
        <v/>
      </c>
      <c r="L23" s="179"/>
      <c r="M23" s="180" t="str">
        <f t="shared" si="14"/>
        <v/>
      </c>
      <c r="N23" s="179"/>
      <c r="O23" s="180" t="str">
        <f t="shared" si="15"/>
        <v/>
      </c>
      <c r="P23" s="179"/>
      <c r="Q23" s="192" t="str">
        <f t="shared" si="0"/>
        <v/>
      </c>
      <c r="R23" s="193"/>
      <c r="S23" s="179"/>
      <c r="T23" s="192" t="str">
        <f t="shared" si="16"/>
        <v/>
      </c>
      <c r="U23" s="193"/>
      <c r="V23" s="179"/>
      <c r="W23" s="192" t="str">
        <f t="shared" si="17"/>
        <v/>
      </c>
      <c r="X23" s="194"/>
      <c r="Y23" s="205" t="str">
        <f t="shared" si="1"/>
        <v/>
      </c>
      <c r="Z23" s="206" t="str">
        <f t="shared" si="2"/>
        <v/>
      </c>
      <c r="AA23" s="206" t="str">
        <f t="shared" si="3"/>
        <v/>
      </c>
      <c r="AB23" s="206" t="str">
        <f t="shared" si="4"/>
        <v/>
      </c>
      <c r="AC23" s="207" t="str">
        <f t="shared" si="5"/>
        <v/>
      </c>
      <c r="AD23" s="208" t="str">
        <f t="shared" si="6"/>
        <v/>
      </c>
      <c r="AE23" s="209" t="str">
        <f t="shared" si="18"/>
        <v/>
      </c>
      <c r="AF23" s="210" t="str">
        <f t="shared" si="7"/>
        <v/>
      </c>
      <c r="AG23" s="219" t="str">
        <f t="shared" si="8"/>
        <v/>
      </c>
      <c r="AH23" s="207" t="str">
        <f t="shared" si="9"/>
        <v/>
      </c>
    </row>
    <row r="24" spans="1:34" s="167" customFormat="1" ht="12.75" customHeight="1">
      <c r="A24" s="181">
        <v>17</v>
      </c>
      <c r="B24" s="177"/>
      <c r="C24" s="182"/>
      <c r="D24" s="179"/>
      <c r="E24" s="180" t="str">
        <f t="shared" si="10"/>
        <v/>
      </c>
      <c r="F24" s="179"/>
      <c r="G24" s="180" t="str">
        <f t="shared" si="11"/>
        <v/>
      </c>
      <c r="H24" s="179"/>
      <c r="I24" s="180" t="str">
        <f t="shared" si="12"/>
        <v/>
      </c>
      <c r="J24" s="179"/>
      <c r="K24" s="180" t="str">
        <f t="shared" si="13"/>
        <v/>
      </c>
      <c r="L24" s="179"/>
      <c r="M24" s="180" t="str">
        <f t="shared" si="14"/>
        <v/>
      </c>
      <c r="N24" s="179"/>
      <c r="O24" s="180" t="str">
        <f t="shared" si="15"/>
        <v/>
      </c>
      <c r="P24" s="179"/>
      <c r="Q24" s="192" t="str">
        <f t="shared" si="0"/>
        <v/>
      </c>
      <c r="R24" s="193"/>
      <c r="S24" s="179"/>
      <c r="T24" s="192" t="str">
        <f t="shared" si="16"/>
        <v/>
      </c>
      <c r="U24" s="193"/>
      <c r="V24" s="179"/>
      <c r="W24" s="192" t="str">
        <f t="shared" si="17"/>
        <v/>
      </c>
      <c r="X24" s="194"/>
      <c r="Y24" s="205" t="str">
        <f t="shared" si="1"/>
        <v/>
      </c>
      <c r="Z24" s="206" t="str">
        <f t="shared" si="2"/>
        <v/>
      </c>
      <c r="AA24" s="206" t="str">
        <f t="shared" si="3"/>
        <v/>
      </c>
      <c r="AB24" s="206" t="str">
        <f t="shared" si="4"/>
        <v/>
      </c>
      <c r="AC24" s="207" t="str">
        <f t="shared" si="5"/>
        <v/>
      </c>
      <c r="AD24" s="208" t="str">
        <f t="shared" si="6"/>
        <v/>
      </c>
      <c r="AE24" s="209" t="str">
        <f t="shared" si="18"/>
        <v/>
      </c>
      <c r="AF24" s="210" t="str">
        <f t="shared" si="7"/>
        <v/>
      </c>
      <c r="AG24" s="219" t="str">
        <f t="shared" si="8"/>
        <v/>
      </c>
      <c r="AH24" s="207" t="str">
        <f t="shared" si="9"/>
        <v/>
      </c>
    </row>
    <row r="25" spans="1:34" s="167" customFormat="1" ht="12.75" customHeight="1">
      <c r="A25" s="181">
        <v>18</v>
      </c>
      <c r="B25" s="177"/>
      <c r="C25" s="182"/>
      <c r="D25" s="179"/>
      <c r="E25" s="180" t="str">
        <f t="shared" si="10"/>
        <v/>
      </c>
      <c r="F25" s="179"/>
      <c r="G25" s="180" t="str">
        <f t="shared" si="11"/>
        <v/>
      </c>
      <c r="H25" s="179"/>
      <c r="I25" s="180" t="str">
        <f t="shared" si="12"/>
        <v/>
      </c>
      <c r="J25" s="179"/>
      <c r="K25" s="180" t="str">
        <f t="shared" si="13"/>
        <v/>
      </c>
      <c r="L25" s="179"/>
      <c r="M25" s="180" t="str">
        <f t="shared" si="14"/>
        <v/>
      </c>
      <c r="N25" s="179"/>
      <c r="O25" s="180" t="str">
        <f t="shared" si="15"/>
        <v/>
      </c>
      <c r="P25" s="179"/>
      <c r="Q25" s="192" t="str">
        <f t="shared" si="0"/>
        <v/>
      </c>
      <c r="R25" s="193"/>
      <c r="S25" s="179"/>
      <c r="T25" s="192" t="str">
        <f t="shared" si="16"/>
        <v/>
      </c>
      <c r="U25" s="193"/>
      <c r="V25" s="179"/>
      <c r="W25" s="192" t="str">
        <f t="shared" si="17"/>
        <v/>
      </c>
      <c r="X25" s="194"/>
      <c r="Y25" s="205" t="str">
        <f t="shared" si="1"/>
        <v/>
      </c>
      <c r="Z25" s="206" t="str">
        <f t="shared" si="2"/>
        <v/>
      </c>
      <c r="AA25" s="206" t="str">
        <f t="shared" si="3"/>
        <v/>
      </c>
      <c r="AB25" s="206" t="str">
        <f t="shared" si="4"/>
        <v/>
      </c>
      <c r="AC25" s="207" t="str">
        <f t="shared" si="5"/>
        <v/>
      </c>
      <c r="AD25" s="208" t="str">
        <f t="shared" si="6"/>
        <v/>
      </c>
      <c r="AE25" s="209" t="str">
        <f t="shared" si="18"/>
        <v/>
      </c>
      <c r="AF25" s="210" t="str">
        <f t="shared" si="7"/>
        <v/>
      </c>
      <c r="AG25" s="219" t="str">
        <f t="shared" si="8"/>
        <v/>
      </c>
      <c r="AH25" s="207" t="str">
        <f t="shared" si="9"/>
        <v/>
      </c>
    </row>
    <row r="26" spans="1:34" s="167" customFormat="1" ht="12.75" customHeight="1">
      <c r="A26" s="181">
        <v>19</v>
      </c>
      <c r="B26" s="177"/>
      <c r="C26" s="182"/>
      <c r="D26" s="179"/>
      <c r="E26" s="180" t="str">
        <f t="shared" si="10"/>
        <v/>
      </c>
      <c r="F26" s="179"/>
      <c r="G26" s="180" t="str">
        <f t="shared" si="11"/>
        <v/>
      </c>
      <c r="H26" s="179"/>
      <c r="I26" s="180" t="str">
        <f t="shared" si="12"/>
        <v/>
      </c>
      <c r="J26" s="179"/>
      <c r="K26" s="180" t="str">
        <f t="shared" si="13"/>
        <v/>
      </c>
      <c r="L26" s="179"/>
      <c r="M26" s="180" t="str">
        <f t="shared" si="14"/>
        <v/>
      </c>
      <c r="N26" s="179"/>
      <c r="O26" s="180" t="str">
        <f t="shared" si="15"/>
        <v/>
      </c>
      <c r="P26" s="179"/>
      <c r="Q26" s="192" t="str">
        <f t="shared" si="0"/>
        <v/>
      </c>
      <c r="R26" s="193"/>
      <c r="S26" s="179"/>
      <c r="T26" s="192" t="str">
        <f t="shared" si="16"/>
        <v/>
      </c>
      <c r="U26" s="193"/>
      <c r="V26" s="179"/>
      <c r="W26" s="192" t="str">
        <f t="shared" si="17"/>
        <v/>
      </c>
      <c r="X26" s="194"/>
      <c r="Y26" s="205" t="str">
        <f t="shared" si="1"/>
        <v/>
      </c>
      <c r="Z26" s="206" t="str">
        <f t="shared" si="2"/>
        <v/>
      </c>
      <c r="AA26" s="206" t="str">
        <f t="shared" si="3"/>
        <v/>
      </c>
      <c r="AB26" s="206" t="str">
        <f t="shared" si="4"/>
        <v/>
      </c>
      <c r="AC26" s="207" t="str">
        <f t="shared" si="5"/>
        <v/>
      </c>
      <c r="AD26" s="208" t="str">
        <f t="shared" si="6"/>
        <v/>
      </c>
      <c r="AE26" s="209" t="str">
        <f t="shared" si="18"/>
        <v/>
      </c>
      <c r="AF26" s="210" t="str">
        <f t="shared" si="7"/>
        <v/>
      </c>
      <c r="AG26" s="219" t="str">
        <f t="shared" si="8"/>
        <v/>
      </c>
      <c r="AH26" s="207" t="str">
        <f t="shared" si="9"/>
        <v/>
      </c>
    </row>
    <row r="27" spans="1:34" s="167" customFormat="1" ht="12.75" customHeight="1">
      <c r="A27" s="181">
        <v>20</v>
      </c>
      <c r="B27" s="177"/>
      <c r="C27" s="182"/>
      <c r="D27" s="179"/>
      <c r="E27" s="180" t="str">
        <f t="shared" si="10"/>
        <v/>
      </c>
      <c r="F27" s="179"/>
      <c r="G27" s="180" t="str">
        <f t="shared" si="11"/>
        <v/>
      </c>
      <c r="H27" s="179"/>
      <c r="I27" s="180" t="str">
        <f t="shared" si="12"/>
        <v/>
      </c>
      <c r="J27" s="179"/>
      <c r="K27" s="180" t="str">
        <f t="shared" si="13"/>
        <v/>
      </c>
      <c r="L27" s="179"/>
      <c r="M27" s="180" t="str">
        <f t="shared" si="14"/>
        <v/>
      </c>
      <c r="N27" s="179"/>
      <c r="O27" s="180" t="str">
        <f t="shared" si="15"/>
        <v/>
      </c>
      <c r="P27" s="179"/>
      <c r="Q27" s="192" t="str">
        <f t="shared" si="0"/>
        <v/>
      </c>
      <c r="R27" s="193"/>
      <c r="S27" s="179"/>
      <c r="T27" s="192" t="str">
        <f t="shared" si="16"/>
        <v/>
      </c>
      <c r="U27" s="193"/>
      <c r="V27" s="179"/>
      <c r="W27" s="192" t="str">
        <f t="shared" si="17"/>
        <v/>
      </c>
      <c r="X27" s="194"/>
      <c r="Y27" s="205" t="str">
        <f t="shared" si="1"/>
        <v/>
      </c>
      <c r="Z27" s="206" t="str">
        <f t="shared" si="2"/>
        <v/>
      </c>
      <c r="AA27" s="206" t="str">
        <f t="shared" si="3"/>
        <v/>
      </c>
      <c r="AB27" s="206" t="str">
        <f t="shared" si="4"/>
        <v/>
      </c>
      <c r="AC27" s="207" t="str">
        <f t="shared" si="5"/>
        <v/>
      </c>
      <c r="AD27" s="208" t="str">
        <f t="shared" si="6"/>
        <v/>
      </c>
      <c r="AE27" s="209" t="str">
        <f t="shared" si="18"/>
        <v/>
      </c>
      <c r="AF27" s="210" t="str">
        <f t="shared" si="7"/>
        <v/>
      </c>
      <c r="AG27" s="219" t="str">
        <f t="shared" si="8"/>
        <v/>
      </c>
      <c r="AH27" s="207" t="str">
        <f t="shared" si="9"/>
        <v/>
      </c>
    </row>
    <row r="28" spans="1:34" s="167" customFormat="1" ht="12.75" customHeight="1">
      <c r="A28" s="181">
        <v>21</v>
      </c>
      <c r="B28" s="177"/>
      <c r="C28" s="182"/>
      <c r="D28" s="179"/>
      <c r="E28" s="180" t="str">
        <f t="shared" si="10"/>
        <v/>
      </c>
      <c r="F28" s="179"/>
      <c r="G28" s="180" t="str">
        <f t="shared" si="11"/>
        <v/>
      </c>
      <c r="H28" s="179"/>
      <c r="I28" s="180" t="str">
        <f t="shared" si="12"/>
        <v/>
      </c>
      <c r="J28" s="179"/>
      <c r="K28" s="180" t="str">
        <f t="shared" si="13"/>
        <v/>
      </c>
      <c r="L28" s="179"/>
      <c r="M28" s="180" t="str">
        <f t="shared" si="14"/>
        <v/>
      </c>
      <c r="N28" s="179"/>
      <c r="O28" s="180" t="str">
        <f t="shared" si="15"/>
        <v/>
      </c>
      <c r="P28" s="179"/>
      <c r="Q28" s="192" t="str">
        <f t="shared" si="0"/>
        <v/>
      </c>
      <c r="R28" s="193"/>
      <c r="S28" s="179"/>
      <c r="T28" s="192" t="str">
        <f t="shared" si="16"/>
        <v/>
      </c>
      <c r="U28" s="193"/>
      <c r="V28" s="179"/>
      <c r="W28" s="192" t="str">
        <f t="shared" si="17"/>
        <v/>
      </c>
      <c r="X28" s="194"/>
      <c r="Y28" s="205" t="str">
        <f t="shared" si="1"/>
        <v/>
      </c>
      <c r="Z28" s="206" t="str">
        <f t="shared" si="2"/>
        <v/>
      </c>
      <c r="AA28" s="206" t="str">
        <f t="shared" si="3"/>
        <v/>
      </c>
      <c r="AB28" s="206" t="str">
        <f t="shared" si="4"/>
        <v/>
      </c>
      <c r="AC28" s="207" t="str">
        <f t="shared" si="5"/>
        <v/>
      </c>
      <c r="AD28" s="208" t="str">
        <f t="shared" si="6"/>
        <v/>
      </c>
      <c r="AE28" s="209" t="str">
        <f t="shared" si="18"/>
        <v/>
      </c>
      <c r="AF28" s="210" t="str">
        <f t="shared" si="7"/>
        <v/>
      </c>
      <c r="AG28" s="219" t="str">
        <f t="shared" si="8"/>
        <v/>
      </c>
      <c r="AH28" s="207" t="str">
        <f t="shared" si="9"/>
        <v/>
      </c>
    </row>
    <row r="29" spans="1:34" s="167" customFormat="1" ht="12.75" customHeight="1">
      <c r="A29" s="181">
        <v>22</v>
      </c>
      <c r="B29" s="177"/>
      <c r="C29" s="182"/>
      <c r="D29" s="179"/>
      <c r="E29" s="180" t="str">
        <f t="shared" si="10"/>
        <v/>
      </c>
      <c r="F29" s="179"/>
      <c r="G29" s="180" t="str">
        <f t="shared" si="11"/>
        <v/>
      </c>
      <c r="H29" s="179"/>
      <c r="I29" s="180" t="str">
        <f t="shared" si="12"/>
        <v/>
      </c>
      <c r="J29" s="179"/>
      <c r="K29" s="180" t="str">
        <f t="shared" si="13"/>
        <v/>
      </c>
      <c r="L29" s="179"/>
      <c r="M29" s="180" t="str">
        <f t="shared" si="14"/>
        <v/>
      </c>
      <c r="N29" s="179"/>
      <c r="O29" s="180" t="str">
        <f t="shared" si="15"/>
        <v/>
      </c>
      <c r="P29" s="179"/>
      <c r="Q29" s="192" t="str">
        <f t="shared" si="0"/>
        <v/>
      </c>
      <c r="R29" s="193"/>
      <c r="S29" s="179"/>
      <c r="T29" s="192" t="str">
        <f t="shared" si="16"/>
        <v/>
      </c>
      <c r="U29" s="193"/>
      <c r="V29" s="179"/>
      <c r="W29" s="192" t="str">
        <f t="shared" si="17"/>
        <v/>
      </c>
      <c r="X29" s="194"/>
      <c r="Y29" s="205" t="str">
        <f t="shared" si="1"/>
        <v/>
      </c>
      <c r="Z29" s="206" t="str">
        <f t="shared" si="2"/>
        <v/>
      </c>
      <c r="AA29" s="206" t="str">
        <f t="shared" si="3"/>
        <v/>
      </c>
      <c r="AB29" s="206" t="str">
        <f t="shared" si="4"/>
        <v/>
      </c>
      <c r="AC29" s="207" t="str">
        <f t="shared" si="5"/>
        <v/>
      </c>
      <c r="AD29" s="208" t="str">
        <f t="shared" si="6"/>
        <v/>
      </c>
      <c r="AE29" s="209" t="str">
        <f t="shared" si="18"/>
        <v/>
      </c>
      <c r="AF29" s="210" t="str">
        <f t="shared" si="7"/>
        <v/>
      </c>
      <c r="AG29" s="219" t="str">
        <f t="shared" si="8"/>
        <v/>
      </c>
      <c r="AH29" s="207" t="str">
        <f t="shared" si="9"/>
        <v/>
      </c>
    </row>
    <row r="30" spans="1:34" s="167" customFormat="1" ht="12.75" customHeight="1">
      <c r="A30" s="181">
        <v>23</v>
      </c>
      <c r="B30" s="177"/>
      <c r="C30" s="182"/>
      <c r="D30" s="179"/>
      <c r="E30" s="180" t="str">
        <f t="shared" si="10"/>
        <v/>
      </c>
      <c r="F30" s="179"/>
      <c r="G30" s="180" t="str">
        <f t="shared" si="11"/>
        <v/>
      </c>
      <c r="H30" s="179"/>
      <c r="I30" s="180" t="str">
        <f t="shared" si="12"/>
        <v/>
      </c>
      <c r="J30" s="179"/>
      <c r="K30" s="180" t="str">
        <f t="shared" si="13"/>
        <v/>
      </c>
      <c r="L30" s="179"/>
      <c r="M30" s="180" t="str">
        <f t="shared" si="14"/>
        <v/>
      </c>
      <c r="N30" s="179"/>
      <c r="O30" s="180" t="str">
        <f t="shared" si="15"/>
        <v/>
      </c>
      <c r="P30" s="179"/>
      <c r="Q30" s="192" t="str">
        <f t="shared" si="0"/>
        <v/>
      </c>
      <c r="R30" s="193"/>
      <c r="S30" s="179"/>
      <c r="T30" s="192" t="str">
        <f t="shared" si="16"/>
        <v/>
      </c>
      <c r="U30" s="193"/>
      <c r="V30" s="179"/>
      <c r="W30" s="192" t="str">
        <f t="shared" si="17"/>
        <v/>
      </c>
      <c r="X30" s="194"/>
      <c r="Y30" s="205" t="str">
        <f t="shared" si="1"/>
        <v/>
      </c>
      <c r="Z30" s="206" t="str">
        <f t="shared" si="2"/>
        <v/>
      </c>
      <c r="AA30" s="206" t="str">
        <f t="shared" si="3"/>
        <v/>
      </c>
      <c r="AB30" s="206" t="str">
        <f t="shared" si="4"/>
        <v/>
      </c>
      <c r="AC30" s="207" t="str">
        <f t="shared" si="5"/>
        <v/>
      </c>
      <c r="AD30" s="208" t="str">
        <f t="shared" si="6"/>
        <v/>
      </c>
      <c r="AE30" s="209" t="str">
        <f t="shared" si="18"/>
        <v/>
      </c>
      <c r="AF30" s="210" t="str">
        <f t="shared" si="7"/>
        <v/>
      </c>
      <c r="AG30" s="219" t="str">
        <f t="shared" si="8"/>
        <v/>
      </c>
      <c r="AH30" s="207" t="str">
        <f t="shared" si="9"/>
        <v/>
      </c>
    </row>
    <row r="31" spans="1:34" s="167" customFormat="1" ht="12.75" customHeight="1">
      <c r="A31" s="181">
        <v>24</v>
      </c>
      <c r="B31" s="177"/>
      <c r="C31" s="182"/>
      <c r="D31" s="179"/>
      <c r="E31" s="180" t="str">
        <f t="shared" si="10"/>
        <v/>
      </c>
      <c r="F31" s="179"/>
      <c r="G31" s="180" t="str">
        <f t="shared" si="11"/>
        <v/>
      </c>
      <c r="H31" s="179"/>
      <c r="I31" s="180" t="str">
        <f t="shared" si="12"/>
        <v/>
      </c>
      <c r="J31" s="179"/>
      <c r="K31" s="180" t="str">
        <f t="shared" si="13"/>
        <v/>
      </c>
      <c r="L31" s="179"/>
      <c r="M31" s="180" t="str">
        <f t="shared" si="14"/>
        <v/>
      </c>
      <c r="N31" s="179"/>
      <c r="O31" s="180" t="str">
        <f t="shared" si="15"/>
        <v/>
      </c>
      <c r="P31" s="179"/>
      <c r="Q31" s="192" t="str">
        <f t="shared" si="0"/>
        <v/>
      </c>
      <c r="R31" s="193"/>
      <c r="S31" s="179"/>
      <c r="T31" s="192" t="str">
        <f t="shared" si="16"/>
        <v/>
      </c>
      <c r="U31" s="193"/>
      <c r="V31" s="179"/>
      <c r="W31" s="192" t="str">
        <f t="shared" si="17"/>
        <v/>
      </c>
      <c r="X31" s="194"/>
      <c r="Y31" s="205" t="str">
        <f t="shared" si="1"/>
        <v/>
      </c>
      <c r="Z31" s="206" t="str">
        <f t="shared" si="2"/>
        <v/>
      </c>
      <c r="AA31" s="206" t="str">
        <f t="shared" si="3"/>
        <v/>
      </c>
      <c r="AB31" s="206" t="str">
        <f t="shared" si="4"/>
        <v/>
      </c>
      <c r="AC31" s="207" t="str">
        <f t="shared" si="5"/>
        <v/>
      </c>
      <c r="AD31" s="208" t="str">
        <f t="shared" si="6"/>
        <v/>
      </c>
      <c r="AE31" s="209" t="str">
        <f t="shared" si="18"/>
        <v/>
      </c>
      <c r="AF31" s="210" t="str">
        <f t="shared" si="7"/>
        <v/>
      </c>
      <c r="AG31" s="219" t="str">
        <f t="shared" si="8"/>
        <v/>
      </c>
      <c r="AH31" s="207" t="str">
        <f t="shared" si="9"/>
        <v/>
      </c>
    </row>
    <row r="32" spans="1:34" s="167" customFormat="1" ht="12.75" customHeight="1">
      <c r="A32" s="181">
        <v>25</v>
      </c>
      <c r="B32" s="177"/>
      <c r="C32" s="182"/>
      <c r="D32" s="179"/>
      <c r="E32" s="180" t="str">
        <f t="shared" si="10"/>
        <v/>
      </c>
      <c r="F32" s="179"/>
      <c r="G32" s="180" t="str">
        <f t="shared" si="11"/>
        <v/>
      </c>
      <c r="H32" s="179"/>
      <c r="I32" s="180" t="str">
        <f t="shared" si="12"/>
        <v/>
      </c>
      <c r="J32" s="179"/>
      <c r="K32" s="180" t="str">
        <f t="shared" si="13"/>
        <v/>
      </c>
      <c r="L32" s="179"/>
      <c r="M32" s="180" t="str">
        <f t="shared" si="14"/>
        <v/>
      </c>
      <c r="N32" s="179"/>
      <c r="O32" s="180" t="str">
        <f t="shared" si="15"/>
        <v/>
      </c>
      <c r="P32" s="179"/>
      <c r="Q32" s="192" t="str">
        <f t="shared" si="0"/>
        <v/>
      </c>
      <c r="R32" s="193"/>
      <c r="S32" s="179"/>
      <c r="T32" s="192" t="str">
        <f t="shared" si="16"/>
        <v/>
      </c>
      <c r="U32" s="193"/>
      <c r="V32" s="179"/>
      <c r="W32" s="192" t="str">
        <f t="shared" si="17"/>
        <v/>
      </c>
      <c r="X32" s="194"/>
      <c r="Y32" s="205" t="str">
        <f t="shared" si="1"/>
        <v/>
      </c>
      <c r="Z32" s="206" t="str">
        <f t="shared" si="2"/>
        <v/>
      </c>
      <c r="AA32" s="206" t="str">
        <f t="shared" si="3"/>
        <v/>
      </c>
      <c r="AB32" s="206" t="str">
        <f t="shared" si="4"/>
        <v/>
      </c>
      <c r="AC32" s="207" t="str">
        <f t="shared" si="5"/>
        <v/>
      </c>
      <c r="AD32" s="208" t="str">
        <f t="shared" si="6"/>
        <v/>
      </c>
      <c r="AE32" s="209" t="str">
        <f t="shared" si="18"/>
        <v/>
      </c>
      <c r="AF32" s="210" t="str">
        <f t="shared" si="7"/>
        <v/>
      </c>
      <c r="AG32" s="219" t="str">
        <f t="shared" si="8"/>
        <v/>
      </c>
      <c r="AH32" s="207" t="str">
        <f t="shared" si="9"/>
        <v/>
      </c>
    </row>
    <row r="33" spans="1:34" s="167" customFormat="1" ht="12.75" customHeight="1">
      <c r="A33" s="181">
        <v>26</v>
      </c>
      <c r="B33" s="177"/>
      <c r="C33" s="182"/>
      <c r="D33" s="179"/>
      <c r="E33" s="180" t="str">
        <f t="shared" si="10"/>
        <v/>
      </c>
      <c r="F33" s="179"/>
      <c r="G33" s="180" t="str">
        <f t="shared" si="11"/>
        <v/>
      </c>
      <c r="H33" s="179"/>
      <c r="I33" s="180" t="str">
        <f t="shared" si="12"/>
        <v/>
      </c>
      <c r="J33" s="179"/>
      <c r="K33" s="180" t="str">
        <f t="shared" si="13"/>
        <v/>
      </c>
      <c r="L33" s="179"/>
      <c r="M33" s="180" t="str">
        <f t="shared" si="14"/>
        <v/>
      </c>
      <c r="N33" s="179"/>
      <c r="O33" s="180" t="str">
        <f t="shared" si="15"/>
        <v/>
      </c>
      <c r="P33" s="179"/>
      <c r="Q33" s="192" t="str">
        <f t="shared" si="0"/>
        <v/>
      </c>
      <c r="R33" s="193"/>
      <c r="S33" s="179"/>
      <c r="T33" s="192" t="str">
        <f t="shared" si="16"/>
        <v/>
      </c>
      <c r="U33" s="193"/>
      <c r="V33" s="179"/>
      <c r="W33" s="192" t="str">
        <f t="shared" si="17"/>
        <v/>
      </c>
      <c r="X33" s="194"/>
      <c r="Y33" s="205" t="str">
        <f t="shared" si="1"/>
        <v/>
      </c>
      <c r="Z33" s="206" t="str">
        <f t="shared" si="2"/>
        <v/>
      </c>
      <c r="AA33" s="206" t="str">
        <f t="shared" si="3"/>
        <v/>
      </c>
      <c r="AB33" s="206" t="str">
        <f t="shared" si="4"/>
        <v/>
      </c>
      <c r="AC33" s="207" t="str">
        <f t="shared" si="5"/>
        <v/>
      </c>
      <c r="AD33" s="208" t="str">
        <f t="shared" si="6"/>
        <v/>
      </c>
      <c r="AE33" s="209" t="str">
        <f t="shared" si="18"/>
        <v/>
      </c>
      <c r="AF33" s="210" t="str">
        <f t="shared" si="7"/>
        <v/>
      </c>
      <c r="AG33" s="219" t="str">
        <f t="shared" si="8"/>
        <v/>
      </c>
      <c r="AH33" s="207" t="str">
        <f t="shared" si="9"/>
        <v/>
      </c>
    </row>
    <row r="34" spans="1:34" s="167" customFormat="1" ht="12.75" customHeight="1">
      <c r="A34" s="181">
        <v>27</v>
      </c>
      <c r="B34" s="177"/>
      <c r="C34" s="182"/>
      <c r="D34" s="179"/>
      <c r="E34" s="180" t="str">
        <f t="shared" si="10"/>
        <v/>
      </c>
      <c r="F34" s="179"/>
      <c r="G34" s="180" t="str">
        <f t="shared" si="11"/>
        <v/>
      </c>
      <c r="H34" s="179"/>
      <c r="I34" s="180" t="str">
        <f t="shared" si="12"/>
        <v/>
      </c>
      <c r="J34" s="179"/>
      <c r="K34" s="180" t="str">
        <f t="shared" si="13"/>
        <v/>
      </c>
      <c r="L34" s="179"/>
      <c r="M34" s="180" t="str">
        <f t="shared" si="14"/>
        <v/>
      </c>
      <c r="N34" s="179"/>
      <c r="O34" s="180" t="str">
        <f t="shared" si="15"/>
        <v/>
      </c>
      <c r="P34" s="179"/>
      <c r="Q34" s="192" t="str">
        <f t="shared" si="0"/>
        <v/>
      </c>
      <c r="R34" s="193"/>
      <c r="S34" s="179"/>
      <c r="T34" s="192" t="str">
        <f t="shared" si="16"/>
        <v/>
      </c>
      <c r="U34" s="193"/>
      <c r="V34" s="179"/>
      <c r="W34" s="192" t="str">
        <f t="shared" si="17"/>
        <v/>
      </c>
      <c r="X34" s="194"/>
      <c r="Y34" s="205" t="str">
        <f t="shared" si="1"/>
        <v/>
      </c>
      <c r="Z34" s="206" t="str">
        <f t="shared" si="2"/>
        <v/>
      </c>
      <c r="AA34" s="206" t="str">
        <f t="shared" si="3"/>
        <v/>
      </c>
      <c r="AB34" s="206" t="str">
        <f t="shared" si="4"/>
        <v/>
      </c>
      <c r="AC34" s="207" t="str">
        <f t="shared" si="5"/>
        <v/>
      </c>
      <c r="AD34" s="208" t="str">
        <f t="shared" si="6"/>
        <v/>
      </c>
      <c r="AE34" s="209" t="str">
        <f t="shared" si="18"/>
        <v/>
      </c>
      <c r="AF34" s="210" t="str">
        <f t="shared" si="7"/>
        <v/>
      </c>
      <c r="AG34" s="219" t="str">
        <f t="shared" si="8"/>
        <v/>
      </c>
      <c r="AH34" s="207" t="str">
        <f t="shared" si="9"/>
        <v/>
      </c>
    </row>
    <row r="35" spans="1:34" s="167" customFormat="1" ht="12.75" customHeight="1">
      <c r="A35" s="181">
        <v>28</v>
      </c>
      <c r="B35" s="177"/>
      <c r="C35" s="182"/>
      <c r="D35" s="179"/>
      <c r="E35" s="180" t="str">
        <f t="shared" si="10"/>
        <v/>
      </c>
      <c r="F35" s="179"/>
      <c r="G35" s="180" t="str">
        <f t="shared" si="11"/>
        <v/>
      </c>
      <c r="H35" s="179"/>
      <c r="I35" s="180" t="str">
        <f t="shared" si="12"/>
        <v/>
      </c>
      <c r="J35" s="179"/>
      <c r="K35" s="180" t="str">
        <f t="shared" si="13"/>
        <v/>
      </c>
      <c r="L35" s="179"/>
      <c r="M35" s="180" t="str">
        <f t="shared" si="14"/>
        <v/>
      </c>
      <c r="N35" s="179"/>
      <c r="O35" s="180" t="str">
        <f t="shared" si="15"/>
        <v/>
      </c>
      <c r="P35" s="179"/>
      <c r="Q35" s="192" t="str">
        <f t="shared" si="0"/>
        <v/>
      </c>
      <c r="R35" s="193"/>
      <c r="S35" s="179"/>
      <c r="T35" s="192" t="str">
        <f t="shared" si="16"/>
        <v/>
      </c>
      <c r="U35" s="193"/>
      <c r="V35" s="179"/>
      <c r="W35" s="192" t="str">
        <f t="shared" si="17"/>
        <v/>
      </c>
      <c r="X35" s="194"/>
      <c r="Y35" s="205" t="str">
        <f t="shared" si="1"/>
        <v/>
      </c>
      <c r="Z35" s="206" t="str">
        <f t="shared" si="2"/>
        <v/>
      </c>
      <c r="AA35" s="206" t="str">
        <f t="shared" si="3"/>
        <v/>
      </c>
      <c r="AB35" s="206" t="str">
        <f t="shared" si="4"/>
        <v/>
      </c>
      <c r="AC35" s="207" t="str">
        <f t="shared" si="5"/>
        <v/>
      </c>
      <c r="AD35" s="208" t="str">
        <f t="shared" si="6"/>
        <v/>
      </c>
      <c r="AE35" s="209" t="str">
        <f t="shared" si="18"/>
        <v/>
      </c>
      <c r="AF35" s="210" t="str">
        <f t="shared" si="7"/>
        <v/>
      </c>
      <c r="AG35" s="219" t="str">
        <f t="shared" si="8"/>
        <v/>
      </c>
      <c r="AH35" s="207" t="str">
        <f t="shared" si="9"/>
        <v/>
      </c>
    </row>
    <row r="36" spans="1:34" s="167" customFormat="1" ht="12.75" customHeight="1">
      <c r="A36" s="181">
        <v>29</v>
      </c>
      <c r="B36" s="177"/>
      <c r="C36" s="182"/>
      <c r="D36" s="179"/>
      <c r="E36" s="180" t="str">
        <f t="shared" si="10"/>
        <v/>
      </c>
      <c r="F36" s="179"/>
      <c r="G36" s="180" t="str">
        <f t="shared" si="11"/>
        <v/>
      </c>
      <c r="H36" s="179"/>
      <c r="I36" s="180" t="str">
        <f t="shared" si="12"/>
        <v/>
      </c>
      <c r="J36" s="179"/>
      <c r="K36" s="180" t="str">
        <f t="shared" si="13"/>
        <v/>
      </c>
      <c r="L36" s="179"/>
      <c r="M36" s="180" t="str">
        <f t="shared" si="14"/>
        <v/>
      </c>
      <c r="N36" s="179"/>
      <c r="O36" s="180" t="str">
        <f t="shared" si="15"/>
        <v/>
      </c>
      <c r="P36" s="179"/>
      <c r="Q36" s="192" t="str">
        <f t="shared" si="0"/>
        <v/>
      </c>
      <c r="R36" s="193"/>
      <c r="S36" s="179"/>
      <c r="T36" s="192" t="str">
        <f t="shared" si="16"/>
        <v/>
      </c>
      <c r="U36" s="193"/>
      <c r="V36" s="179"/>
      <c r="W36" s="192" t="str">
        <f t="shared" si="17"/>
        <v/>
      </c>
      <c r="X36" s="194"/>
      <c r="Y36" s="205" t="str">
        <f t="shared" si="1"/>
        <v/>
      </c>
      <c r="Z36" s="206" t="str">
        <f t="shared" si="2"/>
        <v/>
      </c>
      <c r="AA36" s="206" t="str">
        <f t="shared" si="3"/>
        <v/>
      </c>
      <c r="AB36" s="206" t="str">
        <f t="shared" si="4"/>
        <v/>
      </c>
      <c r="AC36" s="207" t="str">
        <f t="shared" si="5"/>
        <v/>
      </c>
      <c r="AD36" s="208" t="str">
        <f t="shared" si="6"/>
        <v/>
      </c>
      <c r="AE36" s="209" t="str">
        <f t="shared" si="18"/>
        <v/>
      </c>
      <c r="AF36" s="210" t="str">
        <f t="shared" si="7"/>
        <v/>
      </c>
      <c r="AG36" s="219" t="str">
        <f t="shared" si="8"/>
        <v/>
      </c>
      <c r="AH36" s="207" t="str">
        <f t="shared" si="9"/>
        <v/>
      </c>
    </row>
    <row r="37" spans="1:34" s="167" customFormat="1" ht="12.75" customHeight="1">
      <c r="A37" s="181">
        <v>30</v>
      </c>
      <c r="B37" s="177"/>
      <c r="C37" s="182"/>
      <c r="D37" s="179"/>
      <c r="E37" s="180" t="str">
        <f t="shared" si="10"/>
        <v/>
      </c>
      <c r="F37" s="179"/>
      <c r="G37" s="180" t="str">
        <f t="shared" si="11"/>
        <v/>
      </c>
      <c r="H37" s="179"/>
      <c r="I37" s="180" t="str">
        <f t="shared" si="12"/>
        <v/>
      </c>
      <c r="J37" s="179"/>
      <c r="K37" s="180" t="str">
        <f t="shared" si="13"/>
        <v/>
      </c>
      <c r="L37" s="179"/>
      <c r="M37" s="180" t="str">
        <f t="shared" si="14"/>
        <v/>
      </c>
      <c r="N37" s="179"/>
      <c r="O37" s="180" t="str">
        <f t="shared" si="15"/>
        <v/>
      </c>
      <c r="P37" s="179"/>
      <c r="Q37" s="192" t="str">
        <f t="shared" si="0"/>
        <v/>
      </c>
      <c r="R37" s="193"/>
      <c r="S37" s="179"/>
      <c r="T37" s="192" t="str">
        <f t="shared" si="16"/>
        <v/>
      </c>
      <c r="U37" s="193"/>
      <c r="V37" s="179"/>
      <c r="W37" s="192" t="str">
        <f t="shared" si="17"/>
        <v/>
      </c>
      <c r="X37" s="194"/>
      <c r="Y37" s="205" t="str">
        <f t="shared" si="1"/>
        <v/>
      </c>
      <c r="Z37" s="206" t="str">
        <f t="shared" si="2"/>
        <v/>
      </c>
      <c r="AA37" s="206" t="str">
        <f t="shared" si="3"/>
        <v/>
      </c>
      <c r="AB37" s="206" t="str">
        <f t="shared" si="4"/>
        <v/>
      </c>
      <c r="AC37" s="207" t="str">
        <f t="shared" si="5"/>
        <v/>
      </c>
      <c r="AD37" s="208" t="str">
        <f t="shared" si="6"/>
        <v/>
      </c>
      <c r="AE37" s="209" t="str">
        <f t="shared" si="18"/>
        <v/>
      </c>
      <c r="AF37" s="210" t="str">
        <f t="shared" si="7"/>
        <v/>
      </c>
      <c r="AG37" s="219" t="str">
        <f t="shared" si="8"/>
        <v/>
      </c>
      <c r="AH37" s="207" t="str">
        <f t="shared" si="9"/>
        <v/>
      </c>
    </row>
    <row r="38" spans="1:34" s="167" customFormat="1" ht="12.75" customHeight="1">
      <c r="A38" s="181">
        <v>31</v>
      </c>
      <c r="B38" s="177"/>
      <c r="C38" s="182"/>
      <c r="D38" s="179"/>
      <c r="E38" s="180" t="str">
        <f t="shared" si="10"/>
        <v/>
      </c>
      <c r="F38" s="179"/>
      <c r="G38" s="180" t="str">
        <f t="shared" si="11"/>
        <v/>
      </c>
      <c r="H38" s="179"/>
      <c r="I38" s="180" t="str">
        <f t="shared" si="12"/>
        <v/>
      </c>
      <c r="J38" s="179"/>
      <c r="K38" s="180" t="str">
        <f t="shared" si="13"/>
        <v/>
      </c>
      <c r="L38" s="179"/>
      <c r="M38" s="180" t="str">
        <f t="shared" si="14"/>
        <v/>
      </c>
      <c r="N38" s="179"/>
      <c r="O38" s="180" t="str">
        <f t="shared" si="15"/>
        <v/>
      </c>
      <c r="P38" s="179"/>
      <c r="Q38" s="192" t="str">
        <f t="shared" si="0"/>
        <v/>
      </c>
      <c r="R38" s="193"/>
      <c r="S38" s="179"/>
      <c r="T38" s="192" t="str">
        <f t="shared" si="16"/>
        <v/>
      </c>
      <c r="U38" s="193"/>
      <c r="V38" s="179"/>
      <c r="W38" s="192" t="str">
        <f t="shared" si="17"/>
        <v/>
      </c>
      <c r="X38" s="194"/>
      <c r="Y38" s="205" t="str">
        <f t="shared" si="1"/>
        <v/>
      </c>
      <c r="Z38" s="206" t="str">
        <f t="shared" si="2"/>
        <v/>
      </c>
      <c r="AA38" s="206" t="str">
        <f t="shared" si="3"/>
        <v/>
      </c>
      <c r="AB38" s="206" t="str">
        <f t="shared" si="4"/>
        <v/>
      </c>
      <c r="AC38" s="207" t="str">
        <f t="shared" si="5"/>
        <v/>
      </c>
      <c r="AD38" s="208" t="str">
        <f t="shared" si="6"/>
        <v/>
      </c>
      <c r="AE38" s="209" t="str">
        <f t="shared" si="18"/>
        <v/>
      </c>
      <c r="AF38" s="210" t="str">
        <f t="shared" si="7"/>
        <v/>
      </c>
      <c r="AG38" s="219" t="str">
        <f t="shared" si="8"/>
        <v/>
      </c>
      <c r="AH38" s="207" t="str">
        <f t="shared" si="9"/>
        <v/>
      </c>
    </row>
    <row r="39" spans="1:34" s="167" customFormat="1" ht="12.75" customHeight="1">
      <c r="A39" s="181">
        <v>32</v>
      </c>
      <c r="B39" s="177"/>
      <c r="C39" s="182"/>
      <c r="D39" s="179"/>
      <c r="E39" s="180" t="str">
        <f t="shared" si="10"/>
        <v/>
      </c>
      <c r="F39" s="179"/>
      <c r="G39" s="180" t="str">
        <f t="shared" si="11"/>
        <v/>
      </c>
      <c r="H39" s="179"/>
      <c r="I39" s="180" t="str">
        <f t="shared" si="12"/>
        <v/>
      </c>
      <c r="J39" s="179"/>
      <c r="K39" s="180" t="str">
        <f t="shared" si="13"/>
        <v/>
      </c>
      <c r="L39" s="179"/>
      <c r="M39" s="180" t="str">
        <f t="shared" si="14"/>
        <v/>
      </c>
      <c r="N39" s="179"/>
      <c r="O39" s="180" t="str">
        <f t="shared" si="15"/>
        <v/>
      </c>
      <c r="P39" s="179"/>
      <c r="Q39" s="192" t="str">
        <f t="shared" si="0"/>
        <v/>
      </c>
      <c r="R39" s="193"/>
      <c r="S39" s="179"/>
      <c r="T39" s="192" t="str">
        <f t="shared" si="16"/>
        <v/>
      </c>
      <c r="U39" s="193"/>
      <c r="V39" s="179"/>
      <c r="W39" s="192" t="str">
        <f t="shared" si="17"/>
        <v/>
      </c>
      <c r="X39" s="194"/>
      <c r="Y39" s="205" t="str">
        <f t="shared" si="1"/>
        <v/>
      </c>
      <c r="Z39" s="206" t="str">
        <f t="shared" si="2"/>
        <v/>
      </c>
      <c r="AA39" s="206" t="str">
        <f t="shared" si="3"/>
        <v/>
      </c>
      <c r="AB39" s="206" t="str">
        <f t="shared" si="4"/>
        <v/>
      </c>
      <c r="AC39" s="207" t="str">
        <f t="shared" si="5"/>
        <v/>
      </c>
      <c r="AD39" s="208" t="str">
        <f t="shared" si="6"/>
        <v/>
      </c>
      <c r="AE39" s="209" t="str">
        <f t="shared" si="18"/>
        <v/>
      </c>
      <c r="AF39" s="210" t="str">
        <f t="shared" si="7"/>
        <v/>
      </c>
      <c r="AG39" s="219" t="str">
        <f t="shared" si="8"/>
        <v/>
      </c>
      <c r="AH39" s="207" t="str">
        <f t="shared" si="9"/>
        <v/>
      </c>
    </row>
    <row r="40" spans="1:34" s="167" customFormat="1" ht="12.75" customHeight="1">
      <c r="A40" s="181">
        <v>33</v>
      </c>
      <c r="B40" s="177"/>
      <c r="C40" s="182"/>
      <c r="D40" s="179"/>
      <c r="E40" s="180" t="str">
        <f t="shared" si="10"/>
        <v/>
      </c>
      <c r="F40" s="179"/>
      <c r="G40" s="180" t="str">
        <f t="shared" si="11"/>
        <v/>
      </c>
      <c r="H40" s="179"/>
      <c r="I40" s="180" t="str">
        <f t="shared" si="12"/>
        <v/>
      </c>
      <c r="J40" s="179"/>
      <c r="K40" s="180" t="str">
        <f t="shared" si="13"/>
        <v/>
      </c>
      <c r="L40" s="179"/>
      <c r="M40" s="180" t="str">
        <f t="shared" si="14"/>
        <v/>
      </c>
      <c r="N40" s="179"/>
      <c r="O40" s="180" t="str">
        <f t="shared" si="15"/>
        <v/>
      </c>
      <c r="P40" s="179"/>
      <c r="Q40" s="192" t="str">
        <f t="shared" si="0"/>
        <v/>
      </c>
      <c r="R40" s="193"/>
      <c r="S40" s="179"/>
      <c r="T40" s="192" t="str">
        <f t="shared" si="16"/>
        <v/>
      </c>
      <c r="U40" s="193"/>
      <c r="V40" s="179"/>
      <c r="W40" s="192" t="str">
        <f t="shared" si="17"/>
        <v/>
      </c>
      <c r="X40" s="194"/>
      <c r="Y40" s="205" t="str">
        <f t="shared" si="1"/>
        <v/>
      </c>
      <c r="Z40" s="206" t="str">
        <f t="shared" si="2"/>
        <v/>
      </c>
      <c r="AA40" s="206" t="str">
        <f t="shared" si="3"/>
        <v/>
      </c>
      <c r="AB40" s="206" t="str">
        <f t="shared" si="4"/>
        <v/>
      </c>
      <c r="AC40" s="207" t="str">
        <f t="shared" si="5"/>
        <v/>
      </c>
      <c r="AD40" s="208" t="str">
        <f t="shared" si="6"/>
        <v/>
      </c>
      <c r="AE40" s="209" t="str">
        <f t="shared" si="18"/>
        <v/>
      </c>
      <c r="AF40" s="210" t="str">
        <f t="shared" si="7"/>
        <v/>
      </c>
      <c r="AG40" s="219" t="str">
        <f t="shared" si="8"/>
        <v/>
      </c>
      <c r="AH40" s="207" t="str">
        <f t="shared" si="9"/>
        <v/>
      </c>
    </row>
    <row r="41" spans="1:34" s="167" customFormat="1" ht="12.75" customHeight="1">
      <c r="A41" s="181">
        <v>34</v>
      </c>
      <c r="B41" s="177"/>
      <c r="C41" s="182"/>
      <c r="D41" s="179"/>
      <c r="E41" s="180" t="str">
        <f t="shared" si="10"/>
        <v/>
      </c>
      <c r="F41" s="179"/>
      <c r="G41" s="180" t="str">
        <f t="shared" si="11"/>
        <v/>
      </c>
      <c r="H41" s="179"/>
      <c r="I41" s="180" t="str">
        <f t="shared" si="12"/>
        <v/>
      </c>
      <c r="J41" s="179"/>
      <c r="K41" s="180" t="str">
        <f t="shared" si="13"/>
        <v/>
      </c>
      <c r="L41" s="179"/>
      <c r="M41" s="180" t="str">
        <f t="shared" si="14"/>
        <v/>
      </c>
      <c r="N41" s="179"/>
      <c r="O41" s="180" t="str">
        <f t="shared" si="15"/>
        <v/>
      </c>
      <c r="P41" s="179"/>
      <c r="Q41" s="192" t="str">
        <f t="shared" si="0"/>
        <v/>
      </c>
      <c r="R41" s="193"/>
      <c r="S41" s="179"/>
      <c r="T41" s="192" t="str">
        <f t="shared" si="16"/>
        <v/>
      </c>
      <c r="U41" s="193"/>
      <c r="V41" s="179"/>
      <c r="W41" s="192" t="str">
        <f t="shared" si="17"/>
        <v/>
      </c>
      <c r="X41" s="194"/>
      <c r="Y41" s="205" t="str">
        <f t="shared" si="1"/>
        <v/>
      </c>
      <c r="Z41" s="206" t="str">
        <f t="shared" si="2"/>
        <v/>
      </c>
      <c r="AA41" s="206" t="str">
        <f t="shared" si="3"/>
        <v/>
      </c>
      <c r="AB41" s="206" t="str">
        <f t="shared" si="4"/>
        <v/>
      </c>
      <c r="AC41" s="207" t="str">
        <f t="shared" si="5"/>
        <v/>
      </c>
      <c r="AD41" s="208" t="str">
        <f t="shared" si="6"/>
        <v/>
      </c>
      <c r="AE41" s="209" t="str">
        <f t="shared" si="18"/>
        <v/>
      </c>
      <c r="AF41" s="210" t="str">
        <f t="shared" si="7"/>
        <v/>
      </c>
      <c r="AG41" s="219" t="str">
        <f t="shared" si="8"/>
        <v/>
      </c>
      <c r="AH41" s="207" t="str">
        <f t="shared" si="9"/>
        <v/>
      </c>
    </row>
    <row r="42" spans="1:34" s="167" customFormat="1" ht="12.75" customHeight="1">
      <c r="A42" s="181">
        <v>35</v>
      </c>
      <c r="B42" s="177"/>
      <c r="C42" s="182"/>
      <c r="D42" s="179"/>
      <c r="E42" s="180" t="str">
        <f t="shared" si="10"/>
        <v/>
      </c>
      <c r="F42" s="179"/>
      <c r="G42" s="180" t="str">
        <f t="shared" si="11"/>
        <v/>
      </c>
      <c r="H42" s="179"/>
      <c r="I42" s="180" t="str">
        <f t="shared" si="12"/>
        <v/>
      </c>
      <c r="J42" s="179"/>
      <c r="K42" s="180" t="str">
        <f t="shared" si="13"/>
        <v/>
      </c>
      <c r="L42" s="179"/>
      <c r="M42" s="180" t="str">
        <f t="shared" si="14"/>
        <v/>
      </c>
      <c r="N42" s="179"/>
      <c r="O42" s="180" t="str">
        <f t="shared" si="15"/>
        <v/>
      </c>
      <c r="P42" s="179"/>
      <c r="Q42" s="192" t="str">
        <f t="shared" si="0"/>
        <v/>
      </c>
      <c r="R42" s="193"/>
      <c r="S42" s="179"/>
      <c r="T42" s="192" t="str">
        <f t="shared" si="16"/>
        <v/>
      </c>
      <c r="U42" s="193"/>
      <c r="V42" s="179"/>
      <c r="W42" s="192" t="str">
        <f t="shared" si="17"/>
        <v/>
      </c>
      <c r="X42" s="194"/>
      <c r="Y42" s="205" t="str">
        <f t="shared" si="1"/>
        <v/>
      </c>
      <c r="Z42" s="206" t="str">
        <f t="shared" si="2"/>
        <v/>
      </c>
      <c r="AA42" s="206" t="str">
        <f t="shared" si="3"/>
        <v/>
      </c>
      <c r="AB42" s="206" t="str">
        <f t="shared" si="4"/>
        <v/>
      </c>
      <c r="AC42" s="207" t="str">
        <f t="shared" si="5"/>
        <v/>
      </c>
      <c r="AD42" s="208" t="str">
        <f t="shared" si="6"/>
        <v/>
      </c>
      <c r="AE42" s="209" t="str">
        <f t="shared" si="18"/>
        <v/>
      </c>
      <c r="AF42" s="210" t="str">
        <f t="shared" si="7"/>
        <v/>
      </c>
      <c r="AG42" s="219" t="str">
        <f t="shared" si="8"/>
        <v/>
      </c>
      <c r="AH42" s="207" t="str">
        <f t="shared" si="9"/>
        <v/>
      </c>
    </row>
    <row r="43" spans="1:34" s="167" customFormat="1" ht="12.75" customHeight="1">
      <c r="A43" s="181">
        <v>36</v>
      </c>
      <c r="B43" s="177"/>
      <c r="C43" s="182"/>
      <c r="D43" s="179"/>
      <c r="E43" s="180" t="str">
        <f t="shared" si="10"/>
        <v/>
      </c>
      <c r="F43" s="179"/>
      <c r="G43" s="180" t="str">
        <f t="shared" si="11"/>
        <v/>
      </c>
      <c r="H43" s="179"/>
      <c r="I43" s="180" t="str">
        <f t="shared" si="12"/>
        <v/>
      </c>
      <c r="J43" s="179"/>
      <c r="K43" s="180" t="str">
        <f t="shared" si="13"/>
        <v/>
      </c>
      <c r="L43" s="179"/>
      <c r="M43" s="180" t="str">
        <f t="shared" si="14"/>
        <v/>
      </c>
      <c r="N43" s="179"/>
      <c r="O43" s="180" t="str">
        <f t="shared" si="15"/>
        <v/>
      </c>
      <c r="P43" s="179"/>
      <c r="Q43" s="192" t="str">
        <f t="shared" si="0"/>
        <v/>
      </c>
      <c r="R43" s="193"/>
      <c r="S43" s="179"/>
      <c r="T43" s="192" t="str">
        <f t="shared" si="16"/>
        <v/>
      </c>
      <c r="U43" s="193"/>
      <c r="V43" s="179"/>
      <c r="W43" s="192" t="str">
        <f t="shared" si="17"/>
        <v/>
      </c>
      <c r="X43" s="194"/>
      <c r="Y43" s="205" t="str">
        <f t="shared" si="1"/>
        <v/>
      </c>
      <c r="Z43" s="206" t="str">
        <f t="shared" si="2"/>
        <v/>
      </c>
      <c r="AA43" s="206" t="str">
        <f t="shared" si="3"/>
        <v/>
      </c>
      <c r="AB43" s="206" t="str">
        <f t="shared" si="4"/>
        <v/>
      </c>
      <c r="AC43" s="207" t="str">
        <f t="shared" si="5"/>
        <v/>
      </c>
      <c r="AD43" s="208" t="str">
        <f t="shared" si="6"/>
        <v/>
      </c>
      <c r="AE43" s="209" t="str">
        <f t="shared" si="18"/>
        <v/>
      </c>
      <c r="AF43" s="210" t="str">
        <f t="shared" si="7"/>
        <v/>
      </c>
      <c r="AG43" s="219" t="str">
        <f t="shared" si="8"/>
        <v/>
      </c>
      <c r="AH43" s="207" t="str">
        <f t="shared" si="9"/>
        <v/>
      </c>
    </row>
    <row r="44" spans="1:34" s="167" customFormat="1" ht="12.75" customHeight="1">
      <c r="A44" s="181">
        <v>37</v>
      </c>
      <c r="B44" s="177"/>
      <c r="C44" s="182"/>
      <c r="D44" s="179"/>
      <c r="E44" s="180" t="str">
        <f t="shared" si="10"/>
        <v/>
      </c>
      <c r="F44" s="179"/>
      <c r="G44" s="180" t="str">
        <f t="shared" si="11"/>
        <v/>
      </c>
      <c r="H44" s="179"/>
      <c r="I44" s="180" t="str">
        <f t="shared" si="12"/>
        <v/>
      </c>
      <c r="J44" s="179"/>
      <c r="K44" s="180" t="str">
        <f t="shared" si="13"/>
        <v/>
      </c>
      <c r="L44" s="179"/>
      <c r="M44" s="180" t="str">
        <f t="shared" si="14"/>
        <v/>
      </c>
      <c r="N44" s="179"/>
      <c r="O44" s="180" t="str">
        <f t="shared" si="15"/>
        <v/>
      </c>
      <c r="P44" s="179"/>
      <c r="Q44" s="192" t="str">
        <f t="shared" si="0"/>
        <v/>
      </c>
      <c r="R44" s="193"/>
      <c r="S44" s="179"/>
      <c r="T44" s="192" t="str">
        <f t="shared" si="16"/>
        <v/>
      </c>
      <c r="U44" s="193"/>
      <c r="V44" s="179"/>
      <c r="W44" s="192" t="str">
        <f t="shared" si="17"/>
        <v/>
      </c>
      <c r="X44" s="194"/>
      <c r="Y44" s="205" t="str">
        <f t="shared" si="1"/>
        <v/>
      </c>
      <c r="Z44" s="206" t="str">
        <f t="shared" si="2"/>
        <v/>
      </c>
      <c r="AA44" s="206" t="str">
        <f t="shared" si="3"/>
        <v/>
      </c>
      <c r="AB44" s="206" t="str">
        <f t="shared" si="4"/>
        <v/>
      </c>
      <c r="AC44" s="207" t="str">
        <f t="shared" si="5"/>
        <v/>
      </c>
      <c r="AD44" s="208" t="str">
        <f t="shared" si="6"/>
        <v/>
      </c>
      <c r="AE44" s="209" t="str">
        <f t="shared" si="18"/>
        <v/>
      </c>
      <c r="AF44" s="210" t="str">
        <f t="shared" si="7"/>
        <v/>
      </c>
      <c r="AG44" s="219" t="str">
        <f t="shared" si="8"/>
        <v/>
      </c>
      <c r="AH44" s="207" t="str">
        <f t="shared" si="9"/>
        <v/>
      </c>
    </row>
    <row r="45" spans="1:34" s="167" customFormat="1" ht="12.75" customHeight="1">
      <c r="A45" s="181">
        <v>38</v>
      </c>
      <c r="B45" s="177"/>
      <c r="C45" s="182"/>
      <c r="D45" s="179"/>
      <c r="E45" s="180" t="str">
        <f t="shared" si="10"/>
        <v/>
      </c>
      <c r="F45" s="179"/>
      <c r="G45" s="180" t="str">
        <f t="shared" si="11"/>
        <v/>
      </c>
      <c r="H45" s="179"/>
      <c r="I45" s="180" t="str">
        <f t="shared" si="12"/>
        <v/>
      </c>
      <c r="J45" s="179"/>
      <c r="K45" s="180" t="str">
        <f t="shared" si="13"/>
        <v/>
      </c>
      <c r="L45" s="179"/>
      <c r="M45" s="180" t="str">
        <f t="shared" si="14"/>
        <v/>
      </c>
      <c r="N45" s="179"/>
      <c r="O45" s="180" t="str">
        <f t="shared" si="15"/>
        <v/>
      </c>
      <c r="P45" s="179"/>
      <c r="Q45" s="192" t="str">
        <f t="shared" si="0"/>
        <v/>
      </c>
      <c r="R45" s="193"/>
      <c r="S45" s="179"/>
      <c r="T45" s="192" t="str">
        <f t="shared" si="16"/>
        <v/>
      </c>
      <c r="U45" s="193"/>
      <c r="V45" s="179"/>
      <c r="W45" s="192" t="str">
        <f t="shared" si="17"/>
        <v/>
      </c>
      <c r="X45" s="194"/>
      <c r="Y45" s="205" t="str">
        <f t="shared" si="1"/>
        <v/>
      </c>
      <c r="Z45" s="206" t="str">
        <f t="shared" si="2"/>
        <v/>
      </c>
      <c r="AA45" s="206" t="str">
        <f t="shared" si="3"/>
        <v/>
      </c>
      <c r="AB45" s="206" t="str">
        <f t="shared" si="4"/>
        <v/>
      </c>
      <c r="AC45" s="207" t="str">
        <f t="shared" si="5"/>
        <v/>
      </c>
      <c r="AD45" s="208" t="str">
        <f t="shared" si="6"/>
        <v/>
      </c>
      <c r="AE45" s="209" t="str">
        <f t="shared" si="18"/>
        <v/>
      </c>
      <c r="AF45" s="210" t="str">
        <f t="shared" si="7"/>
        <v/>
      </c>
      <c r="AG45" s="219" t="str">
        <f t="shared" si="8"/>
        <v/>
      </c>
      <c r="AH45" s="207" t="str">
        <f t="shared" si="9"/>
        <v/>
      </c>
    </row>
    <row r="46" spans="1:34" s="167" customFormat="1" ht="12.75" customHeight="1">
      <c r="A46" s="181">
        <v>39</v>
      </c>
      <c r="B46" s="177"/>
      <c r="C46" s="182"/>
      <c r="D46" s="179"/>
      <c r="E46" s="180" t="str">
        <f t="shared" si="10"/>
        <v/>
      </c>
      <c r="F46" s="179"/>
      <c r="G46" s="180" t="str">
        <f t="shared" si="11"/>
        <v/>
      </c>
      <c r="H46" s="179"/>
      <c r="I46" s="180" t="str">
        <f t="shared" si="12"/>
        <v/>
      </c>
      <c r="J46" s="179"/>
      <c r="K46" s="180" t="str">
        <f t="shared" si="13"/>
        <v/>
      </c>
      <c r="L46" s="179"/>
      <c r="M46" s="180" t="str">
        <f t="shared" si="14"/>
        <v/>
      </c>
      <c r="N46" s="179"/>
      <c r="O46" s="180" t="str">
        <f t="shared" si="15"/>
        <v/>
      </c>
      <c r="P46" s="179"/>
      <c r="Q46" s="192" t="str">
        <f t="shared" si="0"/>
        <v/>
      </c>
      <c r="R46" s="193"/>
      <c r="S46" s="179"/>
      <c r="T46" s="192" t="str">
        <f t="shared" si="16"/>
        <v/>
      </c>
      <c r="U46" s="193"/>
      <c r="V46" s="179"/>
      <c r="W46" s="192" t="str">
        <f t="shared" si="17"/>
        <v/>
      </c>
      <c r="X46" s="194"/>
      <c r="Y46" s="205" t="str">
        <f t="shared" si="1"/>
        <v/>
      </c>
      <c r="Z46" s="206" t="str">
        <f t="shared" si="2"/>
        <v/>
      </c>
      <c r="AA46" s="206" t="str">
        <f t="shared" si="3"/>
        <v/>
      </c>
      <c r="AB46" s="206" t="str">
        <f t="shared" si="4"/>
        <v/>
      </c>
      <c r="AC46" s="207" t="str">
        <f t="shared" si="5"/>
        <v/>
      </c>
      <c r="AD46" s="208" t="str">
        <f t="shared" si="6"/>
        <v/>
      </c>
      <c r="AE46" s="209" t="str">
        <f t="shared" si="18"/>
        <v/>
      </c>
      <c r="AF46" s="210" t="str">
        <f t="shared" si="7"/>
        <v/>
      </c>
      <c r="AG46" s="219" t="str">
        <f t="shared" si="8"/>
        <v/>
      </c>
      <c r="AH46" s="207" t="str">
        <f t="shared" si="9"/>
        <v/>
      </c>
    </row>
    <row r="47" spans="1:34" s="167" customFormat="1" ht="12.75" customHeight="1">
      <c r="A47" s="181">
        <v>40</v>
      </c>
      <c r="B47" s="177"/>
      <c r="C47" s="182"/>
      <c r="D47" s="179"/>
      <c r="E47" s="180" t="str">
        <f t="shared" si="10"/>
        <v/>
      </c>
      <c r="F47" s="179"/>
      <c r="G47" s="180" t="str">
        <f t="shared" si="11"/>
        <v/>
      </c>
      <c r="H47" s="179"/>
      <c r="I47" s="180" t="str">
        <f t="shared" si="12"/>
        <v/>
      </c>
      <c r="J47" s="179"/>
      <c r="K47" s="180" t="str">
        <f t="shared" si="13"/>
        <v/>
      </c>
      <c r="L47" s="179"/>
      <c r="M47" s="180" t="str">
        <f t="shared" si="14"/>
        <v/>
      </c>
      <c r="N47" s="179"/>
      <c r="O47" s="180" t="str">
        <f t="shared" si="15"/>
        <v/>
      </c>
      <c r="P47" s="179"/>
      <c r="Q47" s="192" t="str">
        <f t="shared" si="0"/>
        <v/>
      </c>
      <c r="R47" s="193"/>
      <c r="S47" s="179"/>
      <c r="T47" s="192" t="str">
        <f t="shared" si="16"/>
        <v/>
      </c>
      <c r="U47" s="193"/>
      <c r="V47" s="179"/>
      <c r="W47" s="192" t="str">
        <f t="shared" si="17"/>
        <v/>
      </c>
      <c r="X47" s="194"/>
      <c r="Y47" s="205" t="str">
        <f t="shared" si="1"/>
        <v/>
      </c>
      <c r="Z47" s="206" t="str">
        <f t="shared" si="2"/>
        <v/>
      </c>
      <c r="AA47" s="206" t="str">
        <f t="shared" si="3"/>
        <v/>
      </c>
      <c r="AB47" s="206" t="str">
        <f t="shared" si="4"/>
        <v/>
      </c>
      <c r="AC47" s="207" t="str">
        <f t="shared" si="5"/>
        <v/>
      </c>
      <c r="AD47" s="208" t="str">
        <f t="shared" si="6"/>
        <v/>
      </c>
      <c r="AE47" s="209" t="str">
        <f t="shared" si="18"/>
        <v/>
      </c>
      <c r="AF47" s="210" t="str">
        <f t="shared" si="7"/>
        <v/>
      </c>
      <c r="AG47" s="219" t="str">
        <f t="shared" si="8"/>
        <v/>
      </c>
      <c r="AH47" s="207" t="str">
        <f t="shared" si="9"/>
        <v/>
      </c>
    </row>
    <row r="48" spans="1:34" s="167" customFormat="1" ht="12.75" customHeight="1">
      <c r="A48" s="181">
        <v>41</v>
      </c>
      <c r="B48" s="177"/>
      <c r="C48" s="182"/>
      <c r="D48" s="179"/>
      <c r="E48" s="180" t="str">
        <f t="shared" si="10"/>
        <v/>
      </c>
      <c r="F48" s="179"/>
      <c r="G48" s="180" t="str">
        <f t="shared" si="11"/>
        <v/>
      </c>
      <c r="H48" s="179"/>
      <c r="I48" s="180" t="str">
        <f t="shared" si="12"/>
        <v/>
      </c>
      <c r="J48" s="179"/>
      <c r="K48" s="180" t="str">
        <f t="shared" si="13"/>
        <v/>
      </c>
      <c r="L48" s="179"/>
      <c r="M48" s="180" t="str">
        <f t="shared" si="14"/>
        <v/>
      </c>
      <c r="N48" s="179"/>
      <c r="O48" s="180" t="str">
        <f t="shared" si="15"/>
        <v/>
      </c>
      <c r="P48" s="179"/>
      <c r="Q48" s="192" t="str">
        <f t="shared" si="0"/>
        <v/>
      </c>
      <c r="R48" s="193"/>
      <c r="S48" s="179"/>
      <c r="T48" s="192" t="str">
        <f t="shared" si="16"/>
        <v/>
      </c>
      <c r="U48" s="193"/>
      <c r="V48" s="179"/>
      <c r="W48" s="192" t="str">
        <f t="shared" si="17"/>
        <v/>
      </c>
      <c r="X48" s="194"/>
      <c r="Y48" s="205" t="str">
        <f t="shared" si="1"/>
        <v/>
      </c>
      <c r="Z48" s="206" t="str">
        <f t="shared" si="2"/>
        <v/>
      </c>
      <c r="AA48" s="206" t="str">
        <f t="shared" si="3"/>
        <v/>
      </c>
      <c r="AB48" s="206" t="str">
        <f t="shared" si="4"/>
        <v/>
      </c>
      <c r="AC48" s="207" t="str">
        <f t="shared" si="5"/>
        <v/>
      </c>
      <c r="AD48" s="208" t="str">
        <f t="shared" si="6"/>
        <v/>
      </c>
      <c r="AE48" s="209" t="str">
        <f t="shared" si="18"/>
        <v/>
      </c>
      <c r="AF48" s="210" t="str">
        <f t="shared" si="7"/>
        <v/>
      </c>
      <c r="AG48" s="219" t="str">
        <f t="shared" si="8"/>
        <v/>
      </c>
      <c r="AH48" s="207" t="str">
        <f t="shared" si="9"/>
        <v/>
      </c>
    </row>
    <row r="49" spans="1:36" s="167" customFormat="1" ht="12.75" customHeight="1">
      <c r="A49" s="181">
        <v>42</v>
      </c>
      <c r="B49" s="177"/>
      <c r="C49" s="182"/>
      <c r="D49" s="179"/>
      <c r="E49" s="180" t="str">
        <f t="shared" si="10"/>
        <v/>
      </c>
      <c r="F49" s="179"/>
      <c r="G49" s="180" t="str">
        <f t="shared" si="11"/>
        <v/>
      </c>
      <c r="H49" s="179"/>
      <c r="I49" s="180" t="str">
        <f t="shared" si="12"/>
        <v/>
      </c>
      <c r="J49" s="179"/>
      <c r="K49" s="180" t="str">
        <f t="shared" si="13"/>
        <v/>
      </c>
      <c r="L49" s="179"/>
      <c r="M49" s="180" t="str">
        <f t="shared" si="14"/>
        <v/>
      </c>
      <c r="N49" s="179"/>
      <c r="O49" s="180" t="str">
        <f t="shared" si="15"/>
        <v/>
      </c>
      <c r="P49" s="179"/>
      <c r="Q49" s="192" t="str">
        <f t="shared" si="0"/>
        <v/>
      </c>
      <c r="R49" s="193"/>
      <c r="S49" s="179"/>
      <c r="T49" s="192" t="str">
        <f t="shared" si="16"/>
        <v/>
      </c>
      <c r="U49" s="193"/>
      <c r="V49" s="179"/>
      <c r="W49" s="192" t="str">
        <f t="shared" si="17"/>
        <v/>
      </c>
      <c r="X49" s="194"/>
      <c r="Y49" s="205" t="str">
        <f t="shared" si="1"/>
        <v/>
      </c>
      <c r="Z49" s="206" t="str">
        <f t="shared" si="2"/>
        <v/>
      </c>
      <c r="AA49" s="206" t="str">
        <f t="shared" si="3"/>
        <v/>
      </c>
      <c r="AB49" s="206" t="str">
        <f t="shared" si="4"/>
        <v/>
      </c>
      <c r="AC49" s="207" t="str">
        <f t="shared" si="5"/>
        <v/>
      </c>
      <c r="AD49" s="208" t="str">
        <f t="shared" si="6"/>
        <v/>
      </c>
      <c r="AE49" s="209" t="str">
        <f t="shared" si="18"/>
        <v/>
      </c>
      <c r="AF49" s="210" t="str">
        <f t="shared" si="7"/>
        <v/>
      </c>
      <c r="AG49" s="219" t="str">
        <f t="shared" si="8"/>
        <v/>
      </c>
      <c r="AH49" s="207" t="str">
        <f t="shared" si="9"/>
        <v/>
      </c>
    </row>
    <row r="50" spans="1:36" s="167" customFormat="1" ht="12.75" customHeight="1">
      <c r="A50" s="181">
        <v>43</v>
      </c>
      <c r="B50" s="177"/>
      <c r="C50" s="182"/>
      <c r="D50" s="179"/>
      <c r="E50" s="180" t="str">
        <f t="shared" si="10"/>
        <v/>
      </c>
      <c r="F50" s="179"/>
      <c r="G50" s="180" t="str">
        <f t="shared" si="11"/>
        <v/>
      </c>
      <c r="H50" s="179"/>
      <c r="I50" s="180" t="str">
        <f t="shared" si="12"/>
        <v/>
      </c>
      <c r="J50" s="179"/>
      <c r="K50" s="180" t="str">
        <f t="shared" si="13"/>
        <v/>
      </c>
      <c r="L50" s="179"/>
      <c r="M50" s="180" t="str">
        <f t="shared" si="14"/>
        <v/>
      </c>
      <c r="N50" s="179"/>
      <c r="O50" s="180" t="str">
        <f t="shared" si="15"/>
        <v/>
      </c>
      <c r="P50" s="179"/>
      <c r="Q50" s="192" t="str">
        <f t="shared" si="0"/>
        <v/>
      </c>
      <c r="R50" s="193"/>
      <c r="S50" s="179"/>
      <c r="T50" s="192" t="str">
        <f t="shared" si="16"/>
        <v/>
      </c>
      <c r="U50" s="193"/>
      <c r="V50" s="179"/>
      <c r="W50" s="192" t="str">
        <f t="shared" si="17"/>
        <v/>
      </c>
      <c r="X50" s="194"/>
      <c r="Y50" s="205" t="str">
        <f t="shared" si="1"/>
        <v/>
      </c>
      <c r="Z50" s="206" t="str">
        <f t="shared" si="2"/>
        <v/>
      </c>
      <c r="AA50" s="206" t="str">
        <f t="shared" si="3"/>
        <v/>
      </c>
      <c r="AB50" s="206" t="str">
        <f t="shared" si="4"/>
        <v/>
      </c>
      <c r="AC50" s="207" t="str">
        <f t="shared" si="5"/>
        <v/>
      </c>
      <c r="AD50" s="208" t="str">
        <f t="shared" si="6"/>
        <v/>
      </c>
      <c r="AE50" s="209" t="str">
        <f t="shared" si="18"/>
        <v/>
      </c>
      <c r="AF50" s="210" t="str">
        <f t="shared" si="7"/>
        <v/>
      </c>
      <c r="AG50" s="219" t="str">
        <f t="shared" si="8"/>
        <v/>
      </c>
      <c r="AH50" s="207" t="str">
        <f t="shared" si="9"/>
        <v/>
      </c>
    </row>
    <row r="51" spans="1:36" s="167" customFormat="1" ht="12.75" customHeight="1">
      <c r="A51" s="181">
        <v>44</v>
      </c>
      <c r="B51" s="177"/>
      <c r="C51" s="182"/>
      <c r="D51" s="179"/>
      <c r="E51" s="180" t="str">
        <f t="shared" si="10"/>
        <v/>
      </c>
      <c r="F51" s="179"/>
      <c r="G51" s="180" t="str">
        <f t="shared" si="11"/>
        <v/>
      </c>
      <c r="H51" s="179"/>
      <c r="I51" s="180" t="str">
        <f t="shared" si="12"/>
        <v/>
      </c>
      <c r="J51" s="179"/>
      <c r="K51" s="180" t="str">
        <f t="shared" si="13"/>
        <v/>
      </c>
      <c r="L51" s="179"/>
      <c r="M51" s="180" t="str">
        <f t="shared" si="14"/>
        <v/>
      </c>
      <c r="N51" s="179"/>
      <c r="O51" s="180" t="str">
        <f t="shared" si="15"/>
        <v/>
      </c>
      <c r="P51" s="179"/>
      <c r="Q51" s="192" t="str">
        <f t="shared" si="0"/>
        <v/>
      </c>
      <c r="R51" s="193"/>
      <c r="S51" s="179"/>
      <c r="T51" s="192" t="str">
        <f t="shared" si="16"/>
        <v/>
      </c>
      <c r="U51" s="193"/>
      <c r="V51" s="179"/>
      <c r="W51" s="192" t="str">
        <f t="shared" si="17"/>
        <v/>
      </c>
      <c r="X51" s="194"/>
      <c r="Y51" s="205" t="str">
        <f t="shared" si="1"/>
        <v/>
      </c>
      <c r="Z51" s="206" t="str">
        <f t="shared" si="2"/>
        <v/>
      </c>
      <c r="AA51" s="206" t="str">
        <f t="shared" si="3"/>
        <v/>
      </c>
      <c r="AB51" s="206" t="str">
        <f t="shared" si="4"/>
        <v/>
      </c>
      <c r="AC51" s="207" t="str">
        <f t="shared" si="5"/>
        <v/>
      </c>
      <c r="AD51" s="208" t="str">
        <f t="shared" si="6"/>
        <v/>
      </c>
      <c r="AE51" s="209" t="str">
        <f t="shared" si="18"/>
        <v/>
      </c>
      <c r="AF51" s="210" t="str">
        <f t="shared" si="7"/>
        <v/>
      </c>
      <c r="AG51" s="219" t="str">
        <f t="shared" si="8"/>
        <v/>
      </c>
      <c r="AH51" s="207" t="str">
        <f t="shared" si="9"/>
        <v/>
      </c>
    </row>
    <row r="52" spans="1:36" s="167" customFormat="1" ht="12.75" customHeight="1">
      <c r="A52" s="181">
        <v>45</v>
      </c>
      <c r="B52" s="177"/>
      <c r="C52" s="182"/>
      <c r="D52" s="179"/>
      <c r="E52" s="180" t="str">
        <f t="shared" si="10"/>
        <v/>
      </c>
      <c r="F52" s="179"/>
      <c r="G52" s="180" t="str">
        <f t="shared" si="11"/>
        <v/>
      </c>
      <c r="H52" s="179"/>
      <c r="I52" s="180" t="str">
        <f t="shared" si="12"/>
        <v/>
      </c>
      <c r="J52" s="179"/>
      <c r="K52" s="180" t="str">
        <f t="shared" si="13"/>
        <v/>
      </c>
      <c r="L52" s="179"/>
      <c r="M52" s="180" t="str">
        <f t="shared" si="14"/>
        <v/>
      </c>
      <c r="N52" s="179"/>
      <c r="O52" s="180" t="str">
        <f t="shared" si="15"/>
        <v/>
      </c>
      <c r="P52" s="179"/>
      <c r="Q52" s="192" t="str">
        <f t="shared" si="0"/>
        <v/>
      </c>
      <c r="R52" s="193"/>
      <c r="S52" s="179"/>
      <c r="T52" s="192" t="str">
        <f t="shared" si="16"/>
        <v/>
      </c>
      <c r="U52" s="193"/>
      <c r="V52" s="179"/>
      <c r="W52" s="192" t="str">
        <f t="shared" si="17"/>
        <v/>
      </c>
      <c r="X52" s="194"/>
      <c r="Y52" s="205" t="str">
        <f t="shared" si="1"/>
        <v/>
      </c>
      <c r="Z52" s="206" t="str">
        <f t="shared" si="2"/>
        <v/>
      </c>
      <c r="AA52" s="206" t="str">
        <f t="shared" si="3"/>
        <v/>
      </c>
      <c r="AB52" s="206" t="str">
        <f t="shared" si="4"/>
        <v/>
      </c>
      <c r="AC52" s="207" t="str">
        <f t="shared" si="5"/>
        <v/>
      </c>
      <c r="AD52" s="208" t="str">
        <f t="shared" si="6"/>
        <v/>
      </c>
      <c r="AE52" s="209" t="str">
        <f t="shared" si="18"/>
        <v/>
      </c>
      <c r="AF52" s="210" t="str">
        <f t="shared" si="7"/>
        <v/>
      </c>
      <c r="AG52" s="219" t="str">
        <f t="shared" si="8"/>
        <v/>
      </c>
      <c r="AH52" s="207" t="str">
        <f t="shared" si="9"/>
        <v/>
      </c>
    </row>
    <row r="53" spans="1:36" s="167" customFormat="1" ht="12.75" customHeight="1">
      <c r="A53" s="181">
        <v>46</v>
      </c>
      <c r="B53" s="177"/>
      <c r="C53" s="182"/>
      <c r="D53" s="179"/>
      <c r="E53" s="180" t="str">
        <f t="shared" si="10"/>
        <v/>
      </c>
      <c r="F53" s="179"/>
      <c r="G53" s="180" t="str">
        <f t="shared" si="11"/>
        <v/>
      </c>
      <c r="H53" s="179"/>
      <c r="I53" s="180" t="str">
        <f t="shared" si="12"/>
        <v/>
      </c>
      <c r="J53" s="179"/>
      <c r="K53" s="180" t="str">
        <f t="shared" si="13"/>
        <v/>
      </c>
      <c r="L53" s="179"/>
      <c r="M53" s="180" t="str">
        <f t="shared" si="14"/>
        <v/>
      </c>
      <c r="N53" s="179"/>
      <c r="O53" s="180" t="str">
        <f t="shared" si="15"/>
        <v/>
      </c>
      <c r="P53" s="179"/>
      <c r="Q53" s="192" t="str">
        <f t="shared" si="0"/>
        <v/>
      </c>
      <c r="R53" s="193"/>
      <c r="S53" s="179"/>
      <c r="T53" s="192" t="str">
        <f t="shared" si="16"/>
        <v/>
      </c>
      <c r="U53" s="193"/>
      <c r="V53" s="179"/>
      <c r="W53" s="192" t="str">
        <f t="shared" si="17"/>
        <v/>
      </c>
      <c r="X53" s="194"/>
      <c r="Y53" s="205" t="str">
        <f t="shared" si="1"/>
        <v/>
      </c>
      <c r="Z53" s="206" t="str">
        <f t="shared" si="2"/>
        <v/>
      </c>
      <c r="AA53" s="206" t="str">
        <f t="shared" si="3"/>
        <v/>
      </c>
      <c r="AB53" s="206" t="str">
        <f t="shared" si="4"/>
        <v/>
      </c>
      <c r="AC53" s="207" t="str">
        <f t="shared" si="5"/>
        <v/>
      </c>
      <c r="AD53" s="208" t="str">
        <f t="shared" si="6"/>
        <v/>
      </c>
      <c r="AE53" s="209" t="str">
        <f t="shared" si="18"/>
        <v/>
      </c>
      <c r="AF53" s="210" t="str">
        <f t="shared" si="7"/>
        <v/>
      </c>
      <c r="AG53" s="219" t="str">
        <f t="shared" si="8"/>
        <v/>
      </c>
      <c r="AH53" s="207" t="str">
        <f t="shared" si="9"/>
        <v/>
      </c>
    </row>
    <row r="54" spans="1:36" s="167" customFormat="1" ht="12.75" customHeight="1">
      <c r="A54" s="181">
        <v>47</v>
      </c>
      <c r="B54" s="177"/>
      <c r="C54" s="182"/>
      <c r="D54" s="179"/>
      <c r="E54" s="180" t="str">
        <f t="shared" si="10"/>
        <v/>
      </c>
      <c r="F54" s="179"/>
      <c r="G54" s="180" t="str">
        <f t="shared" si="11"/>
        <v/>
      </c>
      <c r="H54" s="179"/>
      <c r="I54" s="180" t="str">
        <f t="shared" si="12"/>
        <v/>
      </c>
      <c r="J54" s="179"/>
      <c r="K54" s="180" t="str">
        <f t="shared" si="13"/>
        <v/>
      </c>
      <c r="L54" s="179"/>
      <c r="M54" s="180" t="str">
        <f t="shared" si="14"/>
        <v/>
      </c>
      <c r="N54" s="179"/>
      <c r="O54" s="180" t="str">
        <f t="shared" si="15"/>
        <v/>
      </c>
      <c r="P54" s="179"/>
      <c r="Q54" s="192" t="str">
        <f t="shared" si="0"/>
        <v/>
      </c>
      <c r="R54" s="193"/>
      <c r="S54" s="179"/>
      <c r="T54" s="192" t="str">
        <f t="shared" si="16"/>
        <v/>
      </c>
      <c r="U54" s="193"/>
      <c r="V54" s="179"/>
      <c r="W54" s="192" t="str">
        <f t="shared" si="17"/>
        <v/>
      </c>
      <c r="X54" s="194"/>
      <c r="Y54" s="205" t="str">
        <f t="shared" si="1"/>
        <v/>
      </c>
      <c r="Z54" s="206" t="str">
        <f t="shared" si="2"/>
        <v/>
      </c>
      <c r="AA54" s="206" t="str">
        <f t="shared" si="3"/>
        <v/>
      </c>
      <c r="AB54" s="206" t="str">
        <f t="shared" si="4"/>
        <v/>
      </c>
      <c r="AC54" s="207" t="str">
        <f t="shared" si="5"/>
        <v/>
      </c>
      <c r="AD54" s="208" t="str">
        <f t="shared" si="6"/>
        <v/>
      </c>
      <c r="AE54" s="209" t="str">
        <f t="shared" si="18"/>
        <v/>
      </c>
      <c r="AF54" s="210" t="str">
        <f t="shared" si="7"/>
        <v/>
      </c>
      <c r="AG54" s="219" t="str">
        <f t="shared" si="8"/>
        <v/>
      </c>
      <c r="AH54" s="207" t="str">
        <f t="shared" si="9"/>
        <v/>
      </c>
    </row>
    <row r="55" spans="1:36" s="167" customFormat="1" ht="12.75" customHeight="1">
      <c r="A55" s="181">
        <v>48</v>
      </c>
      <c r="B55" s="177"/>
      <c r="C55" s="182"/>
      <c r="D55" s="179"/>
      <c r="E55" s="180" t="str">
        <f t="shared" si="10"/>
        <v/>
      </c>
      <c r="F55" s="179"/>
      <c r="G55" s="180" t="str">
        <f t="shared" si="11"/>
        <v/>
      </c>
      <c r="H55" s="179"/>
      <c r="I55" s="180" t="str">
        <f t="shared" si="12"/>
        <v/>
      </c>
      <c r="J55" s="179"/>
      <c r="K55" s="180" t="str">
        <f t="shared" si="13"/>
        <v/>
      </c>
      <c r="L55" s="179"/>
      <c r="M55" s="180" t="str">
        <f t="shared" si="14"/>
        <v/>
      </c>
      <c r="N55" s="179"/>
      <c r="O55" s="180" t="str">
        <f t="shared" si="15"/>
        <v/>
      </c>
      <c r="P55" s="179"/>
      <c r="Q55" s="192" t="str">
        <f t="shared" si="0"/>
        <v/>
      </c>
      <c r="R55" s="193"/>
      <c r="S55" s="179"/>
      <c r="T55" s="192" t="str">
        <f t="shared" si="16"/>
        <v/>
      </c>
      <c r="U55" s="193"/>
      <c r="V55" s="179"/>
      <c r="W55" s="192" t="str">
        <f t="shared" si="17"/>
        <v/>
      </c>
      <c r="X55" s="194"/>
      <c r="Y55" s="205" t="str">
        <f t="shared" si="1"/>
        <v/>
      </c>
      <c r="Z55" s="206" t="str">
        <f t="shared" si="2"/>
        <v/>
      </c>
      <c r="AA55" s="206" t="str">
        <f t="shared" si="3"/>
        <v/>
      </c>
      <c r="AB55" s="206" t="str">
        <f t="shared" si="4"/>
        <v/>
      </c>
      <c r="AC55" s="207" t="str">
        <f t="shared" si="5"/>
        <v/>
      </c>
      <c r="AD55" s="208" t="str">
        <f t="shared" si="6"/>
        <v/>
      </c>
      <c r="AE55" s="209" t="str">
        <f t="shared" si="18"/>
        <v/>
      </c>
      <c r="AF55" s="210" t="str">
        <f t="shared" si="7"/>
        <v/>
      </c>
      <c r="AG55" s="219" t="str">
        <f t="shared" si="8"/>
        <v/>
      </c>
      <c r="AH55" s="207" t="str">
        <f t="shared" si="9"/>
        <v/>
      </c>
    </row>
    <row r="56" spans="1:36" s="167" customFormat="1" ht="12.75" customHeight="1">
      <c r="A56" s="181">
        <v>49</v>
      </c>
      <c r="B56" s="177"/>
      <c r="C56" s="182"/>
      <c r="D56" s="179"/>
      <c r="E56" s="180" t="str">
        <f t="shared" si="10"/>
        <v/>
      </c>
      <c r="F56" s="179"/>
      <c r="G56" s="180" t="str">
        <f t="shared" si="11"/>
        <v/>
      </c>
      <c r="H56" s="179"/>
      <c r="I56" s="180" t="str">
        <f t="shared" si="12"/>
        <v/>
      </c>
      <c r="J56" s="179"/>
      <c r="K56" s="180" t="str">
        <f t="shared" si="13"/>
        <v/>
      </c>
      <c r="L56" s="179"/>
      <c r="M56" s="180" t="str">
        <f t="shared" si="14"/>
        <v/>
      </c>
      <c r="N56" s="179"/>
      <c r="O56" s="180" t="str">
        <f t="shared" si="15"/>
        <v/>
      </c>
      <c r="P56" s="179"/>
      <c r="Q56" s="192" t="str">
        <f t="shared" si="0"/>
        <v/>
      </c>
      <c r="R56" s="193"/>
      <c r="S56" s="179"/>
      <c r="T56" s="192" t="str">
        <f t="shared" si="16"/>
        <v/>
      </c>
      <c r="U56" s="193"/>
      <c r="V56" s="179"/>
      <c r="W56" s="192" t="str">
        <f t="shared" si="17"/>
        <v/>
      </c>
      <c r="X56" s="194"/>
      <c r="Y56" s="205" t="str">
        <f t="shared" si="1"/>
        <v/>
      </c>
      <c r="Z56" s="206" t="str">
        <f t="shared" si="2"/>
        <v/>
      </c>
      <c r="AA56" s="206" t="str">
        <f t="shared" si="3"/>
        <v/>
      </c>
      <c r="AB56" s="206" t="str">
        <f t="shared" si="4"/>
        <v/>
      </c>
      <c r="AC56" s="207" t="str">
        <f t="shared" si="5"/>
        <v/>
      </c>
      <c r="AD56" s="208" t="str">
        <f t="shared" si="6"/>
        <v/>
      </c>
      <c r="AE56" s="209" t="str">
        <f t="shared" si="18"/>
        <v/>
      </c>
      <c r="AF56" s="210" t="str">
        <f t="shared" si="7"/>
        <v/>
      </c>
      <c r="AG56" s="219" t="str">
        <f t="shared" si="8"/>
        <v/>
      </c>
      <c r="AH56" s="207" t="str">
        <f t="shared" si="9"/>
        <v/>
      </c>
    </row>
    <row r="57" spans="1:36" s="167" customFormat="1" ht="12.75" customHeight="1">
      <c r="A57" s="181">
        <v>50</v>
      </c>
      <c r="B57" s="177"/>
      <c r="C57" s="182"/>
      <c r="D57" s="179"/>
      <c r="E57" s="180" t="str">
        <f t="shared" si="10"/>
        <v/>
      </c>
      <c r="F57" s="179"/>
      <c r="G57" s="180" t="str">
        <f t="shared" si="11"/>
        <v/>
      </c>
      <c r="H57" s="179"/>
      <c r="I57" s="180" t="str">
        <f t="shared" si="12"/>
        <v/>
      </c>
      <c r="J57" s="179"/>
      <c r="K57" s="180" t="str">
        <f t="shared" si="13"/>
        <v/>
      </c>
      <c r="L57" s="179"/>
      <c r="M57" s="180" t="str">
        <f t="shared" si="14"/>
        <v/>
      </c>
      <c r="N57" s="179"/>
      <c r="O57" s="180" t="str">
        <f t="shared" si="15"/>
        <v/>
      </c>
      <c r="P57" s="179"/>
      <c r="Q57" s="192" t="str">
        <f t="shared" si="0"/>
        <v/>
      </c>
      <c r="R57" s="193"/>
      <c r="S57" s="179"/>
      <c r="T57" s="192" t="str">
        <f t="shared" si="16"/>
        <v/>
      </c>
      <c r="U57" s="193"/>
      <c r="V57" s="179"/>
      <c r="W57" s="192" t="str">
        <f t="shared" si="17"/>
        <v/>
      </c>
      <c r="X57" s="194"/>
      <c r="Y57" s="205" t="str">
        <f t="shared" si="1"/>
        <v/>
      </c>
      <c r="Z57" s="206" t="str">
        <f t="shared" si="2"/>
        <v/>
      </c>
      <c r="AA57" s="206" t="str">
        <f t="shared" si="3"/>
        <v/>
      </c>
      <c r="AB57" s="206" t="str">
        <f t="shared" si="4"/>
        <v/>
      </c>
      <c r="AC57" s="207" t="str">
        <f t="shared" si="5"/>
        <v/>
      </c>
      <c r="AD57" s="208" t="str">
        <f t="shared" si="6"/>
        <v/>
      </c>
      <c r="AE57" s="209" t="str">
        <f t="shared" si="18"/>
        <v/>
      </c>
      <c r="AF57" s="210" t="str">
        <f t="shared" si="7"/>
        <v/>
      </c>
      <c r="AG57" s="219" t="str">
        <f t="shared" si="8"/>
        <v/>
      </c>
      <c r="AH57" s="207" t="str">
        <f t="shared" si="9"/>
        <v/>
      </c>
    </row>
    <row r="58" spans="1:36" s="167" customFormat="1" ht="12.75" customHeight="1">
      <c r="A58" s="181">
        <v>51</v>
      </c>
      <c r="B58" s="177"/>
      <c r="C58" s="182"/>
      <c r="D58" s="179"/>
      <c r="E58" s="180" t="str">
        <f t="shared" si="10"/>
        <v/>
      </c>
      <c r="F58" s="179"/>
      <c r="G58" s="180" t="str">
        <f t="shared" si="11"/>
        <v/>
      </c>
      <c r="H58" s="179"/>
      <c r="I58" s="180" t="str">
        <f t="shared" si="12"/>
        <v/>
      </c>
      <c r="J58" s="179"/>
      <c r="K58" s="180" t="str">
        <f t="shared" si="13"/>
        <v/>
      </c>
      <c r="L58" s="179"/>
      <c r="M58" s="180" t="str">
        <f t="shared" si="14"/>
        <v/>
      </c>
      <c r="N58" s="179"/>
      <c r="O58" s="180" t="str">
        <f t="shared" si="15"/>
        <v/>
      </c>
      <c r="P58" s="179"/>
      <c r="Q58" s="192" t="str">
        <f t="shared" si="0"/>
        <v/>
      </c>
      <c r="R58" s="193"/>
      <c r="S58" s="179"/>
      <c r="T58" s="192" t="str">
        <f t="shared" si="16"/>
        <v/>
      </c>
      <c r="U58" s="193"/>
      <c r="V58" s="179"/>
      <c r="W58" s="192" t="str">
        <f t="shared" si="17"/>
        <v/>
      </c>
      <c r="X58" s="194"/>
      <c r="Y58" s="205" t="str">
        <f t="shared" si="1"/>
        <v/>
      </c>
      <c r="Z58" s="206" t="str">
        <f t="shared" si="2"/>
        <v/>
      </c>
      <c r="AA58" s="206" t="str">
        <f t="shared" si="3"/>
        <v/>
      </c>
      <c r="AB58" s="206" t="str">
        <f t="shared" si="4"/>
        <v/>
      </c>
      <c r="AC58" s="207" t="str">
        <f t="shared" si="5"/>
        <v/>
      </c>
      <c r="AD58" s="208" t="str">
        <f t="shared" si="6"/>
        <v/>
      </c>
      <c r="AE58" s="209" t="str">
        <f t="shared" si="18"/>
        <v/>
      </c>
      <c r="AF58" s="210" t="str">
        <f t="shared" si="7"/>
        <v/>
      </c>
      <c r="AG58" s="219" t="str">
        <f t="shared" si="8"/>
        <v/>
      </c>
      <c r="AH58" s="207" t="str">
        <f t="shared" si="9"/>
        <v/>
      </c>
    </row>
    <row r="59" spans="1:36" s="167" customFormat="1" ht="12.75" customHeight="1">
      <c r="A59" s="181">
        <v>52</v>
      </c>
      <c r="B59" s="177"/>
      <c r="C59" s="182"/>
      <c r="D59" s="179"/>
      <c r="E59" s="180" t="str">
        <f t="shared" si="10"/>
        <v/>
      </c>
      <c r="F59" s="179"/>
      <c r="G59" s="180" t="str">
        <f t="shared" si="11"/>
        <v/>
      </c>
      <c r="H59" s="179"/>
      <c r="I59" s="180" t="str">
        <f t="shared" si="12"/>
        <v/>
      </c>
      <c r="J59" s="179"/>
      <c r="K59" s="180" t="str">
        <f t="shared" si="13"/>
        <v/>
      </c>
      <c r="L59" s="179"/>
      <c r="M59" s="180" t="str">
        <f t="shared" si="14"/>
        <v/>
      </c>
      <c r="N59" s="179"/>
      <c r="O59" s="180" t="str">
        <f t="shared" si="15"/>
        <v/>
      </c>
      <c r="P59" s="179"/>
      <c r="Q59" s="192" t="str">
        <f t="shared" si="0"/>
        <v/>
      </c>
      <c r="R59" s="193"/>
      <c r="S59" s="179"/>
      <c r="T59" s="192" t="str">
        <f t="shared" si="16"/>
        <v/>
      </c>
      <c r="U59" s="193"/>
      <c r="V59" s="179"/>
      <c r="W59" s="192" t="str">
        <f t="shared" si="17"/>
        <v/>
      </c>
      <c r="X59" s="194"/>
      <c r="Y59" s="205" t="str">
        <f t="shared" si="1"/>
        <v/>
      </c>
      <c r="Z59" s="206" t="str">
        <f t="shared" si="2"/>
        <v/>
      </c>
      <c r="AA59" s="206" t="str">
        <f t="shared" si="3"/>
        <v/>
      </c>
      <c r="AB59" s="206" t="str">
        <f t="shared" si="4"/>
        <v/>
      </c>
      <c r="AC59" s="207" t="str">
        <f t="shared" si="5"/>
        <v/>
      </c>
      <c r="AD59" s="208" t="str">
        <f t="shared" si="6"/>
        <v/>
      </c>
      <c r="AE59" s="209" t="str">
        <f t="shared" si="18"/>
        <v/>
      </c>
      <c r="AF59" s="210" t="str">
        <f t="shared" si="7"/>
        <v/>
      </c>
      <c r="AG59" s="219" t="str">
        <f t="shared" si="8"/>
        <v/>
      </c>
      <c r="AH59" s="207" t="str">
        <f t="shared" si="9"/>
        <v/>
      </c>
    </row>
    <row r="60" spans="1:36" s="167" customFormat="1" ht="12.75" customHeight="1">
      <c r="A60" s="181">
        <v>53</v>
      </c>
      <c r="B60" s="177"/>
      <c r="C60" s="182"/>
      <c r="D60" s="179"/>
      <c r="E60" s="180" t="str">
        <f t="shared" si="10"/>
        <v/>
      </c>
      <c r="F60" s="179"/>
      <c r="G60" s="180" t="str">
        <f t="shared" si="11"/>
        <v/>
      </c>
      <c r="H60" s="179"/>
      <c r="I60" s="180" t="str">
        <f t="shared" si="12"/>
        <v/>
      </c>
      <c r="J60" s="179"/>
      <c r="K60" s="180" t="str">
        <f t="shared" si="13"/>
        <v/>
      </c>
      <c r="L60" s="179"/>
      <c r="M60" s="180" t="str">
        <f t="shared" si="14"/>
        <v/>
      </c>
      <c r="N60" s="179"/>
      <c r="O60" s="180" t="str">
        <f t="shared" si="15"/>
        <v/>
      </c>
      <c r="P60" s="179"/>
      <c r="Q60" s="192" t="str">
        <f t="shared" si="0"/>
        <v/>
      </c>
      <c r="R60" s="193"/>
      <c r="S60" s="179"/>
      <c r="T60" s="192" t="str">
        <f t="shared" si="16"/>
        <v/>
      </c>
      <c r="U60" s="193"/>
      <c r="V60" s="179"/>
      <c r="W60" s="192" t="str">
        <f t="shared" si="17"/>
        <v/>
      </c>
      <c r="X60" s="194"/>
      <c r="Y60" s="205" t="str">
        <f t="shared" si="1"/>
        <v/>
      </c>
      <c r="Z60" s="206" t="str">
        <f t="shared" si="2"/>
        <v/>
      </c>
      <c r="AA60" s="206" t="str">
        <f t="shared" si="3"/>
        <v/>
      </c>
      <c r="AB60" s="206" t="str">
        <f t="shared" si="4"/>
        <v/>
      </c>
      <c r="AC60" s="207" t="str">
        <f t="shared" si="5"/>
        <v/>
      </c>
      <c r="AD60" s="208" t="str">
        <f t="shared" si="6"/>
        <v/>
      </c>
      <c r="AE60" s="209" t="str">
        <f t="shared" si="18"/>
        <v/>
      </c>
      <c r="AF60" s="210" t="str">
        <f t="shared" si="7"/>
        <v/>
      </c>
      <c r="AG60" s="219" t="str">
        <f t="shared" si="8"/>
        <v/>
      </c>
      <c r="AH60" s="207" t="str">
        <f t="shared" si="9"/>
        <v/>
      </c>
    </row>
    <row r="61" spans="1:36" s="167" customFormat="1" ht="12.75" customHeight="1">
      <c r="A61" s="181">
        <v>54</v>
      </c>
      <c r="B61" s="177"/>
      <c r="C61" s="182"/>
      <c r="D61" s="179"/>
      <c r="E61" s="180" t="str">
        <f t="shared" si="10"/>
        <v/>
      </c>
      <c r="F61" s="179"/>
      <c r="G61" s="180" t="str">
        <f t="shared" si="11"/>
        <v/>
      </c>
      <c r="H61" s="179"/>
      <c r="I61" s="180" t="str">
        <f t="shared" si="12"/>
        <v/>
      </c>
      <c r="J61" s="179"/>
      <c r="K61" s="180" t="str">
        <f t="shared" si="13"/>
        <v/>
      </c>
      <c r="L61" s="179"/>
      <c r="M61" s="180" t="str">
        <f t="shared" si="14"/>
        <v/>
      </c>
      <c r="N61" s="179"/>
      <c r="O61" s="180" t="str">
        <f t="shared" si="15"/>
        <v/>
      </c>
      <c r="P61" s="179"/>
      <c r="Q61" s="192" t="str">
        <f t="shared" si="0"/>
        <v/>
      </c>
      <c r="R61" s="193"/>
      <c r="S61" s="179"/>
      <c r="T61" s="192" t="str">
        <f t="shared" si="16"/>
        <v/>
      </c>
      <c r="U61" s="193"/>
      <c r="V61" s="179"/>
      <c r="W61" s="192" t="str">
        <f t="shared" si="17"/>
        <v/>
      </c>
      <c r="X61" s="194"/>
      <c r="Y61" s="205" t="str">
        <f t="shared" si="1"/>
        <v/>
      </c>
      <c r="Z61" s="206" t="str">
        <f t="shared" si="2"/>
        <v/>
      </c>
      <c r="AA61" s="206" t="str">
        <f t="shared" si="3"/>
        <v/>
      </c>
      <c r="AB61" s="206" t="str">
        <f t="shared" si="4"/>
        <v/>
      </c>
      <c r="AC61" s="207" t="str">
        <f t="shared" si="5"/>
        <v/>
      </c>
      <c r="AD61" s="208" t="str">
        <f t="shared" si="6"/>
        <v/>
      </c>
      <c r="AE61" s="209" t="str">
        <f t="shared" si="18"/>
        <v/>
      </c>
      <c r="AF61" s="210" t="str">
        <f t="shared" si="7"/>
        <v/>
      </c>
      <c r="AG61" s="219" t="str">
        <f t="shared" si="8"/>
        <v/>
      </c>
      <c r="AH61" s="207" t="str">
        <f t="shared" si="9"/>
        <v/>
      </c>
    </row>
    <row r="62" spans="1:36" s="167" customFormat="1" ht="12.75" customHeight="1">
      <c r="A62" s="181">
        <v>55</v>
      </c>
      <c r="B62" s="177"/>
      <c r="C62" s="182"/>
      <c r="D62" s="179"/>
      <c r="E62" s="180" t="str">
        <f t="shared" si="10"/>
        <v/>
      </c>
      <c r="F62" s="179"/>
      <c r="G62" s="180" t="str">
        <f t="shared" si="11"/>
        <v/>
      </c>
      <c r="H62" s="179"/>
      <c r="I62" s="180" t="str">
        <f t="shared" si="12"/>
        <v/>
      </c>
      <c r="J62" s="179"/>
      <c r="K62" s="180" t="str">
        <f t="shared" si="13"/>
        <v/>
      </c>
      <c r="L62" s="179"/>
      <c r="M62" s="180" t="str">
        <f t="shared" si="14"/>
        <v/>
      </c>
      <c r="N62" s="179"/>
      <c r="O62" s="185" t="str">
        <f t="shared" si="15"/>
        <v/>
      </c>
      <c r="P62" s="179"/>
      <c r="Q62" s="195" t="str">
        <f t="shared" si="0"/>
        <v/>
      </c>
      <c r="R62" s="196"/>
      <c r="S62" s="179"/>
      <c r="T62" s="195" t="str">
        <f t="shared" si="16"/>
        <v/>
      </c>
      <c r="U62" s="196"/>
      <c r="V62" s="179"/>
      <c r="W62" s="195" t="str">
        <f t="shared" si="17"/>
        <v/>
      </c>
      <c r="X62" s="197"/>
      <c r="Y62" s="211" t="str">
        <f t="shared" si="1"/>
        <v/>
      </c>
      <c r="Z62" s="212" t="str">
        <f t="shared" si="2"/>
        <v/>
      </c>
      <c r="AA62" s="212" t="str">
        <f t="shared" si="3"/>
        <v/>
      </c>
      <c r="AB62" s="212" t="str">
        <f t="shared" si="4"/>
        <v/>
      </c>
      <c r="AC62" s="213" t="str">
        <f t="shared" si="5"/>
        <v/>
      </c>
      <c r="AD62" s="214" t="str">
        <f t="shared" si="6"/>
        <v/>
      </c>
      <c r="AE62" s="215" t="str">
        <f t="shared" si="18"/>
        <v/>
      </c>
      <c r="AF62" s="216" t="str">
        <f t="shared" si="7"/>
        <v/>
      </c>
      <c r="AG62" s="220" t="str">
        <f t="shared" si="8"/>
        <v/>
      </c>
      <c r="AH62" s="213" t="str">
        <f t="shared" si="9"/>
        <v/>
      </c>
    </row>
    <row r="63" spans="1:36" s="167" customFormat="1" ht="12.75" customHeight="1">
      <c r="A63" s="342" t="s">
        <v>33</v>
      </c>
      <c r="B63" s="343"/>
      <c r="C63" s="344"/>
      <c r="D63" s="345" t="str">
        <f>IF(COUNTA(D8:D62)=0,"",(SUM(D8:D62)))</f>
        <v/>
      </c>
      <c r="E63" s="346"/>
      <c r="F63" s="345" t="str">
        <f>IF(COUNTA(F8:F62)=0,"",(SUM(F8:F62)))</f>
        <v/>
      </c>
      <c r="G63" s="346"/>
      <c r="H63" s="345" t="str">
        <f t="shared" ref="H63" si="19">IF(COUNTA(H8:H62)=0,"",(SUM(H8:H62)))</f>
        <v/>
      </c>
      <c r="I63" s="346"/>
      <c r="J63" s="345" t="str">
        <f t="shared" ref="J63" si="20">IF(COUNTA(J8:J62)=0,"",(SUM(J8:J62)))</f>
        <v/>
      </c>
      <c r="K63" s="346"/>
      <c r="L63" s="345" t="str">
        <f t="shared" ref="L63" si="21">IF(COUNTA(L8:L62)=0,"",(SUM(L8:L62)))</f>
        <v/>
      </c>
      <c r="M63" s="346"/>
      <c r="N63" s="345" t="str">
        <f t="shared" ref="N63" si="22">IF(COUNTA(N8:N62)=0,"",(SUM(N8:N62)))</f>
        <v/>
      </c>
      <c r="O63" s="346"/>
      <c r="P63" s="345" t="str">
        <f t="shared" ref="P63" si="23">IF(COUNTA(P8:P62)=0,"",(SUM(P8:P62)))</f>
        <v/>
      </c>
      <c r="Q63" s="346"/>
      <c r="R63" s="198"/>
      <c r="S63" s="345" t="str">
        <f t="shared" ref="S63" si="24">IF(COUNTA(S8:S62)=0,"",(SUM(S8:S62)))</f>
        <v/>
      </c>
      <c r="T63" s="346"/>
      <c r="U63" s="199"/>
      <c r="V63" s="345" t="str">
        <f t="shared" ref="V63" si="25">IF(COUNTA(V8:V62)=0,"",(SUM(V8:V62)))</f>
        <v/>
      </c>
      <c r="W63" s="346"/>
      <c r="X63" s="199"/>
      <c r="Y63" s="342" t="s">
        <v>34</v>
      </c>
      <c r="Z63" s="343"/>
      <c r="AA63" s="343"/>
      <c r="AB63" s="343"/>
      <c r="AC63" s="347"/>
      <c r="AD63" s="217" t="str">
        <f>IF(OR(COUNTIF(AD8:AD62,"P")&lt;&gt;0,COUNTIF(AD8:AD62,"F")&lt;&gt;0,COUNTIF(AD8:AD62,"ab")&lt;&gt;0),(COUNTIF(AD8:AD62,"ab")),"")</f>
        <v/>
      </c>
      <c r="AE63" s="217" t="str">
        <f>IF(OR(COUNTIF(AE8:AE62,"P")&lt;&gt;0,COUNTIF(AE8:AE62,"F")&lt;&gt;0,COUNTIF(AE8:AE62,"ab")&lt;&gt;0,COUNTIF(AE8:AE62,"Q1")&lt;&gt;0,COUNTIF(AE8:AE62,"Q2")&lt;&gt;0,COUNTIF(AE8:AE62,"R1")&lt;&gt;0,COUNTIF(AE8:AE62,"R2")&lt;&gt;0),(COUNTIF(AE8:AE62,"ab")),"")</f>
        <v/>
      </c>
      <c r="AF63" s="348" t="s">
        <v>34</v>
      </c>
      <c r="AG63" s="349"/>
      <c r="AH63" s="350"/>
      <c r="AI63" s="221"/>
      <c r="AJ63" s="221"/>
    </row>
    <row r="64" spans="1:36" s="167" customFormat="1" ht="12.75" customHeight="1">
      <c r="A64" s="351" t="s">
        <v>35</v>
      </c>
      <c r="B64" s="352"/>
      <c r="C64" s="353"/>
      <c r="D64" s="354" t="str">
        <f>IF(D63="","",IF(D63=0,0,AVERAGE(D8:D62)))</f>
        <v/>
      </c>
      <c r="E64" s="355"/>
      <c r="F64" s="354" t="str">
        <f>IF(F63="","",IF(F63=0,0,AVERAGE(F8:F62)))</f>
        <v/>
      </c>
      <c r="G64" s="355"/>
      <c r="H64" s="354" t="str">
        <f t="shared" ref="H64" si="26">IF(H63="","",IF(H63=0,0,AVERAGE(H8:H62)))</f>
        <v/>
      </c>
      <c r="I64" s="355"/>
      <c r="J64" s="354" t="str">
        <f t="shared" ref="J64" si="27">IF(J63="","",IF(J63=0,0,AVERAGE(J8:J62)))</f>
        <v/>
      </c>
      <c r="K64" s="355"/>
      <c r="L64" s="354" t="str">
        <f t="shared" ref="L64" si="28">IF(L63="","",IF(L63=0,0,AVERAGE(L8:L62)))</f>
        <v/>
      </c>
      <c r="M64" s="355"/>
      <c r="N64" s="354" t="str">
        <f t="shared" ref="N64" si="29">IF(N63="","",IF(N63=0,0,AVERAGE(N8:N62)))</f>
        <v/>
      </c>
      <c r="O64" s="355"/>
      <c r="P64" s="354" t="str">
        <f t="shared" ref="P64" si="30">IF(P63="","",IF(P63=0,0,AVERAGE(P8:P62)))</f>
        <v/>
      </c>
      <c r="Q64" s="355"/>
      <c r="R64" s="200"/>
      <c r="S64" s="354" t="str">
        <f t="shared" ref="S64" si="31">IF(S63="","",IF(S63=0,0,AVERAGE(S8:S62)))</f>
        <v/>
      </c>
      <c r="T64" s="355"/>
      <c r="U64" s="201"/>
      <c r="V64" s="354" t="str">
        <f t="shared" ref="V64" si="32">IF(V63="","",IF(V63=0,0,AVERAGE(V8:V62)))</f>
        <v/>
      </c>
      <c r="W64" s="355"/>
      <c r="X64" s="201"/>
      <c r="Y64" s="356" t="s">
        <v>36</v>
      </c>
      <c r="Z64" s="357"/>
      <c r="AA64" s="357"/>
      <c r="AB64" s="357"/>
      <c r="AC64" s="358"/>
      <c r="AD64" s="218" t="str">
        <f>IF(OR(COUNTIF(AD8:AD62,"P")&lt;&gt;0,COUNTIF(AD8:AD62,"F")&lt;&gt;0,COUNTIF(AD8:AD62,"ab")&lt;&gt;0),(COUNTIF(AD8:AD62,"P")),"")</f>
        <v/>
      </c>
      <c r="AE64" s="218" t="str">
        <f>IF(OR(COUNTIF(AE8:AE62,"P")&lt;&gt;0,COUNTIF(AE8:AE62,"F")&lt;&gt;0,COUNTIF(AE8:AE62,"ab")&lt;&gt;0,COUNTIF(AE8:AE62,"Q1")&lt;&gt;0,COUNTIF(AE8:AE62,"Q2")&lt;&gt;0,COUNTIF(AE8:AE62,"R1")&lt;&gt;0,COUNTIF(AE8:AE62,"R2")&lt;&gt;0),(COUNTIF(AE8:AE62,"P")),"")</f>
        <v/>
      </c>
      <c r="AF64" s="356" t="s">
        <v>36</v>
      </c>
      <c r="AG64" s="357"/>
      <c r="AH64" s="359"/>
    </row>
    <row r="65" spans="1:66" s="167" customFormat="1" ht="13.2">
      <c r="A65" s="222"/>
      <c r="B65" s="223"/>
      <c r="C65" s="224"/>
      <c r="D65" s="225"/>
      <c r="E65" s="226"/>
      <c r="F65" s="227"/>
      <c r="G65" s="226"/>
      <c r="H65" s="227"/>
      <c r="I65" s="226"/>
      <c r="J65" s="227"/>
      <c r="K65" s="226"/>
      <c r="L65" s="227"/>
      <c r="M65" s="226"/>
      <c r="N65" s="227"/>
      <c r="O65" s="226"/>
      <c r="P65" s="227"/>
      <c r="Q65" s="256"/>
      <c r="R65" s="226"/>
      <c r="S65" s="227"/>
      <c r="T65" s="226"/>
      <c r="U65" s="257"/>
      <c r="V65" s="227"/>
      <c r="W65" s="226"/>
      <c r="X65" s="257"/>
      <c r="Y65" s="351" t="s">
        <v>37</v>
      </c>
      <c r="Z65" s="352"/>
      <c r="AA65" s="352"/>
      <c r="AB65" s="352"/>
      <c r="AC65" s="360"/>
      <c r="AD65" s="283" t="str">
        <f>IF(OR(COUNTIF(AD8:AD62,"P")&lt;&gt;0,COUNTIF(AD8:AD62,"F")&lt;&gt;0,COUNTIF(AD8:AD62,"ab")&lt;&gt;0),(COUNTIF(AD8:AD62,"F")),"")</f>
        <v/>
      </c>
      <c r="AE65" s="218" t="str">
        <f>IF(OR(COUNTIF(AE8:AE62,"P")&lt;&gt;0,COUNTIF(AE8:AE62,"F")&lt;&gt;0,COUNTIF(AE8:AE62,"ab")&lt;&gt;0,COUNTIF(AE8:AE62,"Q1")&lt;&gt;0,COUNTIF(AE8:AE62,"Q2")&lt;&gt;0,COUNTIF(AE8:AE62,"R1")&lt;&gt;0,COUNTIF(AE8:AE62,"R2")&lt;&gt;0),(COUNTIF(AE8:AE62,"Q1")),"")</f>
        <v/>
      </c>
      <c r="AF65" s="356" t="s">
        <v>38</v>
      </c>
      <c r="AG65" s="357"/>
      <c r="AH65" s="359"/>
    </row>
    <row r="66" spans="1:66" s="167" customFormat="1" ht="12" customHeight="1">
      <c r="A66" s="418" t="s">
        <v>39</v>
      </c>
      <c r="B66" s="418"/>
      <c r="C66" s="228" t="s">
        <v>40</v>
      </c>
      <c r="D66" s="229"/>
      <c r="E66" s="192" t="str">
        <f>IF(D$63="","",(COUNTIF(E$8:E$62,"A")))</f>
        <v/>
      </c>
      <c r="F66" s="229"/>
      <c r="G66" s="192" t="str">
        <f>IF(F$63="","",(COUNTIF(G$8:G$62,"A")))</f>
        <v/>
      </c>
      <c r="H66" s="229"/>
      <c r="I66" s="192" t="str">
        <f>IF(H$63="","",(COUNTIF(I$8:I$62,"A")))</f>
        <v/>
      </c>
      <c r="J66" s="229"/>
      <c r="K66" s="192" t="str">
        <f>IF(J$63="","",(COUNTIF(K$8:K$62,"A")))</f>
        <v/>
      </c>
      <c r="L66" s="229"/>
      <c r="M66" s="192" t="str">
        <f>IF(L$63="","",(COUNTIF(M$8:M$62,"A")))</f>
        <v/>
      </c>
      <c r="N66" s="229"/>
      <c r="O66" s="192" t="str">
        <f>IF(N$63="","",(COUNTIF(O$8:O$62,"A")))</f>
        <v/>
      </c>
      <c r="P66" s="229"/>
      <c r="Q66" s="192" t="str">
        <f>IF(P$63="","",(COUNTIF(Q$8:Q$62,"A")))</f>
        <v/>
      </c>
      <c r="R66" s="229"/>
      <c r="S66" s="229"/>
      <c r="T66" s="192" t="str">
        <f>IF(S$63="","",(COUNTIF(T$8:T$62,"A")))</f>
        <v/>
      </c>
      <c r="U66" s="261"/>
      <c r="V66" s="306"/>
      <c r="W66" s="189" t="str">
        <f>IF(V$63="","",(COUNTIF(W$8:W$62,"A")))</f>
        <v/>
      </c>
      <c r="X66" s="307"/>
      <c r="Y66" s="205" t="str">
        <f>IF((COUNT($D66:$W66)=0),"",(SUM($D66:$W66)))</f>
        <v/>
      </c>
      <c r="Z66" s="284"/>
      <c r="AA66" s="284"/>
      <c r="AB66" s="284"/>
      <c r="AC66" s="284"/>
      <c r="AD66" s="285"/>
      <c r="AE66" s="218" t="str">
        <f>IF(OR(COUNTIF(AE8:AE62,"P")&lt;&gt;0,COUNTIF(AE8:AE62,"F")&lt;&gt;0,COUNTIF(AE8:AE62,"ab")&lt;&gt;0,COUNTIF(AE8:AE62,"Q1")&lt;&gt;0,COUNTIF(AE8:AE62,"Q2")&lt;&gt;0,COUNTIF(AE8:AE62,"R1")&lt;&gt;0,COUNTIF(AE8:AE62,"R2")&lt;&gt;0),(COUNTIF(AE8:AE62,"Q2")),"")</f>
        <v/>
      </c>
      <c r="AF66" s="356" t="s">
        <v>41</v>
      </c>
      <c r="AG66" s="357"/>
      <c r="AH66" s="359"/>
    </row>
    <row r="67" spans="1:66" s="167" customFormat="1" ht="12" customHeight="1">
      <c r="A67" s="418"/>
      <c r="B67" s="418"/>
      <c r="C67" s="228" t="s">
        <v>42</v>
      </c>
      <c r="D67" s="229"/>
      <c r="E67" s="192" t="str">
        <f>IF(D$63="","",(COUNTIF(E$8:E$62,"B")))</f>
        <v/>
      </c>
      <c r="F67" s="229"/>
      <c r="G67" s="192" t="str">
        <f>IF(F$63="","",(COUNTIF(G$8:G$62,"B")))</f>
        <v/>
      </c>
      <c r="H67" s="229"/>
      <c r="I67" s="192" t="str">
        <f>IF(H$63="","",(COUNTIF(I$8:I$62,"B")))</f>
        <v/>
      </c>
      <c r="J67" s="229"/>
      <c r="K67" s="192" t="str">
        <f>IF(J$63="","",(COUNTIF(K$8:K$62,"B")))</f>
        <v/>
      </c>
      <c r="L67" s="229"/>
      <c r="M67" s="192" t="str">
        <f>IF(L$63="","",(COUNTIF(M$8:M$62,"B")))</f>
        <v/>
      </c>
      <c r="N67" s="229"/>
      <c r="O67" s="192" t="str">
        <f>IF(N$63="","",(COUNTIF(O$8:O$62,"B")))</f>
        <v/>
      </c>
      <c r="P67" s="229"/>
      <c r="Q67" s="192" t="str">
        <f>IF(P$63="","",(COUNTIF(Q$8:Q$62,"B")))</f>
        <v/>
      </c>
      <c r="R67" s="229"/>
      <c r="S67" s="229"/>
      <c r="T67" s="192" t="str">
        <f>IF(S$63="","",(COUNTIF(T$8:T$62,"B")))</f>
        <v/>
      </c>
      <c r="U67" s="261"/>
      <c r="V67" s="262"/>
      <c r="W67" s="192" t="str">
        <f>IF(V$63="","",(COUNTIF(W$8:W$62,"B")))</f>
        <v/>
      </c>
      <c r="X67" s="264"/>
      <c r="Y67" s="286"/>
      <c r="Z67" s="240" t="str">
        <f>IF((COUNT($D67:$W67)=0),"",SUM($D67:$W67))</f>
        <v/>
      </c>
      <c r="AA67" s="229"/>
      <c r="AB67" s="229"/>
      <c r="AC67" s="229"/>
      <c r="AD67" s="287"/>
      <c r="AE67" s="218" t="str">
        <f>IF(OR(COUNTIF(AE8:AE62,"P")&lt;&gt;0,COUNTIF(AE8:AE62,"F")&lt;&gt;0,COUNTIF(AE8:AE62,"ab")&lt;&gt;0,COUNTIF(AE8:AE62,"Q1")&lt;&gt;0,COUNTIF(AE8:AE62,"Q2")&lt;&gt;0,COUNTIF(AE8:AE62,"R1")&lt;&gt;0,COUNTIF(AE8:AE62,"R2")&lt;&gt;0),(COUNTIF(AE8:AE62,"R1")),"")</f>
        <v/>
      </c>
      <c r="AF67" s="356" t="s">
        <v>43</v>
      </c>
      <c r="AG67" s="357"/>
      <c r="AH67" s="359"/>
    </row>
    <row r="68" spans="1:66" s="167" customFormat="1" ht="12" customHeight="1">
      <c r="A68" s="418"/>
      <c r="B68" s="418"/>
      <c r="C68" s="228" t="s">
        <v>44</v>
      </c>
      <c r="D68" s="229"/>
      <c r="E68" s="192" t="str">
        <f>IF(D$63="","",(COUNTIF(E$8:E$62,"C")))</f>
        <v/>
      </c>
      <c r="F68" s="229"/>
      <c r="G68" s="192" t="str">
        <f>IF(F$63="","",(COUNTIF(G$8:G$62,"C")))</f>
        <v/>
      </c>
      <c r="H68" s="229"/>
      <c r="I68" s="192" t="str">
        <f>IF(H$63="","",(COUNTIF(I$8:I$62,"C")))</f>
        <v/>
      </c>
      <c r="J68" s="229"/>
      <c r="K68" s="192" t="str">
        <f>IF(J$63="","",(COUNTIF(K$8:K$62,"C")))</f>
        <v/>
      </c>
      <c r="L68" s="229"/>
      <c r="M68" s="192" t="str">
        <f>IF(L$63="","",(COUNTIF(M$8:M$62,"C")))</f>
        <v/>
      </c>
      <c r="N68" s="229"/>
      <c r="O68" s="192" t="str">
        <f>IF(N$63="","",(COUNTIF(O$8:O$62,"C")))</f>
        <v/>
      </c>
      <c r="P68" s="229"/>
      <c r="Q68" s="192" t="str">
        <f>IF(P$63="","",(COUNTIF(Q$8:Q$62,"C")))</f>
        <v/>
      </c>
      <c r="R68" s="229"/>
      <c r="S68" s="229"/>
      <c r="T68" s="192" t="str">
        <f>IF(S$63="","",(COUNTIF(T$8:T$62,"C")))</f>
        <v/>
      </c>
      <c r="U68" s="261"/>
      <c r="V68" s="262"/>
      <c r="W68" s="192" t="str">
        <f>IF(V$63="","",(COUNTIF(W$8:W$62,"C")))</f>
        <v/>
      </c>
      <c r="X68" s="264"/>
      <c r="Y68" s="286"/>
      <c r="Z68" s="229"/>
      <c r="AA68" s="240" t="str">
        <f>IF((COUNT($D68:$W68)=0),"",SUM($D68:$W68))</f>
        <v/>
      </c>
      <c r="AB68" s="229"/>
      <c r="AC68" s="229"/>
      <c r="AD68" s="287"/>
      <c r="AE68" s="218" t="str">
        <f>IF(OR(COUNTIF(AE8:AE62,"P")&lt;&gt;0,COUNTIF(AE8:AE62,"F")&lt;&gt;0,COUNTIF(AE8:AE62,"ab")&lt;&gt;0,COUNTIF(AE8:AE62,"Q1")&lt;&gt;0,COUNTIF(AE8:AE62,"Q2")&lt;&gt;0,COUNTIF(AE8:AE62,"R1")&lt;&gt;0,COUNTIF(AE8:AE62,"R2")&lt;&gt;0),(COUNTIF(AE8:AE62,"R2")),"")</f>
        <v/>
      </c>
      <c r="AF68" s="356" t="s">
        <v>45</v>
      </c>
      <c r="AG68" s="357"/>
      <c r="AH68" s="359"/>
    </row>
    <row r="69" spans="1:66" s="167" customFormat="1" ht="12" customHeight="1">
      <c r="A69" s="418"/>
      <c r="B69" s="418"/>
      <c r="C69" s="228" t="s">
        <v>46</v>
      </c>
      <c r="D69" s="229"/>
      <c r="E69" s="192" t="str">
        <f>IF(D$63="","",(COUNTIF(E$8:E$62,"S")))</f>
        <v/>
      </c>
      <c r="F69" s="229"/>
      <c r="G69" s="192" t="str">
        <f>IF(F$63="","",(COUNTIF(G$8:G$62,"S")))</f>
        <v/>
      </c>
      <c r="H69" s="229"/>
      <c r="I69" s="192" t="str">
        <f>IF(H$63="","",(COUNTIF(I$8:I$62,"S")))</f>
        <v/>
      </c>
      <c r="J69" s="229"/>
      <c r="K69" s="192" t="str">
        <f>IF(J$63="","",(COUNTIF(K$8:K$62,"S")))</f>
        <v/>
      </c>
      <c r="L69" s="229"/>
      <c r="M69" s="192" t="str">
        <f>IF(L$63="","",(COUNTIF(M$8:M$62,"S")))</f>
        <v/>
      </c>
      <c r="N69" s="229"/>
      <c r="O69" s="192" t="str">
        <f>IF(N$63="","",(COUNTIF(O$8:O$62,"S")))</f>
        <v/>
      </c>
      <c r="P69" s="229"/>
      <c r="Q69" s="192" t="str">
        <f>IF(P$63="","",(COUNTIF(Q$8:Q$62,"S")))</f>
        <v/>
      </c>
      <c r="R69" s="229"/>
      <c r="S69" s="229"/>
      <c r="T69" s="192" t="str">
        <f>IF(S$63="","",(COUNTIF(T$8:T$62,"S")))</f>
        <v/>
      </c>
      <c r="U69" s="261"/>
      <c r="V69" s="262"/>
      <c r="W69" s="192" t="str">
        <f>IF(V$63="","",(COUNTIF(W$8:W$62,"S")))</f>
        <v/>
      </c>
      <c r="X69" s="264"/>
      <c r="Y69" s="286"/>
      <c r="Z69" s="229"/>
      <c r="AA69" s="229"/>
      <c r="AB69" s="240" t="str">
        <f>IF((COUNT($D69:$W69)=0),"",SUM($D69:$W69))</f>
        <v/>
      </c>
      <c r="AC69" s="229"/>
      <c r="AD69" s="287"/>
      <c r="AE69" s="218" t="str">
        <f>IF(OR(COUNTIF(AE8:AE62,"P")&lt;&gt;0,COUNTIF(AE8:AE62,"F")&lt;&gt;0,COUNTIF(AE8:AE62,"ab")&lt;&gt;0,COUNTIF(AE8:AE62,"Q1")&lt;&gt;0,COUNTIF(AE8:AE62,"Q2")&lt;&gt;0,COUNTIF(AE8:AE62,"R1")&lt;&gt;0,COUNTIF(AE8:AE62,"R2")&lt;&gt;0),(COUNTIF(AE8:AE62,"F")),"")</f>
        <v/>
      </c>
      <c r="AF69" s="356" t="s">
        <v>37</v>
      </c>
      <c r="AG69" s="357"/>
      <c r="AH69" s="359"/>
    </row>
    <row r="70" spans="1:66" s="167" customFormat="1" ht="12" customHeight="1">
      <c r="A70" s="418"/>
      <c r="B70" s="418"/>
      <c r="C70" s="228" t="s">
        <v>32</v>
      </c>
      <c r="D70" s="229"/>
      <c r="E70" s="192" t="str">
        <f>IF(D$63="","",(COUNTIF(E$8:E$62,"W")))</f>
        <v/>
      </c>
      <c r="F70" s="229"/>
      <c r="G70" s="192" t="str">
        <f>IF(F$63="","",(COUNTIF(G$8:G$62,"W")))</f>
        <v/>
      </c>
      <c r="H70" s="229"/>
      <c r="I70" s="192" t="str">
        <f>IF(H$63="","",(COUNTIF(I$8:I$62,"W")))</f>
        <v/>
      </c>
      <c r="J70" s="229"/>
      <c r="K70" s="192" t="str">
        <f>IF(J$63="","",(COUNTIF(K$8:K$62,"W")))</f>
        <v/>
      </c>
      <c r="L70" s="229"/>
      <c r="M70" s="192" t="str">
        <f>IF(L$63="","",(COUNTIF(M$8:M$62,"W")))</f>
        <v/>
      </c>
      <c r="N70" s="229"/>
      <c r="O70" s="192" t="str">
        <f>IF(N$63="","",(COUNTIF(O$8:O$62,"W")))</f>
        <v/>
      </c>
      <c r="P70" s="229"/>
      <c r="Q70" s="192" t="str">
        <f>IF(P$63="","",(COUNTIF(Q$8:Q$62,"W")))</f>
        <v/>
      </c>
      <c r="R70" s="229"/>
      <c r="S70" s="229"/>
      <c r="T70" s="192" t="str">
        <f>IF(S$63="","",(COUNTIF(T$8:T$62,"W")))</f>
        <v/>
      </c>
      <c r="U70" s="261"/>
      <c r="V70" s="265"/>
      <c r="W70" s="192" t="str">
        <f>IF(V$63="","",(COUNTIF(W$8:W$62,"W")))</f>
        <v/>
      </c>
      <c r="X70" s="266"/>
      <c r="Y70" s="286"/>
      <c r="Z70" s="229"/>
      <c r="AA70" s="229"/>
      <c r="AB70" s="229"/>
      <c r="AC70" s="240" t="str">
        <f>IF((COUNT($D70:$W70)=0),"",SUM($D70:$W70))</f>
        <v/>
      </c>
      <c r="AD70" s="287"/>
      <c r="AE70" s="283" t="str">
        <f>IF(AND(AE63="",AE64="",AE65="",AE66="",AE67="",AE68="",AE69=""),"",SUM(AE63:AE69))</f>
        <v/>
      </c>
      <c r="AF70" s="351" t="s">
        <v>33</v>
      </c>
      <c r="AG70" s="352"/>
      <c r="AH70" s="353"/>
    </row>
    <row r="71" spans="1:66" s="167" customFormat="1" ht="12" customHeight="1">
      <c r="A71" s="419"/>
      <c r="B71" s="419"/>
      <c r="C71" s="230" t="s">
        <v>47</v>
      </c>
      <c r="D71" s="231"/>
      <c r="E71" s="232" t="str">
        <f>IF(D$63="","",(COUNTIF(E$8:E$62,"ab")))</f>
        <v/>
      </c>
      <c r="F71" s="231"/>
      <c r="G71" s="232" t="str">
        <f>IF(F$63="","",(COUNTIF(G$8:G$62,"ab")))</f>
        <v/>
      </c>
      <c r="H71" s="231"/>
      <c r="I71" s="232" t="str">
        <f>IF(H$63="","",(COUNTIF(I$8:I$62,"ab")))</f>
        <v/>
      </c>
      <c r="J71" s="231"/>
      <c r="K71" s="232" t="str">
        <f>IF(J$63="","",(COUNTIF(K$8:K$62,"ab")))</f>
        <v/>
      </c>
      <c r="L71" s="231"/>
      <c r="M71" s="232" t="str">
        <f>IF(L$63="","",(COUNTIF(M$8:M$62,"ab")))</f>
        <v/>
      </c>
      <c r="N71" s="231"/>
      <c r="O71" s="232" t="str">
        <f>IF(N$63="","",(COUNTIF(O$8:O$62,"ab")))</f>
        <v/>
      </c>
      <c r="P71" s="231"/>
      <c r="Q71" s="232" t="str">
        <f>IF(P$63="","",(COUNTIF(Q$8:Q$62,"ab")))</f>
        <v/>
      </c>
      <c r="R71" s="231"/>
      <c r="S71" s="231"/>
      <c r="T71" s="232" t="str">
        <f>IF(S$63="","",(COUNTIF(T$8:T$62,"ab")))</f>
        <v/>
      </c>
      <c r="U71" s="267"/>
      <c r="V71" s="268"/>
      <c r="W71" s="269" t="str">
        <f>IF(V$63="","",(COUNTIF(W$8:W$62,"ab")))</f>
        <v/>
      </c>
      <c r="X71" s="270"/>
      <c r="Y71" s="288"/>
      <c r="Z71" s="288"/>
      <c r="AA71" s="288"/>
      <c r="AB71" s="288"/>
      <c r="AC71" s="288"/>
      <c r="AD71" s="289" t="str">
        <f>IF((COUNT($D71:$W71)=0),"",SUM($D71:$W71))</f>
        <v/>
      </c>
      <c r="AE71" s="290"/>
      <c r="AF71" s="257"/>
      <c r="AG71" s="257"/>
      <c r="AH71" s="288"/>
    </row>
    <row r="72" spans="1:66" s="167" customFormat="1" ht="12" customHeight="1">
      <c r="A72" s="361" t="s">
        <v>33</v>
      </c>
      <c r="B72" s="362"/>
      <c r="C72" s="362"/>
      <c r="D72" s="233"/>
      <c r="E72" s="234" t="str">
        <f>IF(D$63="","",(SUM(E$66:E$71)))</f>
        <v/>
      </c>
      <c r="F72" s="233"/>
      <c r="G72" s="234" t="str">
        <f>IF(F$63="","",(SUM(G$66:G$71)))</f>
        <v/>
      </c>
      <c r="H72" s="233"/>
      <c r="I72" s="234" t="str">
        <f>IF(H$63="","",(SUM(I$66:I$71)))</f>
        <v/>
      </c>
      <c r="J72" s="233"/>
      <c r="K72" s="234" t="str">
        <f>IF(J$63="","",(SUM(K$66:K$71)))</f>
        <v/>
      </c>
      <c r="L72" s="233"/>
      <c r="M72" s="234" t="str">
        <f>IF(L$63="","",(SUM(M$66:M$71)))</f>
        <v/>
      </c>
      <c r="N72" s="233"/>
      <c r="O72" s="234" t="str">
        <f>IF(N$63="","",(SUM(O$66:O$71)))</f>
        <v/>
      </c>
      <c r="P72" s="233"/>
      <c r="Q72" s="234" t="str">
        <f>IF(P$63="","",(SUM(Q$66:Q$71)))</f>
        <v/>
      </c>
      <c r="R72" s="233"/>
      <c r="S72" s="233"/>
      <c r="T72" s="234" t="str">
        <f>IF(S$63="","",(SUM(T$66:T$71)))</f>
        <v/>
      </c>
      <c r="U72" s="271"/>
      <c r="V72" s="272"/>
      <c r="W72" s="273" t="str">
        <f>IF(V$63="","",(SUM(W$66:W$71)))</f>
        <v/>
      </c>
      <c r="X72" s="274"/>
      <c r="Y72" s="274"/>
      <c r="Z72" s="288"/>
      <c r="AA72" s="288"/>
      <c r="AB72" s="288"/>
      <c r="AC72" s="288"/>
      <c r="AD72" s="290"/>
      <c r="AE72" s="290"/>
      <c r="AF72" s="257"/>
      <c r="AG72" s="257"/>
      <c r="AH72" s="288"/>
    </row>
    <row r="73" spans="1:66" s="167" customFormat="1" ht="9.75" customHeight="1">
      <c r="A73" s="221"/>
      <c r="B73" s="221"/>
      <c r="C73" s="221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89"/>
      <c r="AE73" s="289"/>
      <c r="AF73" s="291"/>
      <c r="AG73" s="291"/>
      <c r="AH73" s="235"/>
    </row>
    <row r="74" spans="1:66" s="167" customFormat="1" ht="15" customHeight="1">
      <c r="A74" s="221"/>
      <c r="B74" s="221"/>
      <c r="C74" s="236" t="s">
        <v>48</v>
      </c>
      <c r="D74" s="237" t="str">
        <f>IF(D$63="","",(COUNTIFS(D$8:D$62,"&lt;=39",D$8:D$62,"&gt;=30")))</f>
        <v/>
      </c>
      <c r="E74" s="238"/>
      <c r="F74" s="237" t="str">
        <f>IF(F$63="","",(COUNTIFS(F$8:F$62,"&lt;=39",F$8:F$62,"&gt;=30")))</f>
        <v/>
      </c>
      <c r="G74" s="238"/>
      <c r="H74" s="237" t="str">
        <f>IF(H$63="","",(COUNTIFS(H$8:H$62,"&lt;=39",H$8:H$62,"&gt;=30")))</f>
        <v/>
      </c>
      <c r="I74" s="238"/>
      <c r="J74" s="237" t="str">
        <f>IF(J$63="","",(COUNTIFS(J$8:J$62,"&lt;=39",J$8:J$62,"&gt;=30")))</f>
        <v/>
      </c>
      <c r="K74" s="238"/>
      <c r="L74" s="237" t="str">
        <f>IF(L$63="","",(COUNTIFS(L$8:L$62,"&lt;=39",L$8:L$62,"&gt;=30")))</f>
        <v/>
      </c>
      <c r="M74" s="238"/>
      <c r="N74" s="237" t="str">
        <f>IF(N$63="","",(COUNTIFS(N$8:N$62,"&lt;=39",N$8:N$62,"&gt;=30")))</f>
        <v/>
      </c>
      <c r="O74" s="238"/>
      <c r="P74" s="237" t="str">
        <f>IF(P$63="","",(COUNTIFS(P$8:P$62,"&lt;=39",P$8:P$62,"&gt;=30")))</f>
        <v/>
      </c>
      <c r="Q74" s="238"/>
      <c r="R74" s="238"/>
      <c r="S74" s="237" t="str">
        <f>IF(S$63="","",(COUNTIFS(S$8:S$62,"&lt;=39",S$8:S$62,"&gt;=30")))</f>
        <v/>
      </c>
      <c r="T74" s="238"/>
      <c r="U74" s="238"/>
      <c r="V74" s="275" t="str">
        <f>IF(V$63="","",(COUNTIFS(V$8:V$62,"&lt;=39",V$8:V$62,"&gt;=30")))</f>
        <v/>
      </c>
      <c r="W74" s="276"/>
      <c r="X74" s="277"/>
      <c r="Y74" s="235"/>
      <c r="Z74" s="363" t="s">
        <v>49</v>
      </c>
      <c r="AA74" s="364"/>
      <c r="AB74" s="364"/>
      <c r="AC74" s="364"/>
      <c r="AD74" s="365"/>
      <c r="AE74" s="366" t="s">
        <v>50</v>
      </c>
      <c r="AF74" s="367"/>
      <c r="AG74" s="367"/>
      <c r="AH74" s="368"/>
    </row>
    <row r="75" spans="1:66" s="167" customFormat="1" ht="13.2">
      <c r="A75" s="221"/>
      <c r="B75" s="221"/>
      <c r="C75" s="239" t="s">
        <v>51</v>
      </c>
      <c r="D75" s="240" t="str">
        <f>IF(D$63="","",(COUNTIFS(D$8:D$62,"&lt;=29",D$8:D$62,"&gt;=20")))</f>
        <v/>
      </c>
      <c r="E75" s="229"/>
      <c r="F75" s="240" t="str">
        <f>IF(F$63="","",(COUNTIFS(F$8:F$62,"&lt;=29",F$8:F$62,"&gt;=20")))</f>
        <v/>
      </c>
      <c r="G75" s="229"/>
      <c r="H75" s="240" t="str">
        <f>IF(H$63="","",(COUNTIFS(H$8:H$62,"&lt;=29",H$8:H$62,"&gt;=20")))</f>
        <v/>
      </c>
      <c r="I75" s="229"/>
      <c r="J75" s="240" t="str">
        <f>IF(J$63="","",(COUNTIFS(J$8:J$62,"&lt;=29",J$8:J$62,"&gt;=20")))</f>
        <v/>
      </c>
      <c r="K75" s="229"/>
      <c r="L75" s="240" t="str">
        <f>IF(L$63="","",(COUNTIFS(L$8:L$62,"&lt;=29",L$8:L$62,"&gt;=20")))</f>
        <v/>
      </c>
      <c r="M75" s="229"/>
      <c r="N75" s="240" t="str">
        <f>IF(N$63="","",(COUNTIFS(N$8:N$62,"&lt;=29",N$8:N$62,"&gt;=20")))</f>
        <v/>
      </c>
      <c r="O75" s="229"/>
      <c r="P75" s="240" t="str">
        <f>IF(P$63="","",(COUNTIFS(P$8:P$62,"&lt;=29",P$8:P$62,"&gt;=20")))</f>
        <v/>
      </c>
      <c r="Q75" s="229"/>
      <c r="R75" s="229"/>
      <c r="S75" s="240" t="str">
        <f>IF(S$63="","",(COUNTIFS(S$8:S$62,"&lt;=29",S$8:S$62,"&gt;=20")))</f>
        <v/>
      </c>
      <c r="T75" s="229"/>
      <c r="U75" s="229"/>
      <c r="V75" s="278" t="str">
        <f>IF(V$63="","",(COUNTIFS(V$8:V$62,"&lt;=29",V$8:V$62,"&gt;=20")))</f>
        <v/>
      </c>
      <c r="W75" s="279"/>
      <c r="X75" s="270"/>
      <c r="Y75" s="235"/>
      <c r="Z75" s="363" t="s">
        <v>20</v>
      </c>
      <c r="AA75" s="364"/>
      <c r="AB75" s="364"/>
      <c r="AC75" s="364"/>
      <c r="AD75" s="364"/>
      <c r="AE75" s="364"/>
      <c r="AF75" s="364"/>
      <c r="AG75" s="364"/>
      <c r="AH75" s="365"/>
    </row>
    <row r="76" spans="1:66" s="167" customFormat="1" ht="13.2">
      <c r="A76" s="221"/>
      <c r="B76" s="221"/>
      <c r="C76" s="241" t="s">
        <v>52</v>
      </c>
      <c r="D76" s="240" t="str">
        <f>IF(D$63="","",(COUNTIFS(D$8:D$62,"&gt;=10",D$8:D$62,"&lt;=19")))</f>
        <v/>
      </c>
      <c r="E76" s="229"/>
      <c r="F76" s="240" t="str">
        <f>IF(F$63="","",(COUNTIFS(F$8:F$62,"&gt;=10",F$8:F$62,"&lt;=19")))</f>
        <v/>
      </c>
      <c r="G76" s="229"/>
      <c r="H76" s="240" t="str">
        <f>IF(H$63="","",(COUNTIFS(H$8:H$62,"&gt;=10",H$8:H$62,"&lt;=19")))</f>
        <v/>
      </c>
      <c r="I76" s="229"/>
      <c r="J76" s="240" t="str">
        <f>IF(J$63="","",(COUNTIFS(J$8:J$62,"&gt;=10",J$8:J$62,"&lt;=19")))</f>
        <v/>
      </c>
      <c r="K76" s="229"/>
      <c r="L76" s="240" t="str">
        <f>IF(L$63="","",(COUNTIFS(L$8:L$62,"&gt;=10",L$8:L$62,"&lt;=19")))</f>
        <v/>
      </c>
      <c r="M76" s="229"/>
      <c r="N76" s="240" t="str">
        <f>IF(N$63="","",(COUNTIFS(N$8:N$62,"&gt;=10",N$8:N$62,"&lt;=19")))</f>
        <v/>
      </c>
      <c r="O76" s="229"/>
      <c r="P76" s="240" t="str">
        <f>IF(P$63="","",(COUNTIFS(P$8:P$62,"&gt;=10",P$8:P$62,"&lt;=19")))</f>
        <v/>
      </c>
      <c r="Q76" s="229"/>
      <c r="R76" s="229"/>
      <c r="S76" s="240" t="str">
        <f>IF(S$63="","",(COUNTIFS(S$8:S$62,"&gt;=10",S$8:S$62,"&lt;=19")))</f>
        <v/>
      </c>
      <c r="T76" s="229"/>
      <c r="U76" s="229"/>
      <c r="V76" s="278" t="str">
        <f>IF(V$63="","",(COUNTIFS(V$8:V$62,"&gt;=10",V$8:V$62,"&lt;=19")))</f>
        <v/>
      </c>
      <c r="W76" s="279"/>
      <c r="X76" s="270"/>
      <c r="Z76" s="292" t="s">
        <v>53</v>
      </c>
      <c r="AA76" s="369" t="s">
        <v>54</v>
      </c>
      <c r="AB76" s="370"/>
      <c r="AC76" s="370"/>
      <c r="AD76" s="370"/>
      <c r="AE76" s="370"/>
      <c r="AF76" s="370"/>
      <c r="AG76" s="370"/>
      <c r="AH76" s="371"/>
    </row>
    <row r="77" spans="1:66" s="167" customFormat="1" ht="13.2">
      <c r="A77" s="221"/>
      <c r="B77" s="221"/>
      <c r="C77" s="242" t="s">
        <v>55</v>
      </c>
      <c r="D77" s="243" t="str">
        <f>IF(D$63="","",(COUNTIFS(D$8:D$62,"&gt;=0",D$8:D$62,"&lt;=9")))</f>
        <v/>
      </c>
      <c r="E77" s="244"/>
      <c r="F77" s="243" t="str">
        <f>IF(F$63="","",(COUNTIFS(F$8:F$62,"&gt;=0",F$8:F$62,"&lt;=9")))</f>
        <v/>
      </c>
      <c r="G77" s="244"/>
      <c r="H77" s="243" t="str">
        <f>IF(H$63="","",(COUNTIFS(H$8:H$62,"&gt;=0",H$8:H$62,"&lt;=9")))</f>
        <v/>
      </c>
      <c r="I77" s="244"/>
      <c r="J77" s="243" t="str">
        <f>IF(J$63="","",(COUNTIFS(J$8:J$62,"&gt;=0",J$8:J$62,"&lt;=9")))</f>
        <v/>
      </c>
      <c r="K77" s="244"/>
      <c r="L77" s="243" t="str">
        <f>IF(L$63="","",(COUNTIFS(L$8:L$62,"&gt;=0",L$8:L$62,"&lt;=9")))</f>
        <v/>
      </c>
      <c r="M77" s="244"/>
      <c r="N77" s="243" t="str">
        <f>IF(N$63="","",(COUNTIFS(N$8:N$62,"&gt;=0",N$8:N$62,"&lt;=9")))</f>
        <v/>
      </c>
      <c r="O77" s="244"/>
      <c r="P77" s="243" t="str">
        <f>IF(P$63="","",(COUNTIFS(P$8:P$62,"&gt;=0",P$8:P$62,"&lt;=9")))</f>
        <v/>
      </c>
      <c r="Q77" s="244"/>
      <c r="R77" s="244"/>
      <c r="S77" s="243" t="str">
        <f>IF(S$63="","",(COUNTIFS(S$8:S$62,"&gt;=0",S$8:S$62,"&lt;=9")))</f>
        <v/>
      </c>
      <c r="T77" s="244"/>
      <c r="U77" s="244"/>
      <c r="V77" s="280" t="str">
        <f>IF(V$63="","",(COUNTIFS(V$8:V$62,"&gt;=0",V$8:V$62,"&lt;=9")))</f>
        <v/>
      </c>
      <c r="W77" s="281"/>
      <c r="X77" s="282"/>
      <c r="Y77" s="235"/>
      <c r="Z77" s="293" t="s">
        <v>56</v>
      </c>
      <c r="AA77" s="372" t="s">
        <v>57</v>
      </c>
      <c r="AB77" s="373"/>
      <c r="AC77" s="373"/>
      <c r="AD77" s="373"/>
      <c r="AE77" s="373"/>
      <c r="AF77" s="373"/>
      <c r="AG77" s="373"/>
      <c r="AH77" s="374"/>
    </row>
    <row r="78" spans="1:66" ht="13.5" customHeight="1">
      <c r="A78" s="70"/>
      <c r="B78" s="70"/>
      <c r="C78" s="245"/>
      <c r="D78" s="70"/>
      <c r="E78" s="246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246"/>
      <c r="Z78" s="294" t="s">
        <v>58</v>
      </c>
      <c r="AA78" s="372" t="s">
        <v>59</v>
      </c>
      <c r="AB78" s="373"/>
      <c r="AC78" s="373"/>
      <c r="AD78" s="373"/>
      <c r="AE78" s="373"/>
      <c r="AF78" s="373"/>
      <c r="AG78" s="373"/>
      <c r="AH78" s="374"/>
    </row>
    <row r="79" spans="1:66" s="167" customFormat="1" ht="14.25" customHeight="1">
      <c r="A79" s="221"/>
      <c r="B79" s="247" t="s">
        <v>27</v>
      </c>
      <c r="C79" s="375" t="s">
        <v>60</v>
      </c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76"/>
      <c r="W79" s="377"/>
      <c r="X79" s="221"/>
      <c r="Y79" s="235"/>
      <c r="Z79" s="295" t="s">
        <v>61</v>
      </c>
      <c r="AA79" s="372" t="s">
        <v>62</v>
      </c>
      <c r="AB79" s="373"/>
      <c r="AC79" s="373"/>
      <c r="AD79" s="373"/>
      <c r="AE79" s="373"/>
      <c r="AF79" s="373"/>
      <c r="AG79" s="373"/>
      <c r="AH79" s="374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/>
      <c r="AX79" s="221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  <c r="BM79" s="221"/>
      <c r="BN79" s="221"/>
    </row>
    <row r="80" spans="1:66" s="167" customFormat="1" ht="12" customHeight="1">
      <c r="A80" s="221"/>
      <c r="B80" s="378" t="s">
        <v>15</v>
      </c>
      <c r="C80" s="379"/>
      <c r="D80" s="380" t="s">
        <v>16</v>
      </c>
      <c r="E80" s="381"/>
      <c r="F80" s="381"/>
      <c r="G80" s="381"/>
      <c r="H80" s="381"/>
      <c r="I80" s="381"/>
      <c r="J80" s="381"/>
      <c r="K80" s="381"/>
      <c r="L80" s="381"/>
      <c r="M80" s="382"/>
      <c r="N80" s="380" t="s">
        <v>17</v>
      </c>
      <c r="O80" s="381"/>
      <c r="P80" s="381"/>
      <c r="Q80" s="381"/>
      <c r="R80" s="381"/>
      <c r="S80" s="381"/>
      <c r="T80" s="381"/>
      <c r="U80" s="381"/>
      <c r="V80" s="381"/>
      <c r="W80" s="382"/>
      <c r="X80" s="221"/>
      <c r="Y80" s="235"/>
      <c r="Z80" s="296" t="s">
        <v>63</v>
      </c>
      <c r="AA80" s="372" t="s">
        <v>64</v>
      </c>
      <c r="AB80" s="373"/>
      <c r="AC80" s="373"/>
      <c r="AD80" s="373"/>
      <c r="AE80" s="373"/>
      <c r="AF80" s="373"/>
      <c r="AG80" s="373"/>
      <c r="AH80" s="374"/>
      <c r="AJ80" s="221"/>
      <c r="AK80" s="221"/>
      <c r="AL80" s="221"/>
      <c r="AM80" s="221"/>
      <c r="AN80" s="221"/>
      <c r="AO80" s="221"/>
      <c r="AP80" s="221"/>
      <c r="AQ80" s="221"/>
      <c r="AR80" s="221"/>
      <c r="AS80" s="221"/>
      <c r="AT80" s="221"/>
      <c r="AU80" s="221"/>
      <c r="AV80" s="221"/>
      <c r="AW80" s="221"/>
      <c r="AX80" s="221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</row>
    <row r="81" spans="1:66" s="167" customFormat="1" ht="12" customHeight="1">
      <c r="A81" s="221"/>
      <c r="B81" s="248" t="s">
        <v>65</v>
      </c>
      <c r="C81" s="249" t="s">
        <v>66</v>
      </c>
      <c r="D81" s="383" t="s">
        <v>67</v>
      </c>
      <c r="E81" s="384"/>
      <c r="F81" s="385" t="s">
        <v>68</v>
      </c>
      <c r="G81" s="386"/>
      <c r="H81" s="386"/>
      <c r="I81" s="386"/>
      <c r="J81" s="386"/>
      <c r="K81" s="386"/>
      <c r="L81" s="386"/>
      <c r="M81" s="387"/>
      <c r="N81" s="383" t="s">
        <v>69</v>
      </c>
      <c r="O81" s="384"/>
      <c r="P81" s="386" t="s">
        <v>70</v>
      </c>
      <c r="Q81" s="386"/>
      <c r="R81" s="386"/>
      <c r="S81" s="386"/>
      <c r="T81" s="386"/>
      <c r="U81" s="386"/>
      <c r="V81" s="386"/>
      <c r="W81" s="387"/>
      <c r="X81" s="221"/>
      <c r="Y81" s="235"/>
      <c r="Z81" s="297" t="s">
        <v>71</v>
      </c>
      <c r="AA81" s="372" t="s">
        <v>72</v>
      </c>
      <c r="AB81" s="373"/>
      <c r="AC81" s="373"/>
      <c r="AD81" s="373"/>
      <c r="AE81" s="373"/>
      <c r="AF81" s="373"/>
      <c r="AG81" s="373"/>
      <c r="AH81" s="374"/>
      <c r="AI81" s="221"/>
      <c r="AJ81" s="298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221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</row>
    <row r="82" spans="1:66" s="167" customFormat="1" ht="12" customHeight="1">
      <c r="A82" s="221"/>
      <c r="B82" s="250" t="s">
        <v>73</v>
      </c>
      <c r="C82" s="251" t="s">
        <v>74</v>
      </c>
      <c r="D82" s="388" t="s">
        <v>75</v>
      </c>
      <c r="E82" s="389"/>
      <c r="F82" s="390" t="s">
        <v>76</v>
      </c>
      <c r="G82" s="391"/>
      <c r="H82" s="391"/>
      <c r="I82" s="391"/>
      <c r="J82" s="391"/>
      <c r="K82" s="391"/>
      <c r="L82" s="391"/>
      <c r="M82" s="392"/>
      <c r="N82" s="388" t="s">
        <v>77</v>
      </c>
      <c r="O82" s="389"/>
      <c r="P82" s="391" t="s">
        <v>78</v>
      </c>
      <c r="Q82" s="391"/>
      <c r="R82" s="391"/>
      <c r="S82" s="391"/>
      <c r="T82" s="391"/>
      <c r="U82" s="391"/>
      <c r="V82" s="391"/>
      <c r="W82" s="392"/>
      <c r="X82" s="221"/>
      <c r="Y82" s="416" t="s">
        <v>79</v>
      </c>
      <c r="Z82" s="416"/>
      <c r="AA82" s="416"/>
      <c r="AB82" s="417" t="s">
        <v>80</v>
      </c>
      <c r="AC82" s="417"/>
      <c r="AD82" s="417"/>
      <c r="AE82" s="417"/>
      <c r="AF82" s="417"/>
      <c r="AG82" s="417"/>
      <c r="AH82" s="417"/>
      <c r="AI82" s="221"/>
      <c r="AJ82" s="298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</row>
    <row r="83" spans="1:66" s="167" customFormat="1" ht="12" customHeight="1">
      <c r="A83" s="221"/>
      <c r="B83" s="250" t="s">
        <v>81</v>
      </c>
      <c r="C83" s="251" t="s">
        <v>82</v>
      </c>
      <c r="D83" s="388" t="s">
        <v>83</v>
      </c>
      <c r="E83" s="389"/>
      <c r="F83" s="390" t="s">
        <v>84</v>
      </c>
      <c r="G83" s="391"/>
      <c r="H83" s="391"/>
      <c r="I83" s="391"/>
      <c r="J83" s="391"/>
      <c r="K83" s="391"/>
      <c r="L83" s="391"/>
      <c r="M83" s="392"/>
      <c r="N83" s="388" t="s">
        <v>85</v>
      </c>
      <c r="O83" s="389"/>
      <c r="P83" s="391" t="s">
        <v>86</v>
      </c>
      <c r="Q83" s="391"/>
      <c r="R83" s="391"/>
      <c r="S83" s="391"/>
      <c r="T83" s="391"/>
      <c r="U83" s="391"/>
      <c r="V83" s="391"/>
      <c r="W83" s="392"/>
      <c r="X83" s="221"/>
      <c r="Y83" s="416"/>
      <c r="Z83" s="416"/>
      <c r="AA83" s="416"/>
      <c r="AB83" s="416"/>
      <c r="AC83" s="416"/>
      <c r="AD83" s="416"/>
      <c r="AE83" s="416"/>
      <c r="AF83" s="416"/>
      <c r="AG83" s="416"/>
      <c r="AH83" s="416"/>
      <c r="AI83" s="221"/>
      <c r="AJ83" s="298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</row>
    <row r="84" spans="1:66" s="167" customFormat="1" ht="12" customHeight="1">
      <c r="A84" s="221"/>
      <c r="B84" s="250" t="s">
        <v>87</v>
      </c>
      <c r="C84" s="251" t="s">
        <v>88</v>
      </c>
      <c r="D84" s="388" t="s">
        <v>89</v>
      </c>
      <c r="E84" s="389"/>
      <c r="F84" s="390" t="s">
        <v>90</v>
      </c>
      <c r="G84" s="391"/>
      <c r="H84" s="391"/>
      <c r="I84" s="391"/>
      <c r="J84" s="391"/>
      <c r="K84" s="391"/>
      <c r="L84" s="391"/>
      <c r="M84" s="392"/>
      <c r="N84" s="388" t="s">
        <v>91</v>
      </c>
      <c r="O84" s="389"/>
      <c r="P84" s="391" t="s">
        <v>92</v>
      </c>
      <c r="Q84" s="391"/>
      <c r="R84" s="391"/>
      <c r="S84" s="391"/>
      <c r="T84" s="391"/>
      <c r="U84" s="391"/>
      <c r="V84" s="391"/>
      <c r="W84" s="392"/>
      <c r="X84" s="221"/>
      <c r="Y84" s="415" t="s">
        <v>93</v>
      </c>
      <c r="Z84" s="415"/>
      <c r="AA84" s="415"/>
      <c r="AB84" s="415"/>
      <c r="AC84" s="416" t="s">
        <v>80</v>
      </c>
      <c r="AD84" s="416"/>
      <c r="AE84" s="416"/>
      <c r="AF84" s="416"/>
      <c r="AG84" s="416"/>
      <c r="AH84" s="416"/>
      <c r="AI84" s="221"/>
      <c r="AJ84" s="298"/>
      <c r="AK84" s="221"/>
      <c r="AL84" s="221"/>
      <c r="AM84" s="221"/>
      <c r="AN84" s="221"/>
      <c r="AO84" s="221"/>
      <c r="AP84" s="221"/>
      <c r="AQ84" s="221"/>
      <c r="AR84" s="221"/>
      <c r="AS84" s="221"/>
      <c r="AT84" s="221"/>
      <c r="AU84" s="221"/>
      <c r="AV84" s="221"/>
      <c r="AW84" s="221"/>
      <c r="AX84" s="221"/>
      <c r="AY84" s="221"/>
      <c r="AZ84" s="221"/>
      <c r="BA84" s="221"/>
      <c r="BB84" s="221"/>
      <c r="BC84" s="221"/>
      <c r="BD84" s="221"/>
      <c r="BE84" s="221"/>
      <c r="BF84" s="221"/>
      <c r="BG84" s="221"/>
      <c r="BH84" s="221"/>
      <c r="BI84" s="221"/>
      <c r="BJ84" s="221"/>
      <c r="BK84" s="221"/>
      <c r="BL84" s="221"/>
      <c r="BM84" s="221"/>
      <c r="BN84" s="221"/>
    </row>
    <row r="85" spans="1:66" s="167" customFormat="1" ht="12" customHeight="1">
      <c r="A85" s="221"/>
      <c r="B85" s="250" t="s">
        <v>94</v>
      </c>
      <c r="C85" s="252"/>
      <c r="D85" s="388" t="s">
        <v>95</v>
      </c>
      <c r="E85" s="389"/>
      <c r="F85" s="390" t="s">
        <v>96</v>
      </c>
      <c r="G85" s="391"/>
      <c r="H85" s="391"/>
      <c r="I85" s="391"/>
      <c r="J85" s="391"/>
      <c r="K85" s="391"/>
      <c r="L85" s="391"/>
      <c r="M85" s="392"/>
      <c r="N85" s="388" t="s">
        <v>97</v>
      </c>
      <c r="O85" s="389"/>
      <c r="P85" s="391" t="s">
        <v>98</v>
      </c>
      <c r="Q85" s="391"/>
      <c r="R85" s="391"/>
      <c r="S85" s="391"/>
      <c r="T85" s="391"/>
      <c r="U85" s="391"/>
      <c r="V85" s="391"/>
      <c r="W85" s="392"/>
      <c r="X85" s="221"/>
      <c r="Y85" s="415"/>
      <c r="Z85" s="415"/>
      <c r="AA85" s="415"/>
      <c r="AB85" s="415"/>
      <c r="AC85" s="416"/>
      <c r="AD85" s="416"/>
      <c r="AE85" s="416"/>
      <c r="AF85" s="416"/>
      <c r="AG85" s="416"/>
      <c r="AH85" s="416"/>
      <c r="AI85" s="221"/>
    </row>
    <row r="86" spans="1:66" s="167" customFormat="1" ht="12" customHeight="1">
      <c r="A86" s="221"/>
      <c r="B86" s="250" t="s">
        <v>99</v>
      </c>
      <c r="C86" s="253"/>
      <c r="D86" s="388" t="s">
        <v>100</v>
      </c>
      <c r="E86" s="389"/>
      <c r="F86" s="390" t="s">
        <v>101</v>
      </c>
      <c r="G86" s="391"/>
      <c r="H86" s="391"/>
      <c r="I86" s="391"/>
      <c r="J86" s="391"/>
      <c r="K86" s="391"/>
      <c r="L86" s="391"/>
      <c r="M86" s="392"/>
      <c r="N86" s="388" t="s">
        <v>102</v>
      </c>
      <c r="O86" s="389"/>
      <c r="P86" s="391" t="s">
        <v>103</v>
      </c>
      <c r="Q86" s="391"/>
      <c r="R86" s="391"/>
      <c r="S86" s="391"/>
      <c r="T86" s="391"/>
      <c r="U86" s="391"/>
      <c r="V86" s="391"/>
      <c r="W86" s="392"/>
      <c r="X86" s="221"/>
      <c r="Y86" s="413" t="s">
        <v>104</v>
      </c>
      <c r="Z86" s="413"/>
      <c r="AA86" s="413"/>
      <c r="AB86" s="413"/>
      <c r="AC86" s="413"/>
      <c r="AD86" s="414" t="s">
        <v>80</v>
      </c>
      <c r="AE86" s="414"/>
      <c r="AF86" s="414"/>
      <c r="AG86" s="414"/>
      <c r="AH86" s="414"/>
    </row>
    <row r="87" spans="1:66" s="167" customFormat="1" ht="12" customHeight="1">
      <c r="A87" s="221"/>
      <c r="B87" s="250" t="s">
        <v>105</v>
      </c>
      <c r="C87" s="253"/>
      <c r="D87" s="388" t="s">
        <v>106</v>
      </c>
      <c r="E87" s="389"/>
      <c r="F87" s="393"/>
      <c r="G87" s="394"/>
      <c r="H87" s="394"/>
      <c r="I87" s="394"/>
      <c r="J87" s="394"/>
      <c r="K87" s="394"/>
      <c r="L87" s="394"/>
      <c r="M87" s="395"/>
      <c r="N87" s="388" t="s">
        <v>107</v>
      </c>
      <c r="O87" s="389"/>
      <c r="P87" s="391" t="s">
        <v>108</v>
      </c>
      <c r="Q87" s="391"/>
      <c r="R87" s="391"/>
      <c r="S87" s="391"/>
      <c r="T87" s="391"/>
      <c r="U87" s="391"/>
      <c r="V87" s="391"/>
      <c r="W87" s="392"/>
      <c r="X87" s="221"/>
      <c r="Y87" s="413"/>
      <c r="Z87" s="413"/>
      <c r="AA87" s="413"/>
      <c r="AB87" s="413"/>
      <c r="AC87" s="413"/>
      <c r="AD87" s="414"/>
      <c r="AE87" s="414"/>
      <c r="AF87" s="414"/>
      <c r="AG87" s="414"/>
      <c r="AH87" s="414"/>
      <c r="AI87" s="299"/>
      <c r="AJ87" s="300"/>
      <c r="AK87" s="301"/>
    </row>
    <row r="88" spans="1:66" s="167" customFormat="1" ht="12" customHeight="1">
      <c r="A88" s="221"/>
      <c r="B88" s="254" t="s">
        <v>109</v>
      </c>
      <c r="C88" s="255"/>
      <c r="D88" s="396" t="s">
        <v>110</v>
      </c>
      <c r="E88" s="397"/>
      <c r="F88" s="398"/>
      <c r="G88" s="399"/>
      <c r="H88" s="399"/>
      <c r="I88" s="399"/>
      <c r="J88" s="399"/>
      <c r="K88" s="399"/>
      <c r="L88" s="399"/>
      <c r="M88" s="400"/>
      <c r="N88" s="396" t="s">
        <v>111</v>
      </c>
      <c r="O88" s="397"/>
      <c r="P88" s="399"/>
      <c r="Q88" s="399"/>
      <c r="R88" s="399"/>
      <c r="S88" s="399"/>
      <c r="T88" s="399"/>
      <c r="U88" s="399"/>
      <c r="V88" s="399"/>
      <c r="W88" s="400"/>
      <c r="X88" s="221"/>
      <c r="Y88" s="413"/>
      <c r="Z88" s="413"/>
      <c r="AA88" s="413"/>
      <c r="AB88" s="413"/>
      <c r="AC88" s="413"/>
      <c r="AD88" s="414"/>
      <c r="AE88" s="414"/>
      <c r="AF88" s="414"/>
      <c r="AG88" s="414"/>
      <c r="AH88" s="414"/>
      <c r="AI88" s="299"/>
      <c r="AJ88" s="300"/>
      <c r="AK88" s="301"/>
    </row>
    <row r="89" spans="1:66">
      <c r="A89" s="401" t="s">
        <v>112</v>
      </c>
      <c r="B89" s="401"/>
      <c r="C89" s="401"/>
      <c r="D89" s="401"/>
      <c r="E89" s="401"/>
      <c r="F89" s="401"/>
      <c r="G89" s="401"/>
      <c r="H89" s="401"/>
      <c r="I89" s="401"/>
      <c r="J89" s="401"/>
      <c r="K89" s="401"/>
      <c r="L89" s="401"/>
      <c r="M89" s="401"/>
      <c r="N89" s="401"/>
      <c r="O89" s="401"/>
      <c r="P89" s="401"/>
      <c r="Q89" s="401"/>
      <c r="R89" s="401"/>
      <c r="S89" s="401"/>
      <c r="T89" s="401"/>
      <c r="U89" s="401"/>
      <c r="V89" s="401"/>
      <c r="W89" s="401"/>
      <c r="X89" s="401"/>
      <c r="Y89" s="401"/>
      <c r="Z89" s="401"/>
      <c r="AA89" s="401"/>
      <c r="AB89" s="401"/>
      <c r="AC89" s="401"/>
      <c r="AD89" s="401"/>
      <c r="AE89" s="401"/>
      <c r="AF89" s="401"/>
      <c r="AG89" s="401"/>
      <c r="AH89" s="401"/>
    </row>
  </sheetData>
  <sheetProtection algorithmName="SHA-512" hashValue="e8VJjMn7vmYOb3b7xblmUCHqcjc2z7F3LXZd4En9AD0XKUjcoBkVjy/6wQ6eurBRJ3GGlfaIlkjfpfwDvXzPpg==" saltValue="FJVU2nlBxJqdIe+jvqW7gw==" spinCount="100000" sheet="1" objects="1" scenarios="1"/>
  <mergeCells count="115">
    <mergeCell ref="A89:AH89"/>
    <mergeCell ref="A6:A7"/>
    <mergeCell ref="B6:B7"/>
    <mergeCell ref="AD6:AD7"/>
    <mergeCell ref="AE6:AE7"/>
    <mergeCell ref="AF6:AF7"/>
    <mergeCell ref="AG6:AG7"/>
    <mergeCell ref="AH6:AH7"/>
    <mergeCell ref="Y86:AC88"/>
    <mergeCell ref="AD86:AH88"/>
    <mergeCell ref="Y82:AA83"/>
    <mergeCell ref="AB82:AH83"/>
    <mergeCell ref="Y84:AB85"/>
    <mergeCell ref="AC84:AH85"/>
    <mergeCell ref="A66:B71"/>
    <mergeCell ref="D86:E86"/>
    <mergeCell ref="F86:M86"/>
    <mergeCell ref="N86:O86"/>
    <mergeCell ref="P86:W86"/>
    <mergeCell ref="D87:E87"/>
    <mergeCell ref="F87:M87"/>
    <mergeCell ref="N87:O87"/>
    <mergeCell ref="P87:W87"/>
    <mergeCell ref="D88:E88"/>
    <mergeCell ref="F88:M88"/>
    <mergeCell ref="N88:O88"/>
    <mergeCell ref="P88:W88"/>
    <mergeCell ref="D83:E83"/>
    <mergeCell ref="F83:M83"/>
    <mergeCell ref="N83:O83"/>
    <mergeCell ref="P83:W83"/>
    <mergeCell ref="D84:E84"/>
    <mergeCell ref="F84:M84"/>
    <mergeCell ref="N84:O84"/>
    <mergeCell ref="P84:W84"/>
    <mergeCell ref="D85:E85"/>
    <mergeCell ref="F85:M85"/>
    <mergeCell ref="N85:O85"/>
    <mergeCell ref="P85:W85"/>
    <mergeCell ref="D81:E81"/>
    <mergeCell ref="F81:M81"/>
    <mergeCell ref="N81:O81"/>
    <mergeCell ref="P81:W81"/>
    <mergeCell ref="AA81:AH81"/>
    <mergeCell ref="D82:E82"/>
    <mergeCell ref="F82:M82"/>
    <mergeCell ref="N82:O82"/>
    <mergeCell ref="P82:W82"/>
    <mergeCell ref="Z75:AH75"/>
    <mergeCell ref="AA76:AH76"/>
    <mergeCell ref="AA77:AH77"/>
    <mergeCell ref="AA78:AH78"/>
    <mergeCell ref="C79:W79"/>
    <mergeCell ref="AA79:AH79"/>
    <mergeCell ref="B80:C80"/>
    <mergeCell ref="D80:M80"/>
    <mergeCell ref="N80:W80"/>
    <mergeCell ref="AA80:AH80"/>
    <mergeCell ref="Y65:AC65"/>
    <mergeCell ref="AF65:AH65"/>
    <mergeCell ref="AF66:AH66"/>
    <mergeCell ref="AF67:AH67"/>
    <mergeCell ref="AF68:AH68"/>
    <mergeCell ref="AF69:AH69"/>
    <mergeCell ref="AF70:AH70"/>
    <mergeCell ref="A72:C72"/>
    <mergeCell ref="Z74:AD74"/>
    <mergeCell ref="AE74:AH74"/>
    <mergeCell ref="AF63:AH63"/>
    <mergeCell ref="A64:C64"/>
    <mergeCell ref="D64:E64"/>
    <mergeCell ref="F64:G64"/>
    <mergeCell ref="H64:I64"/>
    <mergeCell ref="J64:K64"/>
    <mergeCell ref="L64:M64"/>
    <mergeCell ref="N64:O64"/>
    <mergeCell ref="P64:Q64"/>
    <mergeCell ref="S64:T64"/>
    <mergeCell ref="V64:W64"/>
    <mergeCell ref="Y64:AC64"/>
    <mergeCell ref="AF64:AH64"/>
    <mergeCell ref="Y6:AC6"/>
    <mergeCell ref="A63:C63"/>
    <mergeCell ref="D63:E63"/>
    <mergeCell ref="F63:G63"/>
    <mergeCell ref="H63:I63"/>
    <mergeCell ref="J63:K63"/>
    <mergeCell ref="L63:M63"/>
    <mergeCell ref="N63:O63"/>
    <mergeCell ref="P63:Q63"/>
    <mergeCell ref="S63:T63"/>
    <mergeCell ref="V63:W63"/>
    <mergeCell ref="Y63:AC63"/>
    <mergeCell ref="D6:E6"/>
    <mergeCell ref="F6:G6"/>
    <mergeCell ref="H6:I6"/>
    <mergeCell ref="J6:K6"/>
    <mergeCell ref="L6:M6"/>
    <mergeCell ref="N6:O6"/>
    <mergeCell ref="P6:R6"/>
    <mergeCell ref="S6:U6"/>
    <mergeCell ref="V6:X6"/>
    <mergeCell ref="A3:AH3"/>
    <mergeCell ref="A4:C4"/>
    <mergeCell ref="D4:R4"/>
    <mergeCell ref="S4:V4"/>
    <mergeCell ref="W4:AB4"/>
    <mergeCell ref="AC4:AF4"/>
    <mergeCell ref="AG4:AH4"/>
    <mergeCell ref="A5:C5"/>
    <mergeCell ref="D5:I5"/>
    <mergeCell ref="J5:M5"/>
    <mergeCell ref="N5:R5"/>
    <mergeCell ref="S5:V5"/>
    <mergeCell ref="W5:AH5"/>
  </mergeCells>
  <conditionalFormatting sqref="B8:B62">
    <cfRule type="expression" dxfId="356" priority="1">
      <formula>$AE8="F"</formula>
    </cfRule>
    <cfRule type="expression" dxfId="355" priority="2">
      <formula>$AE8="R2"</formula>
    </cfRule>
    <cfRule type="expression" dxfId="354" priority="3">
      <formula>$AE8="R1"</formula>
    </cfRule>
    <cfRule type="expression" dxfId="353" priority="4">
      <formula>$AE8="Q2"</formula>
    </cfRule>
    <cfRule type="expression" dxfId="352" priority="5">
      <formula>$AE8="Q1"</formula>
    </cfRule>
    <cfRule type="expression" dxfId="351" priority="21">
      <formula>$AE$8="P"</formula>
    </cfRule>
  </conditionalFormatting>
  <conditionalFormatting sqref="D8:D62">
    <cfRule type="cellIs" dxfId="350" priority="64" operator="between">
      <formula>10</formula>
      <formula>19</formula>
    </cfRule>
    <cfRule type="cellIs" dxfId="349" priority="63" operator="between">
      <formula>20</formula>
      <formula>29</formula>
    </cfRule>
    <cfRule type="cellIs" dxfId="348" priority="62" operator="between">
      <formula>30</formula>
      <formula>39</formula>
    </cfRule>
    <cfRule type="cellIs" dxfId="347" priority="66" operator="between">
      <formula>0</formula>
      <formula>9</formula>
    </cfRule>
    <cfRule type="containsBlanks" dxfId="346" priority="65">
      <formula>LEN(TRIM(D8))=0</formula>
    </cfRule>
  </conditionalFormatting>
  <conditionalFormatting sqref="F8:F62">
    <cfRule type="cellIs" dxfId="345" priority="16" operator="between">
      <formula>30</formula>
      <formula>39</formula>
    </cfRule>
    <cfRule type="cellIs" dxfId="344" priority="17" operator="between">
      <formula>20</formula>
      <formula>29</formula>
    </cfRule>
    <cfRule type="cellIs" dxfId="343" priority="18" operator="between">
      <formula>10</formula>
      <formula>19</formula>
    </cfRule>
    <cfRule type="containsBlanks" dxfId="342" priority="19">
      <formula>LEN(TRIM(F8))=0</formula>
    </cfRule>
    <cfRule type="cellIs" dxfId="341" priority="20" operator="between">
      <formula>0</formula>
      <formula>9</formula>
    </cfRule>
  </conditionalFormatting>
  <conditionalFormatting sqref="H8:H62">
    <cfRule type="cellIs" dxfId="340" priority="13" operator="between">
      <formula>10</formula>
      <formula>19</formula>
    </cfRule>
    <cfRule type="cellIs" dxfId="339" priority="11" operator="between">
      <formula>30</formula>
      <formula>39</formula>
    </cfRule>
    <cfRule type="cellIs" dxfId="338" priority="12" operator="between">
      <formula>20</formula>
      <formula>29</formula>
    </cfRule>
    <cfRule type="containsBlanks" dxfId="337" priority="14">
      <formula>LEN(TRIM(H8))=0</formula>
    </cfRule>
    <cfRule type="cellIs" dxfId="336" priority="15" operator="between">
      <formula>0</formula>
      <formula>9</formula>
    </cfRule>
  </conditionalFormatting>
  <conditionalFormatting sqref="J8:J62">
    <cfRule type="cellIs" dxfId="335" priority="6" operator="between">
      <formula>30</formula>
      <formula>39</formula>
    </cfRule>
    <cfRule type="cellIs" dxfId="334" priority="8" operator="between">
      <formula>10</formula>
      <formula>19</formula>
    </cfRule>
    <cfRule type="containsBlanks" dxfId="333" priority="9">
      <formula>LEN(TRIM(J8))=0</formula>
    </cfRule>
    <cfRule type="cellIs" dxfId="332" priority="10" operator="between">
      <formula>0</formula>
      <formula>9</formula>
    </cfRule>
    <cfRule type="cellIs" dxfId="331" priority="7" operator="between">
      <formula>20</formula>
      <formula>29</formula>
    </cfRule>
  </conditionalFormatting>
  <conditionalFormatting sqref="L8:L62">
    <cfRule type="cellIs" dxfId="330" priority="42" operator="between">
      <formula>30</formula>
      <formula>39</formula>
    </cfRule>
    <cfRule type="cellIs" dxfId="329" priority="43" operator="between">
      <formula>20</formula>
      <formula>29</formula>
    </cfRule>
    <cfRule type="cellIs" dxfId="328" priority="44" operator="between">
      <formula>10</formula>
      <formula>19</formula>
    </cfRule>
    <cfRule type="cellIs" dxfId="327" priority="46" operator="between">
      <formula>0</formula>
      <formula>9</formula>
    </cfRule>
    <cfRule type="containsBlanks" dxfId="326" priority="45">
      <formula>LEN(TRIM(L8))=0</formula>
    </cfRule>
  </conditionalFormatting>
  <conditionalFormatting sqref="N8:N62">
    <cfRule type="cellIs" dxfId="325" priority="37" operator="between">
      <formula>30</formula>
      <formula>39</formula>
    </cfRule>
    <cfRule type="cellIs" dxfId="324" priority="38" operator="between">
      <formula>20</formula>
      <formula>29</formula>
    </cfRule>
    <cfRule type="containsBlanks" dxfId="323" priority="40">
      <formula>LEN(TRIM(N8))=0</formula>
    </cfRule>
    <cfRule type="cellIs" dxfId="322" priority="41" operator="between">
      <formula>0</formula>
      <formula>9</formula>
    </cfRule>
    <cfRule type="cellIs" dxfId="321" priority="39" operator="between">
      <formula>10</formula>
      <formula>19</formula>
    </cfRule>
  </conditionalFormatting>
  <conditionalFormatting sqref="P8:P62">
    <cfRule type="cellIs" dxfId="320" priority="33" operator="between">
      <formula>20</formula>
      <formula>29</formula>
    </cfRule>
    <cfRule type="cellIs" dxfId="319" priority="34" operator="between">
      <formula>10</formula>
      <formula>19</formula>
    </cfRule>
    <cfRule type="containsBlanks" dxfId="318" priority="35">
      <formula>LEN(TRIM(P8))=0</formula>
    </cfRule>
    <cfRule type="cellIs" dxfId="317" priority="36" operator="between">
      <formula>0</formula>
      <formula>9</formula>
    </cfRule>
    <cfRule type="cellIs" dxfId="316" priority="32" operator="between">
      <formula>30</formula>
      <formula>39</formula>
    </cfRule>
  </conditionalFormatting>
  <conditionalFormatting sqref="S8:S62">
    <cfRule type="cellIs" dxfId="315" priority="26" operator="between">
      <formula>0</formula>
      <formula>9</formula>
    </cfRule>
    <cfRule type="containsBlanks" dxfId="314" priority="25">
      <formula>LEN(TRIM(S8))=0</formula>
    </cfRule>
    <cfRule type="cellIs" dxfId="313" priority="24" operator="between">
      <formula>10</formula>
      <formula>19</formula>
    </cfRule>
    <cfRule type="cellIs" dxfId="312" priority="23" operator="between">
      <formula>20</formula>
      <formula>29</formula>
    </cfRule>
    <cfRule type="cellIs" dxfId="311" priority="22" operator="between">
      <formula>30</formula>
      <formula>39</formula>
    </cfRule>
  </conditionalFormatting>
  <conditionalFormatting sqref="V8:V62">
    <cfRule type="cellIs" dxfId="310" priority="27" operator="between">
      <formula>30</formula>
      <formula>39</formula>
    </cfRule>
    <cfRule type="cellIs" dxfId="309" priority="28" operator="between">
      <formula>20</formula>
      <formula>29</formula>
    </cfRule>
    <cfRule type="cellIs" dxfId="308" priority="29" operator="between">
      <formula>10</formula>
      <formula>19</formula>
    </cfRule>
    <cfRule type="containsBlanks" dxfId="307" priority="30">
      <formula>LEN(TRIM(V8))=0</formula>
    </cfRule>
    <cfRule type="cellIs" dxfId="306" priority="31" operator="between">
      <formula>0</formula>
      <formula>9</formula>
    </cfRule>
  </conditionalFormatting>
  <dataValidations count="9">
    <dataValidation type="custom" allowBlank="1" showInputMessage="1" showErrorMessage="1" sqref="AK6" xr:uid="{00000000-0002-0000-0300-000000000000}">
      <formula1>EXACT(AK6,LOWER(AK10))</formula1>
    </dataValidation>
    <dataValidation type="custom" allowBlank="1" showInputMessage="1" showErrorMessage="1" sqref="AI74" xr:uid="{00000000-0002-0000-0300-000001000000}">
      <formula1>OR(AND(AI74&gt;=0,AI74&lt;=100),AI74="ab")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8:D10 F8:F10 H8:H10 J8:J10 L8:L10 N8:N10 P8:P10 S8:S10 V8:V10" xr:uid="{00000000-0002-0000-0300-000002000000}">
      <formula1>OR(AND(D8:D62&gt;=0,D8:D62&lt;=100),D8:D62="ab")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11:D23 F11:F23 H11:H23 J11:J23 L11:L23 N11:N23 P11:P23 S11:S23 V11:V23" xr:uid="{00000000-0002-0000-0300-000003000000}">
      <formula1>OR(AND(D11:D66&gt;=0,D11:D66&lt;=100),D11:D66="ab")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24:D53 F24:F53 H24:H53 J24:J53 L24:L53 N24:N53 P24:P53 S24:S53 V24:V53" xr:uid="{00000000-0002-0000-0300-000004000000}">
      <formula1>OR(AND(D24:D83&gt;=0,D24:D83&lt;=100),D24:D83="ab")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54:D62 F54:F62 H54:H62 J54:J62 L54:L62 N54:N62 P54:P62 S54:S62 V54:V62" xr:uid="{00000000-0002-0000-0300-000005000000}">
      <formula1>OR(AND(D54:D114&gt;=0,D54:D114&lt;=100),D54:D114="ab")</formula1>
    </dataValidation>
    <dataValidation type="list" allowBlank="1" showInputMessage="1" showErrorMessage="1" sqref="R8:R62" xr:uid="{00000000-0002-0000-0300-000006000000}">
      <formula1>$B$81:$B$88</formula1>
    </dataValidation>
    <dataValidation type="list" allowBlank="1" showInputMessage="1" showErrorMessage="1" sqref="U8:U62" xr:uid="{00000000-0002-0000-0300-000007000000}">
      <formula1>$D$81:$D$88</formula1>
    </dataValidation>
    <dataValidation type="list" allowBlank="1" showInputMessage="1" showErrorMessage="1" sqref="X8:X62" xr:uid="{00000000-0002-0000-0300-000008000000}">
      <formula1>$N$81:$N$88</formula1>
    </dataValidation>
  </dataValidations>
  <pageMargins left="0.196850393700787" right="0.196850393700787" top="0.23622047244094499" bottom="0" header="0.31496062992126" footer="0.31496062992126"/>
  <pageSetup paperSize="8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N89"/>
  <sheetViews>
    <sheetView topLeftCell="A61" workbookViewId="0">
      <selection activeCell="AJ69" sqref="AJ69"/>
    </sheetView>
  </sheetViews>
  <sheetFormatPr defaultColWidth="9.109375" defaultRowHeight="13.8"/>
  <cols>
    <col min="1" max="1" width="3.33203125" style="168" customWidth="1"/>
    <col min="2" max="2" width="5.88671875" style="168" customWidth="1"/>
    <col min="3" max="3" width="25.33203125" style="168" customWidth="1"/>
    <col min="4" max="4" width="3.6640625" style="168" customWidth="1"/>
    <col min="5" max="5" width="3" style="168" customWidth="1"/>
    <col min="6" max="6" width="3.6640625" style="168" customWidth="1"/>
    <col min="7" max="7" width="3" style="168" customWidth="1"/>
    <col min="8" max="8" width="3.6640625" style="168" customWidth="1"/>
    <col min="9" max="9" width="3" style="168" customWidth="1"/>
    <col min="10" max="10" width="3.6640625" style="168" customWidth="1"/>
    <col min="11" max="11" width="3" style="168" customWidth="1"/>
    <col min="12" max="12" width="3.6640625" style="168" customWidth="1"/>
    <col min="13" max="13" width="3" style="168" customWidth="1"/>
    <col min="14" max="14" width="3.6640625" style="168" customWidth="1"/>
    <col min="15" max="15" width="3" style="168" customWidth="1"/>
    <col min="16" max="16" width="3.6640625" style="168" customWidth="1"/>
    <col min="17" max="17" width="3" style="168" customWidth="1"/>
    <col min="18" max="18" width="3.33203125" style="168" customWidth="1"/>
    <col min="19" max="19" width="3.6640625" style="168" customWidth="1"/>
    <col min="20" max="20" width="3" style="168" customWidth="1"/>
    <col min="21" max="21" width="3.33203125" style="168" customWidth="1"/>
    <col min="22" max="22" width="3.6640625" style="168" customWidth="1"/>
    <col min="23" max="23" width="3" style="168" customWidth="1"/>
    <col min="24" max="24" width="3.33203125" style="168" customWidth="1"/>
    <col min="25" max="29" width="3.5546875" style="169" customWidth="1"/>
    <col min="30" max="30" width="3" style="170" customWidth="1"/>
    <col min="31" max="31" width="3.5546875" style="170" customWidth="1"/>
    <col min="32" max="32" width="4.88671875" style="171" customWidth="1"/>
    <col min="33" max="33" width="5.88671875" style="171" customWidth="1"/>
    <col min="34" max="34" width="3.88671875" style="169" customWidth="1"/>
    <col min="35" max="16384" width="9.109375" style="168"/>
  </cols>
  <sheetData>
    <row r="2" spans="1:34" ht="7.5" customHeight="1"/>
    <row r="3" spans="1:34" ht="19.5" customHeight="1">
      <c r="A3" s="308" t="s">
        <v>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</row>
    <row r="4" spans="1:34" s="166" customFormat="1" ht="15.75" customHeight="1">
      <c r="A4" s="310" t="s">
        <v>1</v>
      </c>
      <c r="B4" s="310"/>
      <c r="C4" s="310"/>
      <c r="D4" s="311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3" t="s">
        <v>2</v>
      </c>
      <c r="T4" s="314"/>
      <c r="U4" s="314"/>
      <c r="V4" s="315"/>
      <c r="W4" s="316"/>
      <c r="X4" s="317"/>
      <c r="Y4" s="317"/>
      <c r="Z4" s="317"/>
      <c r="AA4" s="317"/>
      <c r="AB4" s="318"/>
      <c r="AC4" s="319" t="s">
        <v>3</v>
      </c>
      <c r="AD4" s="320"/>
      <c r="AE4" s="321"/>
      <c r="AF4" s="321"/>
      <c r="AG4" s="316"/>
      <c r="AH4" s="318"/>
    </row>
    <row r="5" spans="1:34" s="166" customFormat="1" ht="15.75" customHeight="1">
      <c r="A5" s="310" t="s">
        <v>4</v>
      </c>
      <c r="B5" s="310"/>
      <c r="C5" s="310"/>
      <c r="D5" s="322"/>
      <c r="E5" s="322"/>
      <c r="F5" s="322"/>
      <c r="G5" s="322"/>
      <c r="H5" s="322"/>
      <c r="I5" s="322"/>
      <c r="J5" s="323" t="s">
        <v>5</v>
      </c>
      <c r="K5" s="323"/>
      <c r="L5" s="323"/>
      <c r="M5" s="323"/>
      <c r="N5" s="311"/>
      <c r="O5" s="312"/>
      <c r="P5" s="312"/>
      <c r="Q5" s="312"/>
      <c r="R5" s="312"/>
      <c r="S5" s="324" t="s">
        <v>6</v>
      </c>
      <c r="T5" s="325"/>
      <c r="U5" s="325"/>
      <c r="V5" s="326"/>
      <c r="W5" s="327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9"/>
    </row>
    <row r="6" spans="1:34" ht="76.5" customHeight="1">
      <c r="A6" s="402"/>
      <c r="B6" s="404" t="s">
        <v>7</v>
      </c>
      <c r="C6" s="172" t="s">
        <v>8</v>
      </c>
      <c r="D6" s="330" t="s">
        <v>9</v>
      </c>
      <c r="E6" s="331"/>
      <c r="F6" s="330" t="s">
        <v>10</v>
      </c>
      <c r="G6" s="331"/>
      <c r="H6" s="332" t="s">
        <v>11</v>
      </c>
      <c r="I6" s="333"/>
      <c r="J6" s="330" t="s">
        <v>12</v>
      </c>
      <c r="K6" s="331"/>
      <c r="L6" s="330" t="s">
        <v>13</v>
      </c>
      <c r="M6" s="331"/>
      <c r="N6" s="330" t="s">
        <v>14</v>
      </c>
      <c r="O6" s="334"/>
      <c r="P6" s="335" t="s">
        <v>15</v>
      </c>
      <c r="Q6" s="336"/>
      <c r="R6" s="337"/>
      <c r="S6" s="332" t="s">
        <v>16</v>
      </c>
      <c r="T6" s="338"/>
      <c r="U6" s="333"/>
      <c r="V6" s="332" t="s">
        <v>17</v>
      </c>
      <c r="W6" s="338"/>
      <c r="X6" s="333"/>
      <c r="Y6" s="339" t="s">
        <v>18</v>
      </c>
      <c r="Z6" s="340"/>
      <c r="AA6" s="340"/>
      <c r="AB6" s="340"/>
      <c r="AC6" s="341"/>
      <c r="AD6" s="406" t="s">
        <v>19</v>
      </c>
      <c r="AE6" s="408" t="s">
        <v>20</v>
      </c>
      <c r="AF6" s="332" t="s">
        <v>21</v>
      </c>
      <c r="AG6" s="338" t="s">
        <v>22</v>
      </c>
      <c r="AH6" s="333" t="s">
        <v>23</v>
      </c>
    </row>
    <row r="7" spans="1:34" ht="18" customHeight="1">
      <c r="A7" s="403"/>
      <c r="B7" s="405"/>
      <c r="C7" s="173" t="s">
        <v>24</v>
      </c>
      <c r="D7" s="174" t="s">
        <v>25</v>
      </c>
      <c r="E7" s="175" t="s">
        <v>26</v>
      </c>
      <c r="F7" s="174" t="s">
        <v>25</v>
      </c>
      <c r="G7" s="175" t="s">
        <v>26</v>
      </c>
      <c r="H7" s="174" t="s">
        <v>25</v>
      </c>
      <c r="I7" s="175" t="s">
        <v>26</v>
      </c>
      <c r="J7" s="174" t="s">
        <v>25</v>
      </c>
      <c r="K7" s="175" t="s">
        <v>26</v>
      </c>
      <c r="L7" s="174" t="s">
        <v>25</v>
      </c>
      <c r="M7" s="175" t="s">
        <v>26</v>
      </c>
      <c r="N7" s="174" t="s">
        <v>25</v>
      </c>
      <c r="O7" s="183" t="s">
        <v>26</v>
      </c>
      <c r="P7" s="174" t="s">
        <v>25</v>
      </c>
      <c r="Q7" s="186" t="s">
        <v>26</v>
      </c>
      <c r="R7" s="187" t="s">
        <v>27</v>
      </c>
      <c r="S7" s="174" t="s">
        <v>25</v>
      </c>
      <c r="T7" s="186" t="s">
        <v>26</v>
      </c>
      <c r="U7" s="188" t="s">
        <v>27</v>
      </c>
      <c r="V7" s="174" t="s">
        <v>25</v>
      </c>
      <c r="W7" s="186" t="s">
        <v>26</v>
      </c>
      <c r="X7" s="188" t="s">
        <v>27</v>
      </c>
      <c r="Y7" s="202" t="s">
        <v>28</v>
      </c>
      <c r="Z7" s="203" t="s">
        <v>29</v>
      </c>
      <c r="AA7" s="203" t="s">
        <v>30</v>
      </c>
      <c r="AB7" s="203" t="s">
        <v>31</v>
      </c>
      <c r="AC7" s="204" t="s">
        <v>32</v>
      </c>
      <c r="AD7" s="407"/>
      <c r="AE7" s="409"/>
      <c r="AF7" s="410"/>
      <c r="AG7" s="411"/>
      <c r="AH7" s="412"/>
    </row>
    <row r="8" spans="1:34" s="167" customFormat="1" ht="12.75" customHeight="1">
      <c r="A8" s="176">
        <v>1</v>
      </c>
      <c r="B8" s="177"/>
      <c r="C8" s="178"/>
      <c r="D8" s="179"/>
      <c r="E8" s="180" t="str">
        <f>IF(D8="","",IF(D8="ab","ab",IF(D8&gt;=75,"A",(IF(D8&gt;=65,"B",IF(D8&gt;=50,"C",IF(D8&gt;=40,"S","W")))))))</f>
        <v/>
      </c>
      <c r="F8" s="179"/>
      <c r="G8" s="180" t="str">
        <f>IF(F8="","",IF(F8="ab","ab",IF(F8&gt;=75,"A",(IF(F8&gt;=65,"B",IF(F8&gt;=50,"C",IF(F8&gt;=40,"S","W")))))))</f>
        <v/>
      </c>
      <c r="H8" s="179"/>
      <c r="I8" s="180" t="str">
        <f>IF(H8="","",IF(H8="ab","ab",IF(H8&gt;=75,"A",(IF(H8&gt;=65,"B",IF(H8&gt;=50,"C",IF(H8&gt;=40,"S","W")))))))</f>
        <v/>
      </c>
      <c r="J8" s="179"/>
      <c r="K8" s="180" t="str">
        <f>IF(J8="","",IF(J8="ab","ab",IF(J8&gt;=75,"A",(IF(J8&gt;=65,"B",IF(J8&gt;=50,"C",IF(J8&gt;=40,"S","W")))))))</f>
        <v/>
      </c>
      <c r="L8" s="179"/>
      <c r="M8" s="180" t="str">
        <f>IF(L8="","",IF(L8="ab","ab",IF(L8&gt;=75,"A",(IF(L8&gt;=65,"B",IF(L8&gt;=50,"C",IF(L8&gt;=40,"S","W")))))))</f>
        <v/>
      </c>
      <c r="N8" s="179"/>
      <c r="O8" s="184" t="str">
        <f>IF(N8="","",IF(N8="ab","ab",IF(N8&gt;=75,"A",(IF(N8&gt;=65,"B",IF(N8&gt;=50,"C",IF(N8&gt;=40,"S","W")))))))</f>
        <v/>
      </c>
      <c r="P8" s="179"/>
      <c r="Q8" s="189" t="str">
        <f t="shared" ref="Q8:Q62" si="0">IF(P8="","",IF(P8="ab","ab",IF(P8&gt;=75,"A",(IF(P8&gt;=65,"B",IF(P8&gt;=50,"C",IF(P8&gt;=40,"S","W")))))))</f>
        <v/>
      </c>
      <c r="R8" s="190"/>
      <c r="S8" s="179"/>
      <c r="T8" s="189" t="str">
        <f>IF(S8="","",IF(S8="ab","ab",IF(S8&gt;=75,"A",(IF(S8&gt;=65,"B",IF(S8&gt;=50,"C",IF(S8&gt;=40,"S","W")))))))</f>
        <v/>
      </c>
      <c r="U8" s="190"/>
      <c r="V8" s="179"/>
      <c r="W8" s="189" t="str">
        <f>IF(V8="","",IF(V8="ab","ab",IF(V8&gt;=75,"A",(IF(V8&gt;=65,"B",IF(V8&gt;=50,"C",IF(V8&gt;=40,"S","W")))))))</f>
        <v/>
      </c>
      <c r="X8" s="191"/>
      <c r="Y8" s="205" t="str">
        <f t="shared" ref="Y8:Y62" si="1">IF(AND($D8="ab",$F8="ab",$H8="ab",$J8="ab",$L8="ab",$N8="ab",$P8="ab",$S8="ab",$V8="ab"),"-",IF(COUNT($D8:$W8)=0,"",(COUNTIF($D8:$W8,"A"))))</f>
        <v/>
      </c>
      <c r="Z8" s="206" t="str">
        <f t="shared" ref="Z8:Z62" si="2">IF(AND($D8="ab",$F8="ab",$H8="ab",$J8="ab",$L8="ab",$N8="ab",$P8="ab",$S8="ab",$V8="ab"),"-",IF(COUNT($D8:$W8)=0,"",(COUNTIF($D8:$W8,"B"))))</f>
        <v/>
      </c>
      <c r="AA8" s="206" t="str">
        <f t="shared" ref="AA8:AA62" si="3">IF(AND($D8="ab",$F8="ab",$H8="ab",$J8="ab",$L8="ab",$N8="ab",$P8="ab",$S8="ab",$V8="ab"),"-",IF(COUNT($D8:$W8)=0,"",(COUNTIF($D8:$W8,"C"))))</f>
        <v/>
      </c>
      <c r="AB8" s="206" t="str">
        <f t="shared" ref="AB8:AB62" si="4">IF(AND($D8="ab",$F8="ab",$H8="ab",$J8="ab",$L8="ab",$N8="ab",$P8="ab",$S8="ab",$V8="ab"),"-",IF(COUNT($D8:$W8)=0,"",(COUNTIF($D8:$W8,"S"))))</f>
        <v/>
      </c>
      <c r="AC8" s="207" t="str">
        <f t="shared" ref="AC8:AC62" si="5">IF(AND($D8="ab",$F8="ab",$H8="ab",$J8="ab",$L8="ab",$N8="ab",$P8="ab",$S8="ab",$V8="ab"),"-",IF(COUNT($D8:$W8)=0,"",(COUNTIF($D8:$W8,"W"))))</f>
        <v/>
      </c>
      <c r="AD8" s="208" t="str">
        <f t="shared" ref="AD8:AD62" si="6">IF(AND(D8="ab",F8="ab",H8="ab",J8="ab",L8="ab",N8="ab",P8="ab",S8="ab",V8="ab"),"ab",IF(AND(Y8="",Z8="",AA8="",AB8="",AC8=""),"",IF(AND((D8&gt;=40),(H8&gt;=40),(Y8+Z8+AA8+AB8)&gt;=6,(Y8+Z8+AA8)&gt;=3),"P","F")))</f>
        <v/>
      </c>
      <c r="AE8" s="209" t="str">
        <f>IF(AD8="","",IF(AD8="P","P",IF(AND(AD8="F",H8&gt;=40,D8&gt;=40,(Y8+Z8+AA8+AB8)&gt;=6,(Y8+Z8+AA8)=2),"Q1",IF(AND(AD8="F",(OR(H8&gt;=40,D8&gt;=40)),(Y8+Z8+AA8+AB8)&gt;=5,(Y8+Z8+AA8)&gt;=3),"Q2",IF((COUNTIF(D8:X8,"&gt;=40"))&gt;=5,"R1",IF((COUNTIF(D8:X8,"&gt;=20"))&gt;=5,"R2","F"))))))</f>
        <v/>
      </c>
      <c r="AF8" s="210" t="str">
        <f t="shared" ref="AF8:AF62" si="7">IF(AND(D8="",F8="",H8="",J8="",L8="",N8="",P8="",S8="",V8=""),"",IF(AND(D8="ab",F8="ab",H8="ab",J8="ab",L8="ab",N8="ab",P8="ab",S8="ab",V8="ab"),"ab",IF(COUNT(D8:W8)=0,"",(SUM(D8:V8)))))</f>
        <v/>
      </c>
      <c r="AG8" s="219" t="str">
        <f t="shared" ref="AG8:AG62" si="8">IF(AF8="","",IF(AF8="ab","ab",IF(AF8=0,0,(AVERAGE(D8:V8)))))</f>
        <v/>
      </c>
      <c r="AH8" s="207" t="str">
        <f t="shared" ref="AH8:AH62" si="9">IF(AF8="","",IF(AF8="ab","ab",(RANK(AF8,$AF$8:$AF$62))))</f>
        <v/>
      </c>
    </row>
    <row r="9" spans="1:34" s="167" customFormat="1" ht="12.75" customHeight="1">
      <c r="A9" s="181">
        <v>2</v>
      </c>
      <c r="B9" s="177"/>
      <c r="C9" s="182"/>
      <c r="D9" s="179"/>
      <c r="E9" s="180" t="str">
        <f t="shared" ref="E9:E62" si="10">IF(D9="","",IF(D9="ab","ab",IF(D9&gt;=75,"A",(IF(D9&gt;=65,"B",IF(D9&gt;=50,"C",IF(D9&gt;=40,"S","W")))))))</f>
        <v/>
      </c>
      <c r="F9" s="179"/>
      <c r="G9" s="180" t="str">
        <f t="shared" ref="G9:G62" si="11">IF(F9="","",IF(F9="ab","ab",IF(F9&gt;=75,"A",(IF(F9&gt;=65,"B",IF(F9&gt;=50,"C",IF(F9&gt;=40,"S","W")))))))</f>
        <v/>
      </c>
      <c r="H9" s="179"/>
      <c r="I9" s="180" t="str">
        <f t="shared" ref="I9:I62" si="12">IF(H9="","",IF(H9="ab","ab",IF(H9&gt;=75,"A",(IF(H9&gt;=65,"B",IF(H9&gt;=50,"C",IF(H9&gt;=40,"S","W")))))))</f>
        <v/>
      </c>
      <c r="J9" s="179"/>
      <c r="K9" s="180" t="str">
        <f t="shared" ref="K9:K62" si="13">IF(J9="","",IF(J9="ab","ab",IF(J9&gt;=75,"A",(IF(J9&gt;=65,"B",IF(J9&gt;=50,"C",IF(J9&gt;=40,"S","W")))))))</f>
        <v/>
      </c>
      <c r="L9" s="179"/>
      <c r="M9" s="180" t="str">
        <f t="shared" ref="M9:M62" si="14">IF(L9="","",IF(L9="ab","ab",IF(L9&gt;=75,"A",(IF(L9&gt;=65,"B",IF(L9&gt;=50,"C",IF(L9&gt;=40,"S","W")))))))</f>
        <v/>
      </c>
      <c r="N9" s="179"/>
      <c r="O9" s="180" t="str">
        <f t="shared" ref="O9:O62" si="15">IF(N9="","",IF(N9="ab","ab",IF(N9&gt;=75,"A",(IF(N9&gt;=65,"B",IF(N9&gt;=50,"C",IF(N9&gt;=40,"S","W")))))))</f>
        <v/>
      </c>
      <c r="P9" s="179"/>
      <c r="Q9" s="192" t="str">
        <f t="shared" si="0"/>
        <v/>
      </c>
      <c r="R9" s="193"/>
      <c r="S9" s="179"/>
      <c r="T9" s="192" t="str">
        <f t="shared" ref="T9:T62" si="16">IF(S9="","",IF(S9="ab","ab",IF(S9&gt;=75,"A",(IF(S9&gt;=65,"B",IF(S9&gt;=50,"C",IF(S9&gt;=40,"S","W")))))))</f>
        <v/>
      </c>
      <c r="U9" s="193"/>
      <c r="V9" s="179"/>
      <c r="W9" s="192" t="str">
        <f t="shared" ref="W9:W62" si="17">IF(V9="","",IF(V9="ab","ab",IF(V9&gt;=75,"A",(IF(V9&gt;=65,"B",IF(V9&gt;=50,"C",IF(V9&gt;=40,"S","W")))))))</f>
        <v/>
      </c>
      <c r="X9" s="194"/>
      <c r="Y9" s="205" t="str">
        <f t="shared" si="1"/>
        <v/>
      </c>
      <c r="Z9" s="206" t="str">
        <f t="shared" si="2"/>
        <v/>
      </c>
      <c r="AA9" s="206" t="str">
        <f t="shared" si="3"/>
        <v/>
      </c>
      <c r="AB9" s="206" t="str">
        <f t="shared" si="4"/>
        <v/>
      </c>
      <c r="AC9" s="207" t="str">
        <f t="shared" si="5"/>
        <v/>
      </c>
      <c r="AD9" s="208" t="str">
        <f t="shared" si="6"/>
        <v/>
      </c>
      <c r="AE9" s="209" t="str">
        <f t="shared" ref="AE9:AE62" si="18">IF(AD9="","",IF(AD9="P","P",IF(AND(AD9="F",H9&gt;=40,D9&gt;=40,(Y9+Z9+AA9+AB9)&gt;=6,(Y9+Z9+AA9)=2),"Q1",IF(AND(AD9="F",(OR(H9&gt;=40,D9&gt;=40)),(Y9+Z9+AA9+AB9)&gt;=5,(Y9+Z9+AA9)&gt;=3),"Q2",IF((COUNTIF(D9:X9,"&gt;=40"))&gt;=5,"R1",IF((COUNTIF(D9:X9,"&gt;=20"))&gt;=5,"R2","F"))))))</f>
        <v/>
      </c>
      <c r="AF9" s="210" t="str">
        <f t="shared" si="7"/>
        <v/>
      </c>
      <c r="AG9" s="219" t="str">
        <f t="shared" si="8"/>
        <v/>
      </c>
      <c r="AH9" s="207" t="str">
        <f t="shared" si="9"/>
        <v/>
      </c>
    </row>
    <row r="10" spans="1:34" s="167" customFormat="1" ht="12.75" customHeight="1">
      <c r="A10" s="181">
        <v>3</v>
      </c>
      <c r="B10" s="177"/>
      <c r="C10" s="182"/>
      <c r="D10" s="179"/>
      <c r="E10" s="180" t="str">
        <f t="shared" si="10"/>
        <v/>
      </c>
      <c r="F10" s="179"/>
      <c r="G10" s="180" t="str">
        <f t="shared" si="11"/>
        <v/>
      </c>
      <c r="H10" s="179"/>
      <c r="I10" s="180" t="str">
        <f t="shared" si="12"/>
        <v/>
      </c>
      <c r="J10" s="179"/>
      <c r="K10" s="180" t="str">
        <f t="shared" si="13"/>
        <v/>
      </c>
      <c r="L10" s="179"/>
      <c r="M10" s="180" t="str">
        <f t="shared" si="14"/>
        <v/>
      </c>
      <c r="N10" s="179"/>
      <c r="O10" s="180" t="str">
        <f t="shared" si="15"/>
        <v/>
      </c>
      <c r="P10" s="179"/>
      <c r="Q10" s="192" t="str">
        <f t="shared" si="0"/>
        <v/>
      </c>
      <c r="R10" s="193"/>
      <c r="S10" s="179"/>
      <c r="T10" s="192" t="str">
        <f t="shared" si="16"/>
        <v/>
      </c>
      <c r="U10" s="193"/>
      <c r="V10" s="179"/>
      <c r="W10" s="192" t="str">
        <f t="shared" si="17"/>
        <v/>
      </c>
      <c r="X10" s="194"/>
      <c r="Y10" s="205" t="str">
        <f t="shared" si="1"/>
        <v/>
      </c>
      <c r="Z10" s="206" t="str">
        <f t="shared" si="2"/>
        <v/>
      </c>
      <c r="AA10" s="206" t="str">
        <f t="shared" si="3"/>
        <v/>
      </c>
      <c r="AB10" s="206" t="str">
        <f t="shared" si="4"/>
        <v/>
      </c>
      <c r="AC10" s="207" t="str">
        <f t="shared" si="5"/>
        <v/>
      </c>
      <c r="AD10" s="208" t="str">
        <f t="shared" si="6"/>
        <v/>
      </c>
      <c r="AE10" s="209" t="str">
        <f t="shared" si="18"/>
        <v/>
      </c>
      <c r="AF10" s="210" t="str">
        <f t="shared" si="7"/>
        <v/>
      </c>
      <c r="AG10" s="219" t="str">
        <f t="shared" si="8"/>
        <v/>
      </c>
      <c r="AH10" s="207" t="str">
        <f t="shared" si="9"/>
        <v/>
      </c>
    </row>
    <row r="11" spans="1:34" s="167" customFormat="1" ht="12.75" customHeight="1">
      <c r="A11" s="181">
        <v>4</v>
      </c>
      <c r="B11" s="177"/>
      <c r="C11" s="182"/>
      <c r="D11" s="179"/>
      <c r="E11" s="180" t="str">
        <f t="shared" si="10"/>
        <v/>
      </c>
      <c r="F11" s="179"/>
      <c r="G11" s="180" t="str">
        <f t="shared" si="11"/>
        <v/>
      </c>
      <c r="H11" s="179"/>
      <c r="I11" s="180" t="str">
        <f t="shared" si="12"/>
        <v/>
      </c>
      <c r="J11" s="179"/>
      <c r="K11" s="180" t="str">
        <f t="shared" si="13"/>
        <v/>
      </c>
      <c r="L11" s="179"/>
      <c r="M11" s="180" t="str">
        <f t="shared" si="14"/>
        <v/>
      </c>
      <c r="N11" s="179"/>
      <c r="O11" s="180" t="str">
        <f t="shared" si="15"/>
        <v/>
      </c>
      <c r="P11" s="179"/>
      <c r="Q11" s="192" t="str">
        <f t="shared" si="0"/>
        <v/>
      </c>
      <c r="R11" s="193"/>
      <c r="S11" s="179"/>
      <c r="T11" s="192" t="str">
        <f t="shared" si="16"/>
        <v/>
      </c>
      <c r="U11" s="193"/>
      <c r="V11" s="179"/>
      <c r="W11" s="192" t="str">
        <f t="shared" si="17"/>
        <v/>
      </c>
      <c r="X11" s="194"/>
      <c r="Y11" s="205" t="str">
        <f t="shared" si="1"/>
        <v/>
      </c>
      <c r="Z11" s="206" t="str">
        <f t="shared" si="2"/>
        <v/>
      </c>
      <c r="AA11" s="206" t="str">
        <f t="shared" si="3"/>
        <v/>
      </c>
      <c r="AB11" s="206" t="str">
        <f t="shared" si="4"/>
        <v/>
      </c>
      <c r="AC11" s="207" t="str">
        <f t="shared" si="5"/>
        <v/>
      </c>
      <c r="AD11" s="208" t="str">
        <f t="shared" si="6"/>
        <v/>
      </c>
      <c r="AE11" s="209" t="str">
        <f t="shared" si="18"/>
        <v/>
      </c>
      <c r="AF11" s="210" t="str">
        <f t="shared" si="7"/>
        <v/>
      </c>
      <c r="AG11" s="219" t="str">
        <f t="shared" si="8"/>
        <v/>
      </c>
      <c r="AH11" s="207" t="str">
        <f t="shared" si="9"/>
        <v/>
      </c>
    </row>
    <row r="12" spans="1:34" s="167" customFormat="1" ht="12.75" customHeight="1">
      <c r="A12" s="181">
        <v>5</v>
      </c>
      <c r="B12" s="177"/>
      <c r="C12" s="182"/>
      <c r="D12" s="179"/>
      <c r="E12" s="180" t="str">
        <f t="shared" si="10"/>
        <v/>
      </c>
      <c r="F12" s="179"/>
      <c r="G12" s="180" t="str">
        <f t="shared" si="11"/>
        <v/>
      </c>
      <c r="H12" s="179"/>
      <c r="I12" s="180" t="str">
        <f t="shared" si="12"/>
        <v/>
      </c>
      <c r="J12" s="179"/>
      <c r="K12" s="180" t="str">
        <f t="shared" si="13"/>
        <v/>
      </c>
      <c r="L12" s="179"/>
      <c r="M12" s="180" t="str">
        <f t="shared" si="14"/>
        <v/>
      </c>
      <c r="N12" s="179"/>
      <c r="O12" s="180" t="str">
        <f t="shared" si="15"/>
        <v/>
      </c>
      <c r="P12" s="179"/>
      <c r="Q12" s="192" t="str">
        <f t="shared" si="0"/>
        <v/>
      </c>
      <c r="R12" s="193"/>
      <c r="S12" s="179"/>
      <c r="T12" s="192" t="str">
        <f t="shared" si="16"/>
        <v/>
      </c>
      <c r="U12" s="193"/>
      <c r="V12" s="179"/>
      <c r="W12" s="192" t="str">
        <f t="shared" si="17"/>
        <v/>
      </c>
      <c r="X12" s="194"/>
      <c r="Y12" s="205" t="str">
        <f t="shared" si="1"/>
        <v/>
      </c>
      <c r="Z12" s="206" t="str">
        <f t="shared" si="2"/>
        <v/>
      </c>
      <c r="AA12" s="206" t="str">
        <f t="shared" si="3"/>
        <v/>
      </c>
      <c r="AB12" s="206" t="str">
        <f t="shared" si="4"/>
        <v/>
      </c>
      <c r="AC12" s="207" t="str">
        <f t="shared" si="5"/>
        <v/>
      </c>
      <c r="AD12" s="208" t="str">
        <f t="shared" si="6"/>
        <v/>
      </c>
      <c r="AE12" s="209" t="str">
        <f t="shared" si="18"/>
        <v/>
      </c>
      <c r="AF12" s="210" t="str">
        <f t="shared" si="7"/>
        <v/>
      </c>
      <c r="AG12" s="219" t="str">
        <f t="shared" si="8"/>
        <v/>
      </c>
      <c r="AH12" s="207" t="str">
        <f t="shared" si="9"/>
        <v/>
      </c>
    </row>
    <row r="13" spans="1:34" s="167" customFormat="1" ht="12.75" customHeight="1">
      <c r="A13" s="181">
        <v>6</v>
      </c>
      <c r="B13" s="177"/>
      <c r="C13" s="182"/>
      <c r="D13" s="179"/>
      <c r="E13" s="180" t="str">
        <f t="shared" si="10"/>
        <v/>
      </c>
      <c r="F13" s="179"/>
      <c r="G13" s="180" t="str">
        <f t="shared" si="11"/>
        <v/>
      </c>
      <c r="H13" s="179"/>
      <c r="I13" s="180" t="str">
        <f t="shared" si="12"/>
        <v/>
      </c>
      <c r="J13" s="179"/>
      <c r="K13" s="180" t="str">
        <f t="shared" si="13"/>
        <v/>
      </c>
      <c r="L13" s="179"/>
      <c r="M13" s="180" t="str">
        <f t="shared" si="14"/>
        <v/>
      </c>
      <c r="N13" s="179"/>
      <c r="O13" s="180" t="str">
        <f t="shared" si="15"/>
        <v/>
      </c>
      <c r="P13" s="179"/>
      <c r="Q13" s="192" t="str">
        <f t="shared" si="0"/>
        <v/>
      </c>
      <c r="R13" s="193"/>
      <c r="S13" s="179"/>
      <c r="T13" s="192" t="str">
        <f t="shared" si="16"/>
        <v/>
      </c>
      <c r="U13" s="193"/>
      <c r="V13" s="179"/>
      <c r="W13" s="192" t="str">
        <f t="shared" si="17"/>
        <v/>
      </c>
      <c r="X13" s="194"/>
      <c r="Y13" s="205" t="str">
        <f t="shared" si="1"/>
        <v/>
      </c>
      <c r="Z13" s="206" t="str">
        <f t="shared" si="2"/>
        <v/>
      </c>
      <c r="AA13" s="206" t="str">
        <f t="shared" si="3"/>
        <v/>
      </c>
      <c r="AB13" s="206" t="str">
        <f t="shared" si="4"/>
        <v/>
      </c>
      <c r="AC13" s="207" t="str">
        <f t="shared" si="5"/>
        <v/>
      </c>
      <c r="AD13" s="208" t="str">
        <f t="shared" si="6"/>
        <v/>
      </c>
      <c r="AE13" s="209" t="str">
        <f t="shared" si="18"/>
        <v/>
      </c>
      <c r="AF13" s="210" t="str">
        <f t="shared" si="7"/>
        <v/>
      </c>
      <c r="AG13" s="219" t="str">
        <f t="shared" si="8"/>
        <v/>
      </c>
      <c r="AH13" s="207" t="str">
        <f t="shared" si="9"/>
        <v/>
      </c>
    </row>
    <row r="14" spans="1:34" s="167" customFormat="1" ht="12.75" customHeight="1">
      <c r="A14" s="181">
        <v>7</v>
      </c>
      <c r="B14" s="177"/>
      <c r="C14" s="182"/>
      <c r="D14" s="179"/>
      <c r="E14" s="180" t="str">
        <f t="shared" si="10"/>
        <v/>
      </c>
      <c r="F14" s="179"/>
      <c r="G14" s="180" t="str">
        <f t="shared" si="11"/>
        <v/>
      </c>
      <c r="H14" s="179"/>
      <c r="I14" s="180" t="str">
        <f t="shared" si="12"/>
        <v/>
      </c>
      <c r="J14" s="179"/>
      <c r="K14" s="180" t="str">
        <f t="shared" si="13"/>
        <v/>
      </c>
      <c r="L14" s="179"/>
      <c r="M14" s="180" t="str">
        <f t="shared" si="14"/>
        <v/>
      </c>
      <c r="N14" s="179"/>
      <c r="O14" s="180" t="str">
        <f t="shared" si="15"/>
        <v/>
      </c>
      <c r="P14" s="179"/>
      <c r="Q14" s="192" t="str">
        <f t="shared" si="0"/>
        <v/>
      </c>
      <c r="R14" s="193"/>
      <c r="S14" s="179"/>
      <c r="T14" s="192" t="str">
        <f t="shared" si="16"/>
        <v/>
      </c>
      <c r="U14" s="193"/>
      <c r="V14" s="179"/>
      <c r="W14" s="192" t="str">
        <f t="shared" si="17"/>
        <v/>
      </c>
      <c r="X14" s="194"/>
      <c r="Y14" s="205" t="str">
        <f t="shared" si="1"/>
        <v/>
      </c>
      <c r="Z14" s="206" t="str">
        <f t="shared" si="2"/>
        <v/>
      </c>
      <c r="AA14" s="206" t="str">
        <f t="shared" si="3"/>
        <v/>
      </c>
      <c r="AB14" s="206" t="str">
        <f t="shared" si="4"/>
        <v/>
      </c>
      <c r="AC14" s="207" t="str">
        <f t="shared" si="5"/>
        <v/>
      </c>
      <c r="AD14" s="208" t="str">
        <f t="shared" si="6"/>
        <v/>
      </c>
      <c r="AE14" s="209" t="str">
        <f t="shared" si="18"/>
        <v/>
      </c>
      <c r="AF14" s="210" t="str">
        <f t="shared" si="7"/>
        <v/>
      </c>
      <c r="AG14" s="219" t="str">
        <f t="shared" si="8"/>
        <v/>
      </c>
      <c r="AH14" s="207" t="str">
        <f t="shared" si="9"/>
        <v/>
      </c>
    </row>
    <row r="15" spans="1:34" s="167" customFormat="1" ht="12.75" customHeight="1">
      <c r="A15" s="181">
        <v>8</v>
      </c>
      <c r="B15" s="177"/>
      <c r="C15" s="182"/>
      <c r="D15" s="179"/>
      <c r="E15" s="180" t="str">
        <f t="shared" si="10"/>
        <v/>
      </c>
      <c r="F15" s="179"/>
      <c r="G15" s="180" t="str">
        <f t="shared" si="11"/>
        <v/>
      </c>
      <c r="H15" s="179"/>
      <c r="I15" s="180" t="str">
        <f t="shared" si="12"/>
        <v/>
      </c>
      <c r="J15" s="179"/>
      <c r="K15" s="180" t="str">
        <f t="shared" si="13"/>
        <v/>
      </c>
      <c r="L15" s="179"/>
      <c r="M15" s="180" t="str">
        <f t="shared" si="14"/>
        <v/>
      </c>
      <c r="N15" s="179"/>
      <c r="O15" s="180" t="str">
        <f t="shared" si="15"/>
        <v/>
      </c>
      <c r="P15" s="179"/>
      <c r="Q15" s="192" t="str">
        <f t="shared" si="0"/>
        <v/>
      </c>
      <c r="R15" s="193"/>
      <c r="S15" s="179"/>
      <c r="T15" s="192" t="str">
        <f t="shared" si="16"/>
        <v/>
      </c>
      <c r="U15" s="193"/>
      <c r="V15" s="179"/>
      <c r="W15" s="192" t="str">
        <f t="shared" si="17"/>
        <v/>
      </c>
      <c r="X15" s="194"/>
      <c r="Y15" s="205" t="str">
        <f t="shared" si="1"/>
        <v/>
      </c>
      <c r="Z15" s="206" t="str">
        <f t="shared" si="2"/>
        <v/>
      </c>
      <c r="AA15" s="206" t="str">
        <f t="shared" si="3"/>
        <v/>
      </c>
      <c r="AB15" s="206" t="str">
        <f t="shared" si="4"/>
        <v/>
      </c>
      <c r="AC15" s="207" t="str">
        <f t="shared" si="5"/>
        <v/>
      </c>
      <c r="AD15" s="208" t="str">
        <f t="shared" si="6"/>
        <v/>
      </c>
      <c r="AE15" s="209" t="str">
        <f t="shared" si="18"/>
        <v/>
      </c>
      <c r="AF15" s="210" t="str">
        <f t="shared" si="7"/>
        <v/>
      </c>
      <c r="AG15" s="219" t="str">
        <f t="shared" si="8"/>
        <v/>
      </c>
      <c r="AH15" s="207" t="str">
        <f t="shared" si="9"/>
        <v/>
      </c>
    </row>
    <row r="16" spans="1:34" s="167" customFormat="1" ht="12.75" customHeight="1">
      <c r="A16" s="181">
        <v>9</v>
      </c>
      <c r="B16" s="177"/>
      <c r="C16" s="182"/>
      <c r="D16" s="179"/>
      <c r="E16" s="180" t="str">
        <f t="shared" si="10"/>
        <v/>
      </c>
      <c r="F16" s="179"/>
      <c r="G16" s="180" t="str">
        <f t="shared" si="11"/>
        <v/>
      </c>
      <c r="H16" s="179"/>
      <c r="I16" s="180" t="str">
        <f t="shared" si="12"/>
        <v/>
      </c>
      <c r="J16" s="179"/>
      <c r="K16" s="180" t="str">
        <f t="shared" si="13"/>
        <v/>
      </c>
      <c r="L16" s="179"/>
      <c r="M16" s="180" t="str">
        <f t="shared" si="14"/>
        <v/>
      </c>
      <c r="N16" s="179"/>
      <c r="O16" s="180" t="str">
        <f t="shared" si="15"/>
        <v/>
      </c>
      <c r="P16" s="179"/>
      <c r="Q16" s="192" t="str">
        <f t="shared" si="0"/>
        <v/>
      </c>
      <c r="R16" s="193"/>
      <c r="S16" s="179"/>
      <c r="T16" s="192" t="str">
        <f t="shared" si="16"/>
        <v/>
      </c>
      <c r="U16" s="193"/>
      <c r="V16" s="179"/>
      <c r="W16" s="192" t="str">
        <f t="shared" si="17"/>
        <v/>
      </c>
      <c r="X16" s="194"/>
      <c r="Y16" s="205" t="str">
        <f t="shared" si="1"/>
        <v/>
      </c>
      <c r="Z16" s="206" t="str">
        <f t="shared" si="2"/>
        <v/>
      </c>
      <c r="AA16" s="206" t="str">
        <f t="shared" si="3"/>
        <v/>
      </c>
      <c r="AB16" s="206" t="str">
        <f t="shared" si="4"/>
        <v/>
      </c>
      <c r="AC16" s="207" t="str">
        <f t="shared" si="5"/>
        <v/>
      </c>
      <c r="AD16" s="208" t="str">
        <f t="shared" si="6"/>
        <v/>
      </c>
      <c r="AE16" s="209" t="str">
        <f t="shared" si="18"/>
        <v/>
      </c>
      <c r="AF16" s="210" t="str">
        <f t="shared" si="7"/>
        <v/>
      </c>
      <c r="AG16" s="219" t="str">
        <f t="shared" si="8"/>
        <v/>
      </c>
      <c r="AH16" s="207" t="str">
        <f t="shared" si="9"/>
        <v/>
      </c>
    </row>
    <row r="17" spans="1:34" s="167" customFormat="1" ht="12.75" customHeight="1">
      <c r="A17" s="181">
        <v>10</v>
      </c>
      <c r="B17" s="177"/>
      <c r="C17" s="182"/>
      <c r="D17" s="179"/>
      <c r="E17" s="180" t="str">
        <f t="shared" si="10"/>
        <v/>
      </c>
      <c r="F17" s="179"/>
      <c r="G17" s="180" t="str">
        <f t="shared" si="11"/>
        <v/>
      </c>
      <c r="H17" s="179"/>
      <c r="I17" s="180" t="str">
        <f t="shared" si="12"/>
        <v/>
      </c>
      <c r="J17" s="179"/>
      <c r="K17" s="180" t="str">
        <f t="shared" si="13"/>
        <v/>
      </c>
      <c r="L17" s="179"/>
      <c r="M17" s="180" t="str">
        <f t="shared" si="14"/>
        <v/>
      </c>
      <c r="N17" s="179"/>
      <c r="O17" s="180" t="str">
        <f t="shared" si="15"/>
        <v/>
      </c>
      <c r="P17" s="179"/>
      <c r="Q17" s="192" t="str">
        <f t="shared" si="0"/>
        <v/>
      </c>
      <c r="R17" s="193"/>
      <c r="S17" s="179"/>
      <c r="T17" s="192" t="str">
        <f t="shared" si="16"/>
        <v/>
      </c>
      <c r="U17" s="193"/>
      <c r="V17" s="179"/>
      <c r="W17" s="192" t="str">
        <f t="shared" si="17"/>
        <v/>
      </c>
      <c r="X17" s="194"/>
      <c r="Y17" s="205" t="str">
        <f t="shared" si="1"/>
        <v/>
      </c>
      <c r="Z17" s="206" t="str">
        <f t="shared" si="2"/>
        <v/>
      </c>
      <c r="AA17" s="206" t="str">
        <f t="shared" si="3"/>
        <v/>
      </c>
      <c r="AB17" s="206" t="str">
        <f t="shared" si="4"/>
        <v/>
      </c>
      <c r="AC17" s="207" t="str">
        <f t="shared" si="5"/>
        <v/>
      </c>
      <c r="AD17" s="208" t="str">
        <f t="shared" si="6"/>
        <v/>
      </c>
      <c r="AE17" s="209" t="str">
        <f t="shared" si="18"/>
        <v/>
      </c>
      <c r="AF17" s="210" t="str">
        <f t="shared" si="7"/>
        <v/>
      </c>
      <c r="AG17" s="219" t="str">
        <f t="shared" si="8"/>
        <v/>
      </c>
      <c r="AH17" s="207" t="str">
        <f t="shared" si="9"/>
        <v/>
      </c>
    </row>
    <row r="18" spans="1:34" s="167" customFormat="1" ht="12.75" customHeight="1">
      <c r="A18" s="181">
        <v>11</v>
      </c>
      <c r="B18" s="177"/>
      <c r="C18" s="182"/>
      <c r="D18" s="179"/>
      <c r="E18" s="180" t="str">
        <f t="shared" si="10"/>
        <v/>
      </c>
      <c r="F18" s="179"/>
      <c r="G18" s="180" t="str">
        <f t="shared" si="11"/>
        <v/>
      </c>
      <c r="H18" s="179"/>
      <c r="I18" s="180" t="str">
        <f t="shared" si="12"/>
        <v/>
      </c>
      <c r="J18" s="179"/>
      <c r="K18" s="180" t="str">
        <f t="shared" si="13"/>
        <v/>
      </c>
      <c r="L18" s="179"/>
      <c r="M18" s="180" t="str">
        <f t="shared" si="14"/>
        <v/>
      </c>
      <c r="N18" s="179"/>
      <c r="O18" s="180" t="str">
        <f t="shared" si="15"/>
        <v/>
      </c>
      <c r="P18" s="179"/>
      <c r="Q18" s="192" t="str">
        <f t="shared" si="0"/>
        <v/>
      </c>
      <c r="R18" s="193"/>
      <c r="S18" s="179"/>
      <c r="T18" s="192" t="str">
        <f t="shared" si="16"/>
        <v/>
      </c>
      <c r="U18" s="193"/>
      <c r="V18" s="179"/>
      <c r="W18" s="192" t="str">
        <f t="shared" si="17"/>
        <v/>
      </c>
      <c r="X18" s="194"/>
      <c r="Y18" s="205" t="str">
        <f t="shared" si="1"/>
        <v/>
      </c>
      <c r="Z18" s="206" t="str">
        <f t="shared" si="2"/>
        <v/>
      </c>
      <c r="AA18" s="206" t="str">
        <f t="shared" si="3"/>
        <v/>
      </c>
      <c r="AB18" s="206" t="str">
        <f t="shared" si="4"/>
        <v/>
      </c>
      <c r="AC18" s="207" t="str">
        <f t="shared" si="5"/>
        <v/>
      </c>
      <c r="AD18" s="208" t="str">
        <f t="shared" si="6"/>
        <v/>
      </c>
      <c r="AE18" s="209" t="str">
        <f t="shared" si="18"/>
        <v/>
      </c>
      <c r="AF18" s="210" t="str">
        <f t="shared" si="7"/>
        <v/>
      </c>
      <c r="AG18" s="219" t="str">
        <f t="shared" si="8"/>
        <v/>
      </c>
      <c r="AH18" s="207" t="str">
        <f t="shared" si="9"/>
        <v/>
      </c>
    </row>
    <row r="19" spans="1:34" s="167" customFormat="1" ht="12.75" customHeight="1">
      <c r="A19" s="181">
        <v>12</v>
      </c>
      <c r="B19" s="177"/>
      <c r="C19" s="182"/>
      <c r="D19" s="179"/>
      <c r="E19" s="180" t="str">
        <f t="shared" si="10"/>
        <v/>
      </c>
      <c r="F19" s="179"/>
      <c r="G19" s="180" t="str">
        <f t="shared" si="11"/>
        <v/>
      </c>
      <c r="H19" s="179"/>
      <c r="I19" s="180" t="str">
        <f t="shared" si="12"/>
        <v/>
      </c>
      <c r="J19" s="179"/>
      <c r="K19" s="180" t="str">
        <f t="shared" si="13"/>
        <v/>
      </c>
      <c r="L19" s="179"/>
      <c r="M19" s="180" t="str">
        <f t="shared" si="14"/>
        <v/>
      </c>
      <c r="N19" s="179"/>
      <c r="O19" s="180" t="str">
        <f t="shared" si="15"/>
        <v/>
      </c>
      <c r="P19" s="179"/>
      <c r="Q19" s="192" t="str">
        <f t="shared" si="0"/>
        <v/>
      </c>
      <c r="R19" s="193"/>
      <c r="S19" s="179"/>
      <c r="T19" s="192" t="str">
        <f t="shared" si="16"/>
        <v/>
      </c>
      <c r="U19" s="193"/>
      <c r="V19" s="179"/>
      <c r="W19" s="192" t="str">
        <f t="shared" si="17"/>
        <v/>
      </c>
      <c r="X19" s="194"/>
      <c r="Y19" s="205" t="str">
        <f t="shared" si="1"/>
        <v/>
      </c>
      <c r="Z19" s="206" t="str">
        <f t="shared" si="2"/>
        <v/>
      </c>
      <c r="AA19" s="206" t="str">
        <f t="shared" si="3"/>
        <v/>
      </c>
      <c r="AB19" s="206" t="str">
        <f t="shared" si="4"/>
        <v/>
      </c>
      <c r="AC19" s="207" t="str">
        <f t="shared" si="5"/>
        <v/>
      </c>
      <c r="AD19" s="208" t="str">
        <f t="shared" si="6"/>
        <v/>
      </c>
      <c r="AE19" s="209" t="str">
        <f t="shared" si="18"/>
        <v/>
      </c>
      <c r="AF19" s="210" t="str">
        <f t="shared" si="7"/>
        <v/>
      </c>
      <c r="AG19" s="219" t="str">
        <f t="shared" si="8"/>
        <v/>
      </c>
      <c r="AH19" s="207" t="str">
        <f t="shared" si="9"/>
        <v/>
      </c>
    </row>
    <row r="20" spans="1:34" s="167" customFormat="1" ht="12.75" customHeight="1">
      <c r="A20" s="181">
        <v>13</v>
      </c>
      <c r="B20" s="177"/>
      <c r="C20" s="182"/>
      <c r="D20" s="179"/>
      <c r="E20" s="180" t="str">
        <f t="shared" si="10"/>
        <v/>
      </c>
      <c r="F20" s="179"/>
      <c r="G20" s="180" t="str">
        <f t="shared" si="11"/>
        <v/>
      </c>
      <c r="H20" s="179"/>
      <c r="I20" s="180" t="str">
        <f t="shared" si="12"/>
        <v/>
      </c>
      <c r="J20" s="179"/>
      <c r="K20" s="180" t="str">
        <f t="shared" si="13"/>
        <v/>
      </c>
      <c r="L20" s="179"/>
      <c r="M20" s="180" t="str">
        <f t="shared" si="14"/>
        <v/>
      </c>
      <c r="N20" s="179"/>
      <c r="O20" s="180" t="str">
        <f t="shared" si="15"/>
        <v/>
      </c>
      <c r="P20" s="179"/>
      <c r="Q20" s="192" t="str">
        <f t="shared" si="0"/>
        <v/>
      </c>
      <c r="R20" s="193"/>
      <c r="S20" s="179"/>
      <c r="T20" s="192" t="str">
        <f t="shared" si="16"/>
        <v/>
      </c>
      <c r="U20" s="193"/>
      <c r="V20" s="179"/>
      <c r="W20" s="192" t="str">
        <f t="shared" si="17"/>
        <v/>
      </c>
      <c r="X20" s="194"/>
      <c r="Y20" s="205" t="str">
        <f t="shared" si="1"/>
        <v/>
      </c>
      <c r="Z20" s="206" t="str">
        <f t="shared" si="2"/>
        <v/>
      </c>
      <c r="AA20" s="206" t="str">
        <f t="shared" si="3"/>
        <v/>
      </c>
      <c r="AB20" s="206" t="str">
        <f t="shared" si="4"/>
        <v/>
      </c>
      <c r="AC20" s="207" t="str">
        <f t="shared" si="5"/>
        <v/>
      </c>
      <c r="AD20" s="208" t="str">
        <f t="shared" si="6"/>
        <v/>
      </c>
      <c r="AE20" s="209" t="str">
        <f t="shared" si="18"/>
        <v/>
      </c>
      <c r="AF20" s="210" t="str">
        <f t="shared" si="7"/>
        <v/>
      </c>
      <c r="AG20" s="219" t="str">
        <f t="shared" si="8"/>
        <v/>
      </c>
      <c r="AH20" s="207" t="str">
        <f t="shared" si="9"/>
        <v/>
      </c>
    </row>
    <row r="21" spans="1:34" s="167" customFormat="1" ht="12.75" customHeight="1">
      <c r="A21" s="181">
        <v>14</v>
      </c>
      <c r="B21" s="177"/>
      <c r="C21" s="182"/>
      <c r="D21" s="179"/>
      <c r="E21" s="180" t="str">
        <f t="shared" si="10"/>
        <v/>
      </c>
      <c r="F21" s="179"/>
      <c r="G21" s="180" t="str">
        <f t="shared" si="11"/>
        <v/>
      </c>
      <c r="H21" s="179"/>
      <c r="I21" s="180" t="str">
        <f t="shared" si="12"/>
        <v/>
      </c>
      <c r="J21" s="179"/>
      <c r="K21" s="180" t="str">
        <f t="shared" si="13"/>
        <v/>
      </c>
      <c r="L21" s="179"/>
      <c r="M21" s="180" t="str">
        <f t="shared" si="14"/>
        <v/>
      </c>
      <c r="N21" s="179"/>
      <c r="O21" s="180" t="str">
        <f t="shared" si="15"/>
        <v/>
      </c>
      <c r="P21" s="179"/>
      <c r="Q21" s="192" t="str">
        <f t="shared" si="0"/>
        <v/>
      </c>
      <c r="R21" s="193"/>
      <c r="S21" s="179"/>
      <c r="T21" s="192" t="str">
        <f t="shared" si="16"/>
        <v/>
      </c>
      <c r="U21" s="193"/>
      <c r="V21" s="179"/>
      <c r="W21" s="192" t="str">
        <f t="shared" si="17"/>
        <v/>
      </c>
      <c r="X21" s="194"/>
      <c r="Y21" s="205" t="str">
        <f t="shared" si="1"/>
        <v/>
      </c>
      <c r="Z21" s="206" t="str">
        <f t="shared" si="2"/>
        <v/>
      </c>
      <c r="AA21" s="206" t="str">
        <f t="shared" si="3"/>
        <v/>
      </c>
      <c r="AB21" s="206" t="str">
        <f t="shared" si="4"/>
        <v/>
      </c>
      <c r="AC21" s="207" t="str">
        <f t="shared" si="5"/>
        <v/>
      </c>
      <c r="AD21" s="208" t="str">
        <f t="shared" si="6"/>
        <v/>
      </c>
      <c r="AE21" s="209" t="str">
        <f t="shared" si="18"/>
        <v/>
      </c>
      <c r="AF21" s="210" t="str">
        <f t="shared" si="7"/>
        <v/>
      </c>
      <c r="AG21" s="219" t="str">
        <f t="shared" si="8"/>
        <v/>
      </c>
      <c r="AH21" s="207" t="str">
        <f t="shared" si="9"/>
        <v/>
      </c>
    </row>
    <row r="22" spans="1:34" s="167" customFormat="1" ht="12.75" customHeight="1">
      <c r="A22" s="181">
        <v>15</v>
      </c>
      <c r="B22" s="177"/>
      <c r="C22" s="182"/>
      <c r="D22" s="179"/>
      <c r="E22" s="180" t="str">
        <f t="shared" si="10"/>
        <v/>
      </c>
      <c r="F22" s="179"/>
      <c r="G22" s="180" t="str">
        <f t="shared" si="11"/>
        <v/>
      </c>
      <c r="H22" s="179"/>
      <c r="I22" s="180" t="str">
        <f t="shared" si="12"/>
        <v/>
      </c>
      <c r="J22" s="179"/>
      <c r="K22" s="180" t="str">
        <f t="shared" si="13"/>
        <v/>
      </c>
      <c r="L22" s="179"/>
      <c r="M22" s="180" t="str">
        <f t="shared" si="14"/>
        <v/>
      </c>
      <c r="N22" s="179"/>
      <c r="O22" s="180" t="str">
        <f t="shared" si="15"/>
        <v/>
      </c>
      <c r="P22" s="179"/>
      <c r="Q22" s="192" t="str">
        <f t="shared" si="0"/>
        <v/>
      </c>
      <c r="R22" s="193"/>
      <c r="S22" s="179"/>
      <c r="T22" s="192" t="str">
        <f t="shared" si="16"/>
        <v/>
      </c>
      <c r="U22" s="193"/>
      <c r="V22" s="179"/>
      <c r="W22" s="192" t="str">
        <f t="shared" si="17"/>
        <v/>
      </c>
      <c r="X22" s="194"/>
      <c r="Y22" s="205" t="str">
        <f t="shared" si="1"/>
        <v/>
      </c>
      <c r="Z22" s="206" t="str">
        <f t="shared" si="2"/>
        <v/>
      </c>
      <c r="AA22" s="206" t="str">
        <f t="shared" si="3"/>
        <v/>
      </c>
      <c r="AB22" s="206" t="str">
        <f t="shared" si="4"/>
        <v/>
      </c>
      <c r="AC22" s="207" t="str">
        <f t="shared" si="5"/>
        <v/>
      </c>
      <c r="AD22" s="208" t="str">
        <f t="shared" si="6"/>
        <v/>
      </c>
      <c r="AE22" s="209" t="str">
        <f t="shared" si="18"/>
        <v/>
      </c>
      <c r="AF22" s="210" t="str">
        <f t="shared" si="7"/>
        <v/>
      </c>
      <c r="AG22" s="219" t="str">
        <f t="shared" si="8"/>
        <v/>
      </c>
      <c r="AH22" s="207" t="str">
        <f t="shared" si="9"/>
        <v/>
      </c>
    </row>
    <row r="23" spans="1:34" s="167" customFormat="1" ht="12.75" customHeight="1">
      <c r="A23" s="181">
        <v>16</v>
      </c>
      <c r="B23" s="177"/>
      <c r="C23" s="182"/>
      <c r="D23" s="179"/>
      <c r="E23" s="180" t="str">
        <f t="shared" si="10"/>
        <v/>
      </c>
      <c r="F23" s="179"/>
      <c r="G23" s="180" t="str">
        <f t="shared" si="11"/>
        <v/>
      </c>
      <c r="H23" s="179"/>
      <c r="I23" s="180" t="str">
        <f t="shared" si="12"/>
        <v/>
      </c>
      <c r="J23" s="179"/>
      <c r="K23" s="180" t="str">
        <f t="shared" si="13"/>
        <v/>
      </c>
      <c r="L23" s="179"/>
      <c r="M23" s="180" t="str">
        <f t="shared" si="14"/>
        <v/>
      </c>
      <c r="N23" s="179"/>
      <c r="O23" s="180" t="str">
        <f t="shared" si="15"/>
        <v/>
      </c>
      <c r="P23" s="179"/>
      <c r="Q23" s="192" t="str">
        <f t="shared" si="0"/>
        <v/>
      </c>
      <c r="R23" s="193"/>
      <c r="S23" s="179"/>
      <c r="T23" s="192" t="str">
        <f t="shared" si="16"/>
        <v/>
      </c>
      <c r="U23" s="193"/>
      <c r="V23" s="179"/>
      <c r="W23" s="192" t="str">
        <f t="shared" si="17"/>
        <v/>
      </c>
      <c r="X23" s="194"/>
      <c r="Y23" s="205" t="str">
        <f t="shared" si="1"/>
        <v/>
      </c>
      <c r="Z23" s="206" t="str">
        <f t="shared" si="2"/>
        <v/>
      </c>
      <c r="AA23" s="206" t="str">
        <f t="shared" si="3"/>
        <v/>
      </c>
      <c r="AB23" s="206" t="str">
        <f t="shared" si="4"/>
        <v/>
      </c>
      <c r="AC23" s="207" t="str">
        <f t="shared" si="5"/>
        <v/>
      </c>
      <c r="AD23" s="208" t="str">
        <f t="shared" si="6"/>
        <v/>
      </c>
      <c r="AE23" s="209" t="str">
        <f t="shared" si="18"/>
        <v/>
      </c>
      <c r="AF23" s="210" t="str">
        <f t="shared" si="7"/>
        <v/>
      </c>
      <c r="AG23" s="219" t="str">
        <f t="shared" si="8"/>
        <v/>
      </c>
      <c r="AH23" s="207" t="str">
        <f t="shared" si="9"/>
        <v/>
      </c>
    </row>
    <row r="24" spans="1:34" s="167" customFormat="1" ht="12.75" customHeight="1">
      <c r="A24" s="181">
        <v>17</v>
      </c>
      <c r="B24" s="177"/>
      <c r="C24" s="182"/>
      <c r="D24" s="179"/>
      <c r="E24" s="180" t="str">
        <f t="shared" si="10"/>
        <v/>
      </c>
      <c r="F24" s="179"/>
      <c r="G24" s="180" t="str">
        <f t="shared" si="11"/>
        <v/>
      </c>
      <c r="H24" s="179"/>
      <c r="I24" s="180" t="str">
        <f t="shared" si="12"/>
        <v/>
      </c>
      <c r="J24" s="179"/>
      <c r="K24" s="180" t="str">
        <f t="shared" si="13"/>
        <v/>
      </c>
      <c r="L24" s="179"/>
      <c r="M24" s="180" t="str">
        <f t="shared" si="14"/>
        <v/>
      </c>
      <c r="N24" s="179"/>
      <c r="O24" s="180" t="str">
        <f t="shared" si="15"/>
        <v/>
      </c>
      <c r="P24" s="179"/>
      <c r="Q24" s="192" t="str">
        <f t="shared" si="0"/>
        <v/>
      </c>
      <c r="R24" s="193"/>
      <c r="S24" s="179"/>
      <c r="T24" s="192" t="str">
        <f t="shared" si="16"/>
        <v/>
      </c>
      <c r="U24" s="193"/>
      <c r="V24" s="179"/>
      <c r="W24" s="192" t="str">
        <f t="shared" si="17"/>
        <v/>
      </c>
      <c r="X24" s="194"/>
      <c r="Y24" s="205" t="str">
        <f t="shared" si="1"/>
        <v/>
      </c>
      <c r="Z24" s="206" t="str">
        <f t="shared" si="2"/>
        <v/>
      </c>
      <c r="AA24" s="206" t="str">
        <f t="shared" si="3"/>
        <v/>
      </c>
      <c r="AB24" s="206" t="str">
        <f t="shared" si="4"/>
        <v/>
      </c>
      <c r="AC24" s="207" t="str">
        <f t="shared" si="5"/>
        <v/>
      </c>
      <c r="AD24" s="208" t="str">
        <f t="shared" si="6"/>
        <v/>
      </c>
      <c r="AE24" s="209" t="str">
        <f t="shared" si="18"/>
        <v/>
      </c>
      <c r="AF24" s="210" t="str">
        <f t="shared" si="7"/>
        <v/>
      </c>
      <c r="AG24" s="219" t="str">
        <f t="shared" si="8"/>
        <v/>
      </c>
      <c r="AH24" s="207" t="str">
        <f t="shared" si="9"/>
        <v/>
      </c>
    </row>
    <row r="25" spans="1:34" s="167" customFormat="1" ht="12.75" customHeight="1">
      <c r="A25" s="181">
        <v>18</v>
      </c>
      <c r="B25" s="177"/>
      <c r="C25" s="182"/>
      <c r="D25" s="179"/>
      <c r="E25" s="180" t="str">
        <f t="shared" si="10"/>
        <v/>
      </c>
      <c r="F25" s="179"/>
      <c r="G25" s="180" t="str">
        <f t="shared" si="11"/>
        <v/>
      </c>
      <c r="H25" s="179"/>
      <c r="I25" s="180" t="str">
        <f t="shared" si="12"/>
        <v/>
      </c>
      <c r="J25" s="179"/>
      <c r="K25" s="180" t="str">
        <f t="shared" si="13"/>
        <v/>
      </c>
      <c r="L25" s="179"/>
      <c r="M25" s="180" t="str">
        <f t="shared" si="14"/>
        <v/>
      </c>
      <c r="N25" s="179"/>
      <c r="O25" s="180" t="str">
        <f t="shared" si="15"/>
        <v/>
      </c>
      <c r="P25" s="179"/>
      <c r="Q25" s="192" t="str">
        <f t="shared" si="0"/>
        <v/>
      </c>
      <c r="R25" s="193"/>
      <c r="S25" s="179"/>
      <c r="T25" s="192" t="str">
        <f t="shared" si="16"/>
        <v/>
      </c>
      <c r="U25" s="193"/>
      <c r="V25" s="179"/>
      <c r="W25" s="192" t="str">
        <f t="shared" si="17"/>
        <v/>
      </c>
      <c r="X25" s="194"/>
      <c r="Y25" s="205" t="str">
        <f t="shared" si="1"/>
        <v/>
      </c>
      <c r="Z25" s="206" t="str">
        <f t="shared" si="2"/>
        <v/>
      </c>
      <c r="AA25" s="206" t="str">
        <f t="shared" si="3"/>
        <v/>
      </c>
      <c r="AB25" s="206" t="str">
        <f t="shared" si="4"/>
        <v/>
      </c>
      <c r="AC25" s="207" t="str">
        <f t="shared" si="5"/>
        <v/>
      </c>
      <c r="AD25" s="208" t="str">
        <f t="shared" si="6"/>
        <v/>
      </c>
      <c r="AE25" s="209" t="str">
        <f t="shared" si="18"/>
        <v/>
      </c>
      <c r="AF25" s="210" t="str">
        <f t="shared" si="7"/>
        <v/>
      </c>
      <c r="AG25" s="219" t="str">
        <f t="shared" si="8"/>
        <v/>
      </c>
      <c r="AH25" s="207" t="str">
        <f t="shared" si="9"/>
        <v/>
      </c>
    </row>
    <row r="26" spans="1:34" s="167" customFormat="1" ht="12.75" customHeight="1">
      <c r="A26" s="181">
        <v>19</v>
      </c>
      <c r="B26" s="177"/>
      <c r="C26" s="182"/>
      <c r="D26" s="179"/>
      <c r="E26" s="180" t="str">
        <f t="shared" si="10"/>
        <v/>
      </c>
      <c r="F26" s="179"/>
      <c r="G26" s="180" t="str">
        <f t="shared" si="11"/>
        <v/>
      </c>
      <c r="H26" s="179"/>
      <c r="I26" s="180" t="str">
        <f t="shared" si="12"/>
        <v/>
      </c>
      <c r="J26" s="179"/>
      <c r="K26" s="180" t="str">
        <f t="shared" si="13"/>
        <v/>
      </c>
      <c r="L26" s="179"/>
      <c r="M26" s="180" t="str">
        <f t="shared" si="14"/>
        <v/>
      </c>
      <c r="N26" s="179"/>
      <c r="O26" s="180" t="str">
        <f t="shared" si="15"/>
        <v/>
      </c>
      <c r="P26" s="179"/>
      <c r="Q26" s="192" t="str">
        <f t="shared" si="0"/>
        <v/>
      </c>
      <c r="R26" s="193"/>
      <c r="S26" s="179"/>
      <c r="T26" s="192" t="str">
        <f t="shared" si="16"/>
        <v/>
      </c>
      <c r="U26" s="193"/>
      <c r="V26" s="179"/>
      <c r="W26" s="192" t="str">
        <f t="shared" si="17"/>
        <v/>
      </c>
      <c r="X26" s="194"/>
      <c r="Y26" s="205" t="str">
        <f t="shared" si="1"/>
        <v/>
      </c>
      <c r="Z26" s="206" t="str">
        <f t="shared" si="2"/>
        <v/>
      </c>
      <c r="AA26" s="206" t="str">
        <f t="shared" si="3"/>
        <v/>
      </c>
      <c r="AB26" s="206" t="str">
        <f t="shared" si="4"/>
        <v/>
      </c>
      <c r="AC26" s="207" t="str">
        <f t="shared" si="5"/>
        <v/>
      </c>
      <c r="AD26" s="208" t="str">
        <f t="shared" si="6"/>
        <v/>
      </c>
      <c r="AE26" s="209" t="str">
        <f t="shared" si="18"/>
        <v/>
      </c>
      <c r="AF26" s="210" t="str">
        <f t="shared" si="7"/>
        <v/>
      </c>
      <c r="AG26" s="219" t="str">
        <f t="shared" si="8"/>
        <v/>
      </c>
      <c r="AH26" s="207" t="str">
        <f t="shared" si="9"/>
        <v/>
      </c>
    </row>
    <row r="27" spans="1:34" s="167" customFormat="1" ht="12.75" customHeight="1">
      <c r="A27" s="181">
        <v>20</v>
      </c>
      <c r="B27" s="177"/>
      <c r="C27" s="182"/>
      <c r="D27" s="179"/>
      <c r="E27" s="180" t="str">
        <f t="shared" si="10"/>
        <v/>
      </c>
      <c r="F27" s="179"/>
      <c r="G27" s="180" t="str">
        <f t="shared" si="11"/>
        <v/>
      </c>
      <c r="H27" s="179"/>
      <c r="I27" s="180" t="str">
        <f t="shared" si="12"/>
        <v/>
      </c>
      <c r="J27" s="179"/>
      <c r="K27" s="180" t="str">
        <f t="shared" si="13"/>
        <v/>
      </c>
      <c r="L27" s="179"/>
      <c r="M27" s="180" t="str">
        <f t="shared" si="14"/>
        <v/>
      </c>
      <c r="N27" s="179"/>
      <c r="O27" s="180" t="str">
        <f t="shared" si="15"/>
        <v/>
      </c>
      <c r="P27" s="179"/>
      <c r="Q27" s="192" t="str">
        <f t="shared" si="0"/>
        <v/>
      </c>
      <c r="R27" s="193"/>
      <c r="S27" s="179"/>
      <c r="T27" s="192" t="str">
        <f t="shared" si="16"/>
        <v/>
      </c>
      <c r="U27" s="193"/>
      <c r="V27" s="179"/>
      <c r="W27" s="192" t="str">
        <f t="shared" si="17"/>
        <v/>
      </c>
      <c r="X27" s="194"/>
      <c r="Y27" s="205" t="str">
        <f t="shared" si="1"/>
        <v/>
      </c>
      <c r="Z27" s="206" t="str">
        <f t="shared" si="2"/>
        <v/>
      </c>
      <c r="AA27" s="206" t="str">
        <f t="shared" si="3"/>
        <v/>
      </c>
      <c r="AB27" s="206" t="str">
        <f t="shared" si="4"/>
        <v/>
      </c>
      <c r="AC27" s="207" t="str">
        <f t="shared" si="5"/>
        <v/>
      </c>
      <c r="AD27" s="208" t="str">
        <f t="shared" si="6"/>
        <v/>
      </c>
      <c r="AE27" s="209" t="str">
        <f t="shared" si="18"/>
        <v/>
      </c>
      <c r="AF27" s="210" t="str">
        <f t="shared" si="7"/>
        <v/>
      </c>
      <c r="AG27" s="219" t="str">
        <f t="shared" si="8"/>
        <v/>
      </c>
      <c r="AH27" s="207" t="str">
        <f t="shared" si="9"/>
        <v/>
      </c>
    </row>
    <row r="28" spans="1:34" s="167" customFormat="1" ht="12.75" customHeight="1">
      <c r="A28" s="181">
        <v>21</v>
      </c>
      <c r="B28" s="177"/>
      <c r="C28" s="182"/>
      <c r="D28" s="179"/>
      <c r="E28" s="180" t="str">
        <f t="shared" si="10"/>
        <v/>
      </c>
      <c r="F28" s="179"/>
      <c r="G28" s="180" t="str">
        <f t="shared" si="11"/>
        <v/>
      </c>
      <c r="H28" s="179"/>
      <c r="I28" s="180" t="str">
        <f t="shared" si="12"/>
        <v/>
      </c>
      <c r="J28" s="179"/>
      <c r="K28" s="180" t="str">
        <f t="shared" si="13"/>
        <v/>
      </c>
      <c r="L28" s="179"/>
      <c r="M28" s="180" t="str">
        <f t="shared" si="14"/>
        <v/>
      </c>
      <c r="N28" s="179"/>
      <c r="O28" s="180" t="str">
        <f t="shared" si="15"/>
        <v/>
      </c>
      <c r="P28" s="179"/>
      <c r="Q28" s="192" t="str">
        <f t="shared" si="0"/>
        <v/>
      </c>
      <c r="R28" s="193"/>
      <c r="S28" s="179"/>
      <c r="T28" s="192" t="str">
        <f t="shared" si="16"/>
        <v/>
      </c>
      <c r="U28" s="193"/>
      <c r="V28" s="179"/>
      <c r="W28" s="192" t="str">
        <f t="shared" si="17"/>
        <v/>
      </c>
      <c r="X28" s="194"/>
      <c r="Y28" s="205" t="str">
        <f t="shared" si="1"/>
        <v/>
      </c>
      <c r="Z28" s="206" t="str">
        <f t="shared" si="2"/>
        <v/>
      </c>
      <c r="AA28" s="206" t="str">
        <f t="shared" si="3"/>
        <v/>
      </c>
      <c r="AB28" s="206" t="str">
        <f t="shared" si="4"/>
        <v/>
      </c>
      <c r="AC28" s="207" t="str">
        <f t="shared" si="5"/>
        <v/>
      </c>
      <c r="AD28" s="208" t="str">
        <f t="shared" si="6"/>
        <v/>
      </c>
      <c r="AE28" s="209" t="str">
        <f t="shared" si="18"/>
        <v/>
      </c>
      <c r="AF28" s="210" t="str">
        <f t="shared" si="7"/>
        <v/>
      </c>
      <c r="AG28" s="219" t="str">
        <f t="shared" si="8"/>
        <v/>
      </c>
      <c r="AH28" s="207" t="str">
        <f t="shared" si="9"/>
        <v/>
      </c>
    </row>
    <row r="29" spans="1:34" s="167" customFormat="1" ht="12.75" customHeight="1">
      <c r="A29" s="181">
        <v>22</v>
      </c>
      <c r="B29" s="177"/>
      <c r="C29" s="182"/>
      <c r="D29" s="179"/>
      <c r="E29" s="180" t="str">
        <f t="shared" si="10"/>
        <v/>
      </c>
      <c r="F29" s="179"/>
      <c r="G29" s="180" t="str">
        <f t="shared" si="11"/>
        <v/>
      </c>
      <c r="H29" s="179"/>
      <c r="I29" s="180" t="str">
        <f t="shared" si="12"/>
        <v/>
      </c>
      <c r="J29" s="179"/>
      <c r="K29" s="180" t="str">
        <f t="shared" si="13"/>
        <v/>
      </c>
      <c r="L29" s="179"/>
      <c r="M29" s="180" t="str">
        <f t="shared" si="14"/>
        <v/>
      </c>
      <c r="N29" s="179"/>
      <c r="O29" s="180" t="str">
        <f t="shared" si="15"/>
        <v/>
      </c>
      <c r="P29" s="179"/>
      <c r="Q29" s="192" t="str">
        <f t="shared" si="0"/>
        <v/>
      </c>
      <c r="R29" s="193"/>
      <c r="S29" s="179"/>
      <c r="T29" s="192" t="str">
        <f t="shared" si="16"/>
        <v/>
      </c>
      <c r="U29" s="193"/>
      <c r="V29" s="179"/>
      <c r="W29" s="192" t="str">
        <f t="shared" si="17"/>
        <v/>
      </c>
      <c r="X29" s="194"/>
      <c r="Y29" s="205" t="str">
        <f t="shared" si="1"/>
        <v/>
      </c>
      <c r="Z29" s="206" t="str">
        <f t="shared" si="2"/>
        <v/>
      </c>
      <c r="AA29" s="206" t="str">
        <f t="shared" si="3"/>
        <v/>
      </c>
      <c r="AB29" s="206" t="str">
        <f t="shared" si="4"/>
        <v/>
      </c>
      <c r="AC29" s="207" t="str">
        <f t="shared" si="5"/>
        <v/>
      </c>
      <c r="AD29" s="208" t="str">
        <f t="shared" si="6"/>
        <v/>
      </c>
      <c r="AE29" s="209" t="str">
        <f t="shared" si="18"/>
        <v/>
      </c>
      <c r="AF29" s="210" t="str">
        <f t="shared" si="7"/>
        <v/>
      </c>
      <c r="AG29" s="219" t="str">
        <f t="shared" si="8"/>
        <v/>
      </c>
      <c r="AH29" s="207" t="str">
        <f t="shared" si="9"/>
        <v/>
      </c>
    </row>
    <row r="30" spans="1:34" s="167" customFormat="1" ht="12.75" customHeight="1">
      <c r="A30" s="181">
        <v>23</v>
      </c>
      <c r="B30" s="177"/>
      <c r="C30" s="182"/>
      <c r="D30" s="179"/>
      <c r="E30" s="180" t="str">
        <f t="shared" si="10"/>
        <v/>
      </c>
      <c r="F30" s="179"/>
      <c r="G30" s="180" t="str">
        <f t="shared" si="11"/>
        <v/>
      </c>
      <c r="H30" s="179"/>
      <c r="I30" s="180" t="str">
        <f t="shared" si="12"/>
        <v/>
      </c>
      <c r="J30" s="179"/>
      <c r="K30" s="180" t="str">
        <f t="shared" si="13"/>
        <v/>
      </c>
      <c r="L30" s="179"/>
      <c r="M30" s="180" t="str">
        <f t="shared" si="14"/>
        <v/>
      </c>
      <c r="N30" s="179"/>
      <c r="O30" s="180" t="str">
        <f t="shared" si="15"/>
        <v/>
      </c>
      <c r="P30" s="179"/>
      <c r="Q30" s="192" t="str">
        <f t="shared" si="0"/>
        <v/>
      </c>
      <c r="R30" s="193"/>
      <c r="S30" s="179"/>
      <c r="T30" s="192" t="str">
        <f t="shared" si="16"/>
        <v/>
      </c>
      <c r="U30" s="193"/>
      <c r="V30" s="179"/>
      <c r="W30" s="192" t="str">
        <f t="shared" si="17"/>
        <v/>
      </c>
      <c r="X30" s="194"/>
      <c r="Y30" s="205" t="str">
        <f t="shared" si="1"/>
        <v/>
      </c>
      <c r="Z30" s="206" t="str">
        <f t="shared" si="2"/>
        <v/>
      </c>
      <c r="AA30" s="206" t="str">
        <f t="shared" si="3"/>
        <v/>
      </c>
      <c r="AB30" s="206" t="str">
        <f t="shared" si="4"/>
        <v/>
      </c>
      <c r="AC30" s="207" t="str">
        <f t="shared" si="5"/>
        <v/>
      </c>
      <c r="AD30" s="208" t="str">
        <f t="shared" si="6"/>
        <v/>
      </c>
      <c r="AE30" s="209" t="str">
        <f t="shared" si="18"/>
        <v/>
      </c>
      <c r="AF30" s="210" t="str">
        <f t="shared" si="7"/>
        <v/>
      </c>
      <c r="AG30" s="219" t="str">
        <f t="shared" si="8"/>
        <v/>
      </c>
      <c r="AH30" s="207" t="str">
        <f t="shared" si="9"/>
        <v/>
      </c>
    </row>
    <row r="31" spans="1:34" s="167" customFormat="1" ht="12.75" customHeight="1">
      <c r="A31" s="181">
        <v>24</v>
      </c>
      <c r="B31" s="177"/>
      <c r="C31" s="182"/>
      <c r="D31" s="179"/>
      <c r="E31" s="180" t="str">
        <f t="shared" si="10"/>
        <v/>
      </c>
      <c r="F31" s="179"/>
      <c r="G31" s="180" t="str">
        <f t="shared" si="11"/>
        <v/>
      </c>
      <c r="H31" s="179"/>
      <c r="I31" s="180" t="str">
        <f t="shared" si="12"/>
        <v/>
      </c>
      <c r="J31" s="179"/>
      <c r="K31" s="180" t="str">
        <f t="shared" si="13"/>
        <v/>
      </c>
      <c r="L31" s="179"/>
      <c r="M31" s="180" t="str">
        <f t="shared" si="14"/>
        <v/>
      </c>
      <c r="N31" s="179"/>
      <c r="O31" s="180" t="str">
        <f t="shared" si="15"/>
        <v/>
      </c>
      <c r="P31" s="179"/>
      <c r="Q31" s="192" t="str">
        <f t="shared" si="0"/>
        <v/>
      </c>
      <c r="R31" s="193"/>
      <c r="S31" s="179"/>
      <c r="T31" s="192" t="str">
        <f t="shared" si="16"/>
        <v/>
      </c>
      <c r="U31" s="193"/>
      <c r="V31" s="179"/>
      <c r="W31" s="192" t="str">
        <f t="shared" si="17"/>
        <v/>
      </c>
      <c r="X31" s="194"/>
      <c r="Y31" s="205" t="str">
        <f t="shared" si="1"/>
        <v/>
      </c>
      <c r="Z31" s="206" t="str">
        <f t="shared" si="2"/>
        <v/>
      </c>
      <c r="AA31" s="206" t="str">
        <f t="shared" si="3"/>
        <v/>
      </c>
      <c r="AB31" s="206" t="str">
        <f t="shared" si="4"/>
        <v/>
      </c>
      <c r="AC31" s="207" t="str">
        <f t="shared" si="5"/>
        <v/>
      </c>
      <c r="AD31" s="208" t="str">
        <f t="shared" si="6"/>
        <v/>
      </c>
      <c r="AE31" s="209" t="str">
        <f t="shared" si="18"/>
        <v/>
      </c>
      <c r="AF31" s="210" t="str">
        <f t="shared" si="7"/>
        <v/>
      </c>
      <c r="AG31" s="219" t="str">
        <f t="shared" si="8"/>
        <v/>
      </c>
      <c r="AH31" s="207" t="str">
        <f t="shared" si="9"/>
        <v/>
      </c>
    </row>
    <row r="32" spans="1:34" s="167" customFormat="1" ht="12.75" customHeight="1">
      <c r="A32" s="181">
        <v>25</v>
      </c>
      <c r="B32" s="177"/>
      <c r="C32" s="182"/>
      <c r="D32" s="179"/>
      <c r="E32" s="180" t="str">
        <f t="shared" si="10"/>
        <v/>
      </c>
      <c r="F32" s="179"/>
      <c r="G32" s="180" t="str">
        <f t="shared" si="11"/>
        <v/>
      </c>
      <c r="H32" s="179"/>
      <c r="I32" s="180" t="str">
        <f t="shared" si="12"/>
        <v/>
      </c>
      <c r="J32" s="179"/>
      <c r="K32" s="180" t="str">
        <f t="shared" si="13"/>
        <v/>
      </c>
      <c r="L32" s="179"/>
      <c r="M32" s="180" t="str">
        <f t="shared" si="14"/>
        <v/>
      </c>
      <c r="N32" s="179"/>
      <c r="O32" s="180" t="str">
        <f t="shared" si="15"/>
        <v/>
      </c>
      <c r="P32" s="179"/>
      <c r="Q32" s="192" t="str">
        <f t="shared" si="0"/>
        <v/>
      </c>
      <c r="R32" s="193"/>
      <c r="S32" s="179"/>
      <c r="T32" s="192" t="str">
        <f t="shared" si="16"/>
        <v/>
      </c>
      <c r="U32" s="193"/>
      <c r="V32" s="179"/>
      <c r="W32" s="192" t="str">
        <f t="shared" si="17"/>
        <v/>
      </c>
      <c r="X32" s="194"/>
      <c r="Y32" s="205" t="str">
        <f t="shared" si="1"/>
        <v/>
      </c>
      <c r="Z32" s="206" t="str">
        <f t="shared" si="2"/>
        <v/>
      </c>
      <c r="AA32" s="206" t="str">
        <f t="shared" si="3"/>
        <v/>
      </c>
      <c r="AB32" s="206" t="str">
        <f t="shared" si="4"/>
        <v/>
      </c>
      <c r="AC32" s="207" t="str">
        <f t="shared" si="5"/>
        <v/>
      </c>
      <c r="AD32" s="208" t="str">
        <f t="shared" si="6"/>
        <v/>
      </c>
      <c r="AE32" s="209" t="str">
        <f t="shared" si="18"/>
        <v/>
      </c>
      <c r="AF32" s="210" t="str">
        <f t="shared" si="7"/>
        <v/>
      </c>
      <c r="AG32" s="219" t="str">
        <f t="shared" si="8"/>
        <v/>
      </c>
      <c r="AH32" s="207" t="str">
        <f t="shared" si="9"/>
        <v/>
      </c>
    </row>
    <row r="33" spans="1:34" s="167" customFormat="1" ht="12.75" customHeight="1">
      <c r="A33" s="181">
        <v>26</v>
      </c>
      <c r="B33" s="177"/>
      <c r="C33" s="182"/>
      <c r="D33" s="179"/>
      <c r="E33" s="180" t="str">
        <f t="shared" si="10"/>
        <v/>
      </c>
      <c r="F33" s="179"/>
      <c r="G33" s="180" t="str">
        <f t="shared" si="11"/>
        <v/>
      </c>
      <c r="H33" s="179"/>
      <c r="I33" s="180" t="str">
        <f t="shared" si="12"/>
        <v/>
      </c>
      <c r="J33" s="179"/>
      <c r="K33" s="180" t="str">
        <f t="shared" si="13"/>
        <v/>
      </c>
      <c r="L33" s="179"/>
      <c r="M33" s="180" t="str">
        <f t="shared" si="14"/>
        <v/>
      </c>
      <c r="N33" s="179"/>
      <c r="O33" s="180" t="str">
        <f t="shared" si="15"/>
        <v/>
      </c>
      <c r="P33" s="179"/>
      <c r="Q33" s="192" t="str">
        <f t="shared" si="0"/>
        <v/>
      </c>
      <c r="R33" s="193"/>
      <c r="S33" s="179"/>
      <c r="T33" s="192" t="str">
        <f t="shared" si="16"/>
        <v/>
      </c>
      <c r="U33" s="193"/>
      <c r="V33" s="179"/>
      <c r="W33" s="192" t="str">
        <f t="shared" si="17"/>
        <v/>
      </c>
      <c r="X33" s="194"/>
      <c r="Y33" s="205" t="str">
        <f t="shared" si="1"/>
        <v/>
      </c>
      <c r="Z33" s="206" t="str">
        <f t="shared" si="2"/>
        <v/>
      </c>
      <c r="AA33" s="206" t="str">
        <f t="shared" si="3"/>
        <v/>
      </c>
      <c r="AB33" s="206" t="str">
        <f t="shared" si="4"/>
        <v/>
      </c>
      <c r="AC33" s="207" t="str">
        <f t="shared" si="5"/>
        <v/>
      </c>
      <c r="AD33" s="208" t="str">
        <f t="shared" si="6"/>
        <v/>
      </c>
      <c r="AE33" s="209" t="str">
        <f t="shared" si="18"/>
        <v/>
      </c>
      <c r="AF33" s="210" t="str">
        <f t="shared" si="7"/>
        <v/>
      </c>
      <c r="AG33" s="219" t="str">
        <f t="shared" si="8"/>
        <v/>
      </c>
      <c r="AH33" s="207" t="str">
        <f t="shared" si="9"/>
        <v/>
      </c>
    </row>
    <row r="34" spans="1:34" s="167" customFormat="1" ht="12.75" customHeight="1">
      <c r="A34" s="181">
        <v>27</v>
      </c>
      <c r="B34" s="177"/>
      <c r="C34" s="182"/>
      <c r="D34" s="179"/>
      <c r="E34" s="180" t="str">
        <f t="shared" si="10"/>
        <v/>
      </c>
      <c r="F34" s="179"/>
      <c r="G34" s="180" t="str">
        <f t="shared" si="11"/>
        <v/>
      </c>
      <c r="H34" s="179"/>
      <c r="I34" s="180" t="str">
        <f t="shared" si="12"/>
        <v/>
      </c>
      <c r="J34" s="179"/>
      <c r="K34" s="180" t="str">
        <f t="shared" si="13"/>
        <v/>
      </c>
      <c r="L34" s="179"/>
      <c r="M34" s="180" t="str">
        <f t="shared" si="14"/>
        <v/>
      </c>
      <c r="N34" s="179"/>
      <c r="O34" s="180" t="str">
        <f t="shared" si="15"/>
        <v/>
      </c>
      <c r="P34" s="179"/>
      <c r="Q34" s="192" t="str">
        <f t="shared" si="0"/>
        <v/>
      </c>
      <c r="R34" s="193"/>
      <c r="S34" s="179"/>
      <c r="T34" s="192" t="str">
        <f t="shared" si="16"/>
        <v/>
      </c>
      <c r="U34" s="193"/>
      <c r="V34" s="179"/>
      <c r="W34" s="192" t="str">
        <f t="shared" si="17"/>
        <v/>
      </c>
      <c r="X34" s="194"/>
      <c r="Y34" s="205" t="str">
        <f t="shared" si="1"/>
        <v/>
      </c>
      <c r="Z34" s="206" t="str">
        <f t="shared" si="2"/>
        <v/>
      </c>
      <c r="AA34" s="206" t="str">
        <f t="shared" si="3"/>
        <v/>
      </c>
      <c r="AB34" s="206" t="str">
        <f t="shared" si="4"/>
        <v/>
      </c>
      <c r="AC34" s="207" t="str">
        <f t="shared" si="5"/>
        <v/>
      </c>
      <c r="AD34" s="208" t="str">
        <f t="shared" si="6"/>
        <v/>
      </c>
      <c r="AE34" s="209" t="str">
        <f t="shared" si="18"/>
        <v/>
      </c>
      <c r="AF34" s="210" t="str">
        <f t="shared" si="7"/>
        <v/>
      </c>
      <c r="AG34" s="219" t="str">
        <f t="shared" si="8"/>
        <v/>
      </c>
      <c r="AH34" s="207" t="str">
        <f t="shared" si="9"/>
        <v/>
      </c>
    </row>
    <row r="35" spans="1:34" s="167" customFormat="1" ht="12.75" customHeight="1">
      <c r="A35" s="181">
        <v>28</v>
      </c>
      <c r="B35" s="177"/>
      <c r="C35" s="182"/>
      <c r="D35" s="179"/>
      <c r="E35" s="180" t="str">
        <f t="shared" si="10"/>
        <v/>
      </c>
      <c r="F35" s="179"/>
      <c r="G35" s="180" t="str">
        <f t="shared" si="11"/>
        <v/>
      </c>
      <c r="H35" s="179"/>
      <c r="I35" s="180" t="str">
        <f t="shared" si="12"/>
        <v/>
      </c>
      <c r="J35" s="179"/>
      <c r="K35" s="180" t="str">
        <f t="shared" si="13"/>
        <v/>
      </c>
      <c r="L35" s="179"/>
      <c r="M35" s="180" t="str">
        <f t="shared" si="14"/>
        <v/>
      </c>
      <c r="N35" s="179"/>
      <c r="O35" s="180" t="str">
        <f t="shared" si="15"/>
        <v/>
      </c>
      <c r="P35" s="179"/>
      <c r="Q35" s="192" t="str">
        <f t="shared" si="0"/>
        <v/>
      </c>
      <c r="R35" s="193"/>
      <c r="S35" s="179"/>
      <c r="T35" s="192" t="str">
        <f t="shared" si="16"/>
        <v/>
      </c>
      <c r="U35" s="193"/>
      <c r="V35" s="179"/>
      <c r="W35" s="192" t="str">
        <f t="shared" si="17"/>
        <v/>
      </c>
      <c r="X35" s="194"/>
      <c r="Y35" s="205" t="str">
        <f t="shared" si="1"/>
        <v/>
      </c>
      <c r="Z35" s="206" t="str">
        <f t="shared" si="2"/>
        <v/>
      </c>
      <c r="AA35" s="206" t="str">
        <f t="shared" si="3"/>
        <v/>
      </c>
      <c r="AB35" s="206" t="str">
        <f t="shared" si="4"/>
        <v/>
      </c>
      <c r="AC35" s="207" t="str">
        <f t="shared" si="5"/>
        <v/>
      </c>
      <c r="AD35" s="208" t="str">
        <f t="shared" si="6"/>
        <v/>
      </c>
      <c r="AE35" s="209" t="str">
        <f t="shared" si="18"/>
        <v/>
      </c>
      <c r="AF35" s="210" t="str">
        <f t="shared" si="7"/>
        <v/>
      </c>
      <c r="AG35" s="219" t="str">
        <f t="shared" si="8"/>
        <v/>
      </c>
      <c r="AH35" s="207" t="str">
        <f t="shared" si="9"/>
        <v/>
      </c>
    </row>
    <row r="36" spans="1:34" s="167" customFormat="1" ht="12.75" customHeight="1">
      <c r="A36" s="181">
        <v>29</v>
      </c>
      <c r="B36" s="177"/>
      <c r="C36" s="182"/>
      <c r="D36" s="179"/>
      <c r="E36" s="180" t="str">
        <f t="shared" si="10"/>
        <v/>
      </c>
      <c r="F36" s="179"/>
      <c r="G36" s="180" t="str">
        <f t="shared" si="11"/>
        <v/>
      </c>
      <c r="H36" s="179"/>
      <c r="I36" s="180" t="str">
        <f t="shared" si="12"/>
        <v/>
      </c>
      <c r="J36" s="179"/>
      <c r="K36" s="180" t="str">
        <f t="shared" si="13"/>
        <v/>
      </c>
      <c r="L36" s="179"/>
      <c r="M36" s="180" t="str">
        <f t="shared" si="14"/>
        <v/>
      </c>
      <c r="N36" s="179"/>
      <c r="O36" s="180" t="str">
        <f t="shared" si="15"/>
        <v/>
      </c>
      <c r="P36" s="179"/>
      <c r="Q36" s="192" t="str">
        <f t="shared" si="0"/>
        <v/>
      </c>
      <c r="R36" s="193"/>
      <c r="S36" s="179"/>
      <c r="T36" s="192" t="str">
        <f t="shared" si="16"/>
        <v/>
      </c>
      <c r="U36" s="193"/>
      <c r="V36" s="179"/>
      <c r="W36" s="192" t="str">
        <f t="shared" si="17"/>
        <v/>
      </c>
      <c r="X36" s="194"/>
      <c r="Y36" s="205" t="str">
        <f t="shared" si="1"/>
        <v/>
      </c>
      <c r="Z36" s="206" t="str">
        <f t="shared" si="2"/>
        <v/>
      </c>
      <c r="AA36" s="206" t="str">
        <f t="shared" si="3"/>
        <v/>
      </c>
      <c r="AB36" s="206" t="str">
        <f t="shared" si="4"/>
        <v/>
      </c>
      <c r="AC36" s="207" t="str">
        <f t="shared" si="5"/>
        <v/>
      </c>
      <c r="AD36" s="208" t="str">
        <f t="shared" si="6"/>
        <v/>
      </c>
      <c r="AE36" s="209" t="str">
        <f t="shared" si="18"/>
        <v/>
      </c>
      <c r="AF36" s="210" t="str">
        <f t="shared" si="7"/>
        <v/>
      </c>
      <c r="AG36" s="219" t="str">
        <f t="shared" si="8"/>
        <v/>
      </c>
      <c r="AH36" s="207" t="str">
        <f t="shared" si="9"/>
        <v/>
      </c>
    </row>
    <row r="37" spans="1:34" s="167" customFormat="1" ht="12.75" customHeight="1">
      <c r="A37" s="181">
        <v>30</v>
      </c>
      <c r="B37" s="177"/>
      <c r="C37" s="182"/>
      <c r="D37" s="179"/>
      <c r="E37" s="180" t="str">
        <f t="shared" si="10"/>
        <v/>
      </c>
      <c r="F37" s="179"/>
      <c r="G37" s="180" t="str">
        <f t="shared" si="11"/>
        <v/>
      </c>
      <c r="H37" s="179"/>
      <c r="I37" s="180" t="str">
        <f t="shared" si="12"/>
        <v/>
      </c>
      <c r="J37" s="179"/>
      <c r="K37" s="180" t="str">
        <f t="shared" si="13"/>
        <v/>
      </c>
      <c r="L37" s="179"/>
      <c r="M37" s="180" t="str">
        <f t="shared" si="14"/>
        <v/>
      </c>
      <c r="N37" s="179"/>
      <c r="O37" s="180" t="str">
        <f t="shared" si="15"/>
        <v/>
      </c>
      <c r="P37" s="179"/>
      <c r="Q37" s="192" t="str">
        <f t="shared" si="0"/>
        <v/>
      </c>
      <c r="R37" s="193"/>
      <c r="S37" s="179"/>
      <c r="T37" s="192" t="str">
        <f t="shared" si="16"/>
        <v/>
      </c>
      <c r="U37" s="193"/>
      <c r="V37" s="179"/>
      <c r="W37" s="192" t="str">
        <f t="shared" si="17"/>
        <v/>
      </c>
      <c r="X37" s="194"/>
      <c r="Y37" s="205" t="str">
        <f t="shared" si="1"/>
        <v/>
      </c>
      <c r="Z37" s="206" t="str">
        <f t="shared" si="2"/>
        <v/>
      </c>
      <c r="AA37" s="206" t="str">
        <f t="shared" si="3"/>
        <v/>
      </c>
      <c r="AB37" s="206" t="str">
        <f t="shared" si="4"/>
        <v/>
      </c>
      <c r="AC37" s="207" t="str">
        <f t="shared" si="5"/>
        <v/>
      </c>
      <c r="AD37" s="208" t="str">
        <f t="shared" si="6"/>
        <v/>
      </c>
      <c r="AE37" s="209" t="str">
        <f t="shared" si="18"/>
        <v/>
      </c>
      <c r="AF37" s="210" t="str">
        <f t="shared" si="7"/>
        <v/>
      </c>
      <c r="AG37" s="219" t="str">
        <f t="shared" si="8"/>
        <v/>
      </c>
      <c r="AH37" s="207" t="str">
        <f t="shared" si="9"/>
        <v/>
      </c>
    </row>
    <row r="38" spans="1:34" s="167" customFormat="1" ht="12.75" customHeight="1">
      <c r="A38" s="181">
        <v>31</v>
      </c>
      <c r="B38" s="177"/>
      <c r="C38" s="182"/>
      <c r="D38" s="179"/>
      <c r="E38" s="180" t="str">
        <f t="shared" si="10"/>
        <v/>
      </c>
      <c r="F38" s="179"/>
      <c r="G38" s="180" t="str">
        <f t="shared" si="11"/>
        <v/>
      </c>
      <c r="H38" s="179"/>
      <c r="I38" s="180" t="str">
        <f t="shared" si="12"/>
        <v/>
      </c>
      <c r="J38" s="179"/>
      <c r="K38" s="180" t="str">
        <f t="shared" si="13"/>
        <v/>
      </c>
      <c r="L38" s="179"/>
      <c r="M38" s="180" t="str">
        <f t="shared" si="14"/>
        <v/>
      </c>
      <c r="N38" s="179"/>
      <c r="O38" s="180" t="str">
        <f t="shared" si="15"/>
        <v/>
      </c>
      <c r="P38" s="179"/>
      <c r="Q38" s="192" t="str">
        <f t="shared" si="0"/>
        <v/>
      </c>
      <c r="R38" s="193"/>
      <c r="S38" s="179"/>
      <c r="T38" s="192" t="str">
        <f t="shared" si="16"/>
        <v/>
      </c>
      <c r="U38" s="193"/>
      <c r="V38" s="179"/>
      <c r="W38" s="192" t="str">
        <f t="shared" si="17"/>
        <v/>
      </c>
      <c r="X38" s="194"/>
      <c r="Y38" s="205" t="str">
        <f t="shared" si="1"/>
        <v/>
      </c>
      <c r="Z38" s="206" t="str">
        <f t="shared" si="2"/>
        <v/>
      </c>
      <c r="AA38" s="206" t="str">
        <f t="shared" si="3"/>
        <v/>
      </c>
      <c r="AB38" s="206" t="str">
        <f t="shared" si="4"/>
        <v/>
      </c>
      <c r="AC38" s="207" t="str">
        <f t="shared" si="5"/>
        <v/>
      </c>
      <c r="AD38" s="208" t="str">
        <f t="shared" si="6"/>
        <v/>
      </c>
      <c r="AE38" s="209" t="str">
        <f t="shared" si="18"/>
        <v/>
      </c>
      <c r="AF38" s="210" t="str">
        <f t="shared" si="7"/>
        <v/>
      </c>
      <c r="AG38" s="219" t="str">
        <f t="shared" si="8"/>
        <v/>
      </c>
      <c r="AH38" s="207" t="str">
        <f t="shared" si="9"/>
        <v/>
      </c>
    </row>
    <row r="39" spans="1:34" s="167" customFormat="1" ht="12.75" customHeight="1">
      <c r="A39" s="181">
        <v>32</v>
      </c>
      <c r="B39" s="177"/>
      <c r="C39" s="182"/>
      <c r="D39" s="179"/>
      <c r="E39" s="180" t="str">
        <f t="shared" si="10"/>
        <v/>
      </c>
      <c r="F39" s="179"/>
      <c r="G39" s="180" t="str">
        <f t="shared" si="11"/>
        <v/>
      </c>
      <c r="H39" s="179"/>
      <c r="I39" s="180" t="str">
        <f t="shared" si="12"/>
        <v/>
      </c>
      <c r="J39" s="179"/>
      <c r="K39" s="180" t="str">
        <f t="shared" si="13"/>
        <v/>
      </c>
      <c r="L39" s="179"/>
      <c r="M39" s="180" t="str">
        <f t="shared" si="14"/>
        <v/>
      </c>
      <c r="N39" s="179"/>
      <c r="O39" s="180" t="str">
        <f t="shared" si="15"/>
        <v/>
      </c>
      <c r="P39" s="179"/>
      <c r="Q39" s="192" t="str">
        <f t="shared" si="0"/>
        <v/>
      </c>
      <c r="R39" s="193"/>
      <c r="S39" s="179"/>
      <c r="T39" s="192" t="str">
        <f t="shared" si="16"/>
        <v/>
      </c>
      <c r="U39" s="193"/>
      <c r="V39" s="179"/>
      <c r="W39" s="192" t="str">
        <f t="shared" si="17"/>
        <v/>
      </c>
      <c r="X39" s="194"/>
      <c r="Y39" s="205" t="str">
        <f t="shared" si="1"/>
        <v/>
      </c>
      <c r="Z39" s="206" t="str">
        <f t="shared" si="2"/>
        <v/>
      </c>
      <c r="AA39" s="206" t="str">
        <f t="shared" si="3"/>
        <v/>
      </c>
      <c r="AB39" s="206" t="str">
        <f t="shared" si="4"/>
        <v/>
      </c>
      <c r="AC39" s="207" t="str">
        <f t="shared" si="5"/>
        <v/>
      </c>
      <c r="AD39" s="208" t="str">
        <f t="shared" si="6"/>
        <v/>
      </c>
      <c r="AE39" s="209" t="str">
        <f t="shared" si="18"/>
        <v/>
      </c>
      <c r="AF39" s="210" t="str">
        <f t="shared" si="7"/>
        <v/>
      </c>
      <c r="AG39" s="219" t="str">
        <f t="shared" si="8"/>
        <v/>
      </c>
      <c r="AH39" s="207" t="str">
        <f t="shared" si="9"/>
        <v/>
      </c>
    </row>
    <row r="40" spans="1:34" s="167" customFormat="1" ht="12.75" customHeight="1">
      <c r="A40" s="181">
        <v>33</v>
      </c>
      <c r="B40" s="177"/>
      <c r="C40" s="182"/>
      <c r="D40" s="179"/>
      <c r="E40" s="180" t="str">
        <f t="shared" si="10"/>
        <v/>
      </c>
      <c r="F40" s="179"/>
      <c r="G40" s="180" t="str">
        <f t="shared" si="11"/>
        <v/>
      </c>
      <c r="H40" s="179"/>
      <c r="I40" s="180" t="str">
        <f t="shared" si="12"/>
        <v/>
      </c>
      <c r="J40" s="179"/>
      <c r="K40" s="180" t="str">
        <f t="shared" si="13"/>
        <v/>
      </c>
      <c r="L40" s="179"/>
      <c r="M40" s="180" t="str">
        <f t="shared" si="14"/>
        <v/>
      </c>
      <c r="N40" s="179"/>
      <c r="O40" s="180" t="str">
        <f t="shared" si="15"/>
        <v/>
      </c>
      <c r="P40" s="179"/>
      <c r="Q40" s="192" t="str">
        <f t="shared" si="0"/>
        <v/>
      </c>
      <c r="R40" s="193"/>
      <c r="S40" s="179"/>
      <c r="T40" s="192" t="str">
        <f t="shared" si="16"/>
        <v/>
      </c>
      <c r="U40" s="193"/>
      <c r="V40" s="179"/>
      <c r="W40" s="192" t="str">
        <f t="shared" si="17"/>
        <v/>
      </c>
      <c r="X40" s="194"/>
      <c r="Y40" s="205" t="str">
        <f t="shared" si="1"/>
        <v/>
      </c>
      <c r="Z40" s="206" t="str">
        <f t="shared" si="2"/>
        <v/>
      </c>
      <c r="AA40" s="206" t="str">
        <f t="shared" si="3"/>
        <v/>
      </c>
      <c r="AB40" s="206" t="str">
        <f t="shared" si="4"/>
        <v/>
      </c>
      <c r="AC40" s="207" t="str">
        <f t="shared" si="5"/>
        <v/>
      </c>
      <c r="AD40" s="208" t="str">
        <f t="shared" si="6"/>
        <v/>
      </c>
      <c r="AE40" s="209" t="str">
        <f t="shared" si="18"/>
        <v/>
      </c>
      <c r="AF40" s="210" t="str">
        <f t="shared" si="7"/>
        <v/>
      </c>
      <c r="AG40" s="219" t="str">
        <f t="shared" si="8"/>
        <v/>
      </c>
      <c r="AH40" s="207" t="str">
        <f t="shared" si="9"/>
        <v/>
      </c>
    </row>
    <row r="41" spans="1:34" s="167" customFormat="1" ht="12.75" customHeight="1">
      <c r="A41" s="181">
        <v>34</v>
      </c>
      <c r="B41" s="177"/>
      <c r="C41" s="182"/>
      <c r="D41" s="179"/>
      <c r="E41" s="180" t="str">
        <f t="shared" si="10"/>
        <v/>
      </c>
      <c r="F41" s="179"/>
      <c r="G41" s="180" t="str">
        <f t="shared" si="11"/>
        <v/>
      </c>
      <c r="H41" s="179"/>
      <c r="I41" s="180" t="str">
        <f t="shared" si="12"/>
        <v/>
      </c>
      <c r="J41" s="179"/>
      <c r="K41" s="180" t="str">
        <f t="shared" si="13"/>
        <v/>
      </c>
      <c r="L41" s="179"/>
      <c r="M41" s="180" t="str">
        <f t="shared" si="14"/>
        <v/>
      </c>
      <c r="N41" s="179"/>
      <c r="O41" s="180" t="str">
        <f t="shared" si="15"/>
        <v/>
      </c>
      <c r="P41" s="179"/>
      <c r="Q41" s="192" t="str">
        <f t="shared" si="0"/>
        <v/>
      </c>
      <c r="R41" s="193"/>
      <c r="S41" s="179"/>
      <c r="T41" s="192" t="str">
        <f t="shared" si="16"/>
        <v/>
      </c>
      <c r="U41" s="193"/>
      <c r="V41" s="179"/>
      <c r="W41" s="192" t="str">
        <f t="shared" si="17"/>
        <v/>
      </c>
      <c r="X41" s="194"/>
      <c r="Y41" s="205" t="str">
        <f t="shared" si="1"/>
        <v/>
      </c>
      <c r="Z41" s="206" t="str">
        <f t="shared" si="2"/>
        <v/>
      </c>
      <c r="AA41" s="206" t="str">
        <f t="shared" si="3"/>
        <v/>
      </c>
      <c r="AB41" s="206" t="str">
        <f t="shared" si="4"/>
        <v/>
      </c>
      <c r="AC41" s="207" t="str">
        <f t="shared" si="5"/>
        <v/>
      </c>
      <c r="AD41" s="208" t="str">
        <f t="shared" si="6"/>
        <v/>
      </c>
      <c r="AE41" s="209" t="str">
        <f t="shared" si="18"/>
        <v/>
      </c>
      <c r="AF41" s="210" t="str">
        <f t="shared" si="7"/>
        <v/>
      </c>
      <c r="AG41" s="219" t="str">
        <f t="shared" si="8"/>
        <v/>
      </c>
      <c r="AH41" s="207" t="str">
        <f t="shared" si="9"/>
        <v/>
      </c>
    </row>
    <row r="42" spans="1:34" s="167" customFormat="1" ht="12.75" customHeight="1">
      <c r="A42" s="181">
        <v>35</v>
      </c>
      <c r="B42" s="177"/>
      <c r="C42" s="182"/>
      <c r="D42" s="179"/>
      <c r="E42" s="180" t="str">
        <f t="shared" si="10"/>
        <v/>
      </c>
      <c r="F42" s="179"/>
      <c r="G42" s="180" t="str">
        <f t="shared" si="11"/>
        <v/>
      </c>
      <c r="H42" s="179"/>
      <c r="I42" s="180" t="str">
        <f t="shared" si="12"/>
        <v/>
      </c>
      <c r="J42" s="179"/>
      <c r="K42" s="180" t="str">
        <f t="shared" si="13"/>
        <v/>
      </c>
      <c r="L42" s="179"/>
      <c r="M42" s="180" t="str">
        <f t="shared" si="14"/>
        <v/>
      </c>
      <c r="N42" s="179"/>
      <c r="O42" s="180" t="str">
        <f t="shared" si="15"/>
        <v/>
      </c>
      <c r="P42" s="179"/>
      <c r="Q42" s="192" t="str">
        <f t="shared" si="0"/>
        <v/>
      </c>
      <c r="R42" s="193"/>
      <c r="S42" s="179"/>
      <c r="T42" s="192" t="str">
        <f t="shared" si="16"/>
        <v/>
      </c>
      <c r="U42" s="193"/>
      <c r="V42" s="179"/>
      <c r="W42" s="192" t="str">
        <f t="shared" si="17"/>
        <v/>
      </c>
      <c r="X42" s="194"/>
      <c r="Y42" s="205" t="str">
        <f t="shared" si="1"/>
        <v/>
      </c>
      <c r="Z42" s="206" t="str">
        <f t="shared" si="2"/>
        <v/>
      </c>
      <c r="AA42" s="206" t="str">
        <f t="shared" si="3"/>
        <v/>
      </c>
      <c r="AB42" s="206" t="str">
        <f t="shared" si="4"/>
        <v/>
      </c>
      <c r="AC42" s="207" t="str">
        <f t="shared" si="5"/>
        <v/>
      </c>
      <c r="AD42" s="208" t="str">
        <f t="shared" si="6"/>
        <v/>
      </c>
      <c r="AE42" s="209" t="str">
        <f t="shared" si="18"/>
        <v/>
      </c>
      <c r="AF42" s="210" t="str">
        <f t="shared" si="7"/>
        <v/>
      </c>
      <c r="AG42" s="219" t="str">
        <f t="shared" si="8"/>
        <v/>
      </c>
      <c r="AH42" s="207" t="str">
        <f t="shared" si="9"/>
        <v/>
      </c>
    </row>
    <row r="43" spans="1:34" s="167" customFormat="1" ht="12.75" customHeight="1">
      <c r="A43" s="181">
        <v>36</v>
      </c>
      <c r="B43" s="177"/>
      <c r="C43" s="182"/>
      <c r="D43" s="179"/>
      <c r="E43" s="180" t="str">
        <f t="shared" si="10"/>
        <v/>
      </c>
      <c r="F43" s="179"/>
      <c r="G43" s="180" t="str">
        <f t="shared" si="11"/>
        <v/>
      </c>
      <c r="H43" s="179"/>
      <c r="I43" s="180" t="str">
        <f t="shared" si="12"/>
        <v/>
      </c>
      <c r="J43" s="179"/>
      <c r="K43" s="180" t="str">
        <f t="shared" si="13"/>
        <v/>
      </c>
      <c r="L43" s="179"/>
      <c r="M43" s="180" t="str">
        <f t="shared" si="14"/>
        <v/>
      </c>
      <c r="N43" s="179"/>
      <c r="O43" s="180" t="str">
        <f t="shared" si="15"/>
        <v/>
      </c>
      <c r="P43" s="179"/>
      <c r="Q43" s="192" t="str">
        <f t="shared" si="0"/>
        <v/>
      </c>
      <c r="R43" s="193"/>
      <c r="S43" s="179"/>
      <c r="T43" s="192" t="str">
        <f t="shared" si="16"/>
        <v/>
      </c>
      <c r="U43" s="193"/>
      <c r="V43" s="179"/>
      <c r="W43" s="192" t="str">
        <f t="shared" si="17"/>
        <v/>
      </c>
      <c r="X43" s="194"/>
      <c r="Y43" s="205" t="str">
        <f t="shared" si="1"/>
        <v/>
      </c>
      <c r="Z43" s="206" t="str">
        <f t="shared" si="2"/>
        <v/>
      </c>
      <c r="AA43" s="206" t="str">
        <f t="shared" si="3"/>
        <v/>
      </c>
      <c r="AB43" s="206" t="str">
        <f t="shared" si="4"/>
        <v/>
      </c>
      <c r="AC43" s="207" t="str">
        <f t="shared" si="5"/>
        <v/>
      </c>
      <c r="AD43" s="208" t="str">
        <f t="shared" si="6"/>
        <v/>
      </c>
      <c r="AE43" s="209" t="str">
        <f t="shared" si="18"/>
        <v/>
      </c>
      <c r="AF43" s="210" t="str">
        <f t="shared" si="7"/>
        <v/>
      </c>
      <c r="AG43" s="219" t="str">
        <f t="shared" si="8"/>
        <v/>
      </c>
      <c r="AH43" s="207" t="str">
        <f t="shared" si="9"/>
        <v/>
      </c>
    </row>
    <row r="44" spans="1:34" s="167" customFormat="1" ht="12.75" customHeight="1">
      <c r="A44" s="181">
        <v>37</v>
      </c>
      <c r="B44" s="177"/>
      <c r="C44" s="182"/>
      <c r="D44" s="179"/>
      <c r="E44" s="180" t="str">
        <f t="shared" si="10"/>
        <v/>
      </c>
      <c r="F44" s="179"/>
      <c r="G44" s="180" t="str">
        <f t="shared" si="11"/>
        <v/>
      </c>
      <c r="H44" s="179"/>
      <c r="I44" s="180" t="str">
        <f t="shared" si="12"/>
        <v/>
      </c>
      <c r="J44" s="179"/>
      <c r="K44" s="180" t="str">
        <f t="shared" si="13"/>
        <v/>
      </c>
      <c r="L44" s="179"/>
      <c r="M44" s="180" t="str">
        <f t="shared" si="14"/>
        <v/>
      </c>
      <c r="N44" s="179"/>
      <c r="O44" s="180" t="str">
        <f t="shared" si="15"/>
        <v/>
      </c>
      <c r="P44" s="179"/>
      <c r="Q44" s="192" t="str">
        <f t="shared" si="0"/>
        <v/>
      </c>
      <c r="R44" s="193"/>
      <c r="S44" s="179"/>
      <c r="T44" s="192" t="str">
        <f t="shared" si="16"/>
        <v/>
      </c>
      <c r="U44" s="193"/>
      <c r="V44" s="179"/>
      <c r="W44" s="192" t="str">
        <f t="shared" si="17"/>
        <v/>
      </c>
      <c r="X44" s="194"/>
      <c r="Y44" s="205" t="str">
        <f t="shared" si="1"/>
        <v/>
      </c>
      <c r="Z44" s="206" t="str">
        <f t="shared" si="2"/>
        <v/>
      </c>
      <c r="AA44" s="206" t="str">
        <f t="shared" si="3"/>
        <v/>
      </c>
      <c r="AB44" s="206" t="str">
        <f t="shared" si="4"/>
        <v/>
      </c>
      <c r="AC44" s="207" t="str">
        <f t="shared" si="5"/>
        <v/>
      </c>
      <c r="AD44" s="208" t="str">
        <f t="shared" si="6"/>
        <v/>
      </c>
      <c r="AE44" s="209" t="str">
        <f t="shared" si="18"/>
        <v/>
      </c>
      <c r="AF44" s="210" t="str">
        <f t="shared" si="7"/>
        <v/>
      </c>
      <c r="AG44" s="219" t="str">
        <f t="shared" si="8"/>
        <v/>
      </c>
      <c r="AH44" s="207" t="str">
        <f t="shared" si="9"/>
        <v/>
      </c>
    </row>
    <row r="45" spans="1:34" s="167" customFormat="1" ht="12.75" customHeight="1">
      <c r="A45" s="181">
        <v>38</v>
      </c>
      <c r="B45" s="177"/>
      <c r="C45" s="182"/>
      <c r="D45" s="179"/>
      <c r="E45" s="180" t="str">
        <f t="shared" si="10"/>
        <v/>
      </c>
      <c r="F45" s="179"/>
      <c r="G45" s="180" t="str">
        <f t="shared" si="11"/>
        <v/>
      </c>
      <c r="H45" s="179"/>
      <c r="I45" s="180" t="str">
        <f t="shared" si="12"/>
        <v/>
      </c>
      <c r="J45" s="179"/>
      <c r="K45" s="180" t="str">
        <f t="shared" si="13"/>
        <v/>
      </c>
      <c r="L45" s="179"/>
      <c r="M45" s="180" t="str">
        <f t="shared" si="14"/>
        <v/>
      </c>
      <c r="N45" s="179"/>
      <c r="O45" s="180" t="str">
        <f t="shared" si="15"/>
        <v/>
      </c>
      <c r="P45" s="179"/>
      <c r="Q45" s="192" t="str">
        <f t="shared" si="0"/>
        <v/>
      </c>
      <c r="R45" s="193"/>
      <c r="S45" s="179"/>
      <c r="T45" s="192" t="str">
        <f t="shared" si="16"/>
        <v/>
      </c>
      <c r="U45" s="193"/>
      <c r="V45" s="179"/>
      <c r="W45" s="192" t="str">
        <f t="shared" si="17"/>
        <v/>
      </c>
      <c r="X45" s="194"/>
      <c r="Y45" s="205" t="str">
        <f t="shared" si="1"/>
        <v/>
      </c>
      <c r="Z45" s="206" t="str">
        <f t="shared" si="2"/>
        <v/>
      </c>
      <c r="AA45" s="206" t="str">
        <f t="shared" si="3"/>
        <v/>
      </c>
      <c r="AB45" s="206" t="str">
        <f t="shared" si="4"/>
        <v/>
      </c>
      <c r="AC45" s="207" t="str">
        <f t="shared" si="5"/>
        <v/>
      </c>
      <c r="AD45" s="208" t="str">
        <f t="shared" si="6"/>
        <v/>
      </c>
      <c r="AE45" s="209" t="str">
        <f t="shared" si="18"/>
        <v/>
      </c>
      <c r="AF45" s="210" t="str">
        <f t="shared" si="7"/>
        <v/>
      </c>
      <c r="AG45" s="219" t="str">
        <f t="shared" si="8"/>
        <v/>
      </c>
      <c r="AH45" s="207" t="str">
        <f t="shared" si="9"/>
        <v/>
      </c>
    </row>
    <row r="46" spans="1:34" s="167" customFormat="1" ht="12.75" customHeight="1">
      <c r="A46" s="181">
        <v>39</v>
      </c>
      <c r="B46" s="177"/>
      <c r="C46" s="182"/>
      <c r="D46" s="179"/>
      <c r="E46" s="180" t="str">
        <f t="shared" si="10"/>
        <v/>
      </c>
      <c r="F46" s="179"/>
      <c r="G46" s="180" t="str">
        <f t="shared" si="11"/>
        <v/>
      </c>
      <c r="H46" s="179"/>
      <c r="I46" s="180" t="str">
        <f t="shared" si="12"/>
        <v/>
      </c>
      <c r="J46" s="179"/>
      <c r="K46" s="180" t="str">
        <f t="shared" si="13"/>
        <v/>
      </c>
      <c r="L46" s="179"/>
      <c r="M46" s="180" t="str">
        <f t="shared" si="14"/>
        <v/>
      </c>
      <c r="N46" s="179"/>
      <c r="O46" s="180" t="str">
        <f t="shared" si="15"/>
        <v/>
      </c>
      <c r="P46" s="179"/>
      <c r="Q46" s="192" t="str">
        <f t="shared" si="0"/>
        <v/>
      </c>
      <c r="R46" s="193"/>
      <c r="S46" s="179"/>
      <c r="T46" s="192" t="str">
        <f t="shared" si="16"/>
        <v/>
      </c>
      <c r="U46" s="193"/>
      <c r="V46" s="179"/>
      <c r="W46" s="192" t="str">
        <f t="shared" si="17"/>
        <v/>
      </c>
      <c r="X46" s="194"/>
      <c r="Y46" s="205" t="str">
        <f t="shared" si="1"/>
        <v/>
      </c>
      <c r="Z46" s="206" t="str">
        <f t="shared" si="2"/>
        <v/>
      </c>
      <c r="AA46" s="206" t="str">
        <f t="shared" si="3"/>
        <v/>
      </c>
      <c r="AB46" s="206" t="str">
        <f t="shared" si="4"/>
        <v/>
      </c>
      <c r="AC46" s="207" t="str">
        <f t="shared" si="5"/>
        <v/>
      </c>
      <c r="AD46" s="208" t="str">
        <f t="shared" si="6"/>
        <v/>
      </c>
      <c r="AE46" s="209" t="str">
        <f t="shared" si="18"/>
        <v/>
      </c>
      <c r="AF46" s="210" t="str">
        <f t="shared" si="7"/>
        <v/>
      </c>
      <c r="AG46" s="219" t="str">
        <f t="shared" si="8"/>
        <v/>
      </c>
      <c r="AH46" s="207" t="str">
        <f t="shared" si="9"/>
        <v/>
      </c>
    </row>
    <row r="47" spans="1:34" s="167" customFormat="1" ht="12.75" customHeight="1">
      <c r="A47" s="181">
        <v>40</v>
      </c>
      <c r="B47" s="177"/>
      <c r="C47" s="182"/>
      <c r="D47" s="179"/>
      <c r="E47" s="180" t="str">
        <f t="shared" si="10"/>
        <v/>
      </c>
      <c r="F47" s="179"/>
      <c r="G47" s="180" t="str">
        <f t="shared" si="11"/>
        <v/>
      </c>
      <c r="H47" s="179"/>
      <c r="I47" s="180" t="str">
        <f t="shared" si="12"/>
        <v/>
      </c>
      <c r="J47" s="179"/>
      <c r="K47" s="180" t="str">
        <f t="shared" si="13"/>
        <v/>
      </c>
      <c r="L47" s="179"/>
      <c r="M47" s="180" t="str">
        <f t="shared" si="14"/>
        <v/>
      </c>
      <c r="N47" s="179"/>
      <c r="O47" s="180" t="str">
        <f t="shared" si="15"/>
        <v/>
      </c>
      <c r="P47" s="179"/>
      <c r="Q47" s="192" t="str">
        <f t="shared" si="0"/>
        <v/>
      </c>
      <c r="R47" s="193"/>
      <c r="S47" s="179"/>
      <c r="T47" s="192" t="str">
        <f t="shared" si="16"/>
        <v/>
      </c>
      <c r="U47" s="193"/>
      <c r="V47" s="179"/>
      <c r="W47" s="192" t="str">
        <f t="shared" si="17"/>
        <v/>
      </c>
      <c r="X47" s="194"/>
      <c r="Y47" s="205" t="str">
        <f t="shared" si="1"/>
        <v/>
      </c>
      <c r="Z47" s="206" t="str">
        <f t="shared" si="2"/>
        <v/>
      </c>
      <c r="AA47" s="206" t="str">
        <f t="shared" si="3"/>
        <v/>
      </c>
      <c r="AB47" s="206" t="str">
        <f t="shared" si="4"/>
        <v/>
      </c>
      <c r="AC47" s="207" t="str">
        <f t="shared" si="5"/>
        <v/>
      </c>
      <c r="AD47" s="208" t="str">
        <f t="shared" si="6"/>
        <v/>
      </c>
      <c r="AE47" s="209" t="str">
        <f t="shared" si="18"/>
        <v/>
      </c>
      <c r="AF47" s="210" t="str">
        <f t="shared" si="7"/>
        <v/>
      </c>
      <c r="AG47" s="219" t="str">
        <f t="shared" si="8"/>
        <v/>
      </c>
      <c r="AH47" s="207" t="str">
        <f t="shared" si="9"/>
        <v/>
      </c>
    </row>
    <row r="48" spans="1:34" s="167" customFormat="1" ht="12.75" customHeight="1">
      <c r="A48" s="181">
        <v>41</v>
      </c>
      <c r="B48" s="177"/>
      <c r="C48" s="182"/>
      <c r="D48" s="179"/>
      <c r="E48" s="180" t="str">
        <f t="shared" si="10"/>
        <v/>
      </c>
      <c r="F48" s="179"/>
      <c r="G48" s="180" t="str">
        <f t="shared" si="11"/>
        <v/>
      </c>
      <c r="H48" s="179"/>
      <c r="I48" s="180" t="str">
        <f t="shared" si="12"/>
        <v/>
      </c>
      <c r="J48" s="179"/>
      <c r="K48" s="180" t="str">
        <f t="shared" si="13"/>
        <v/>
      </c>
      <c r="L48" s="179"/>
      <c r="M48" s="180" t="str">
        <f t="shared" si="14"/>
        <v/>
      </c>
      <c r="N48" s="179"/>
      <c r="O48" s="180" t="str">
        <f t="shared" si="15"/>
        <v/>
      </c>
      <c r="P48" s="179"/>
      <c r="Q48" s="192" t="str">
        <f t="shared" si="0"/>
        <v/>
      </c>
      <c r="R48" s="193"/>
      <c r="S48" s="179"/>
      <c r="T48" s="192" t="str">
        <f t="shared" si="16"/>
        <v/>
      </c>
      <c r="U48" s="193"/>
      <c r="V48" s="179"/>
      <c r="W48" s="192" t="str">
        <f t="shared" si="17"/>
        <v/>
      </c>
      <c r="X48" s="194"/>
      <c r="Y48" s="205" t="str">
        <f t="shared" si="1"/>
        <v/>
      </c>
      <c r="Z48" s="206" t="str">
        <f t="shared" si="2"/>
        <v/>
      </c>
      <c r="AA48" s="206" t="str">
        <f t="shared" si="3"/>
        <v/>
      </c>
      <c r="AB48" s="206" t="str">
        <f t="shared" si="4"/>
        <v/>
      </c>
      <c r="AC48" s="207" t="str">
        <f t="shared" si="5"/>
        <v/>
      </c>
      <c r="AD48" s="208" t="str">
        <f t="shared" si="6"/>
        <v/>
      </c>
      <c r="AE48" s="209" t="str">
        <f t="shared" si="18"/>
        <v/>
      </c>
      <c r="AF48" s="210" t="str">
        <f t="shared" si="7"/>
        <v/>
      </c>
      <c r="AG48" s="219" t="str">
        <f t="shared" si="8"/>
        <v/>
      </c>
      <c r="AH48" s="207" t="str">
        <f t="shared" si="9"/>
        <v/>
      </c>
    </row>
    <row r="49" spans="1:36" s="167" customFormat="1" ht="12.75" customHeight="1">
      <c r="A49" s="181">
        <v>42</v>
      </c>
      <c r="B49" s="177"/>
      <c r="C49" s="182"/>
      <c r="D49" s="179"/>
      <c r="E49" s="180" t="str">
        <f t="shared" si="10"/>
        <v/>
      </c>
      <c r="F49" s="179"/>
      <c r="G49" s="180" t="str">
        <f t="shared" si="11"/>
        <v/>
      </c>
      <c r="H49" s="179"/>
      <c r="I49" s="180" t="str">
        <f t="shared" si="12"/>
        <v/>
      </c>
      <c r="J49" s="179"/>
      <c r="K49" s="180" t="str">
        <f t="shared" si="13"/>
        <v/>
      </c>
      <c r="L49" s="179"/>
      <c r="M49" s="180" t="str">
        <f t="shared" si="14"/>
        <v/>
      </c>
      <c r="N49" s="179"/>
      <c r="O49" s="180" t="str">
        <f t="shared" si="15"/>
        <v/>
      </c>
      <c r="P49" s="179"/>
      <c r="Q49" s="192" t="str">
        <f t="shared" si="0"/>
        <v/>
      </c>
      <c r="R49" s="193"/>
      <c r="S49" s="179"/>
      <c r="T49" s="192" t="str">
        <f t="shared" si="16"/>
        <v/>
      </c>
      <c r="U49" s="193"/>
      <c r="V49" s="179"/>
      <c r="W49" s="192" t="str">
        <f t="shared" si="17"/>
        <v/>
      </c>
      <c r="X49" s="194"/>
      <c r="Y49" s="205" t="str">
        <f t="shared" si="1"/>
        <v/>
      </c>
      <c r="Z49" s="206" t="str">
        <f t="shared" si="2"/>
        <v/>
      </c>
      <c r="AA49" s="206" t="str">
        <f t="shared" si="3"/>
        <v/>
      </c>
      <c r="AB49" s="206" t="str">
        <f t="shared" si="4"/>
        <v/>
      </c>
      <c r="AC49" s="207" t="str">
        <f t="shared" si="5"/>
        <v/>
      </c>
      <c r="AD49" s="208" t="str">
        <f t="shared" si="6"/>
        <v/>
      </c>
      <c r="AE49" s="209" t="str">
        <f t="shared" si="18"/>
        <v/>
      </c>
      <c r="AF49" s="210" t="str">
        <f t="shared" si="7"/>
        <v/>
      </c>
      <c r="AG49" s="219" t="str">
        <f t="shared" si="8"/>
        <v/>
      </c>
      <c r="AH49" s="207" t="str">
        <f t="shared" si="9"/>
        <v/>
      </c>
    </row>
    <row r="50" spans="1:36" s="167" customFormat="1" ht="12.75" customHeight="1">
      <c r="A50" s="181">
        <v>43</v>
      </c>
      <c r="B50" s="177"/>
      <c r="C50" s="182"/>
      <c r="D50" s="179"/>
      <c r="E50" s="180" t="str">
        <f t="shared" si="10"/>
        <v/>
      </c>
      <c r="F50" s="179"/>
      <c r="G50" s="180" t="str">
        <f t="shared" si="11"/>
        <v/>
      </c>
      <c r="H50" s="179"/>
      <c r="I50" s="180" t="str">
        <f t="shared" si="12"/>
        <v/>
      </c>
      <c r="J50" s="179"/>
      <c r="K50" s="180" t="str">
        <f t="shared" si="13"/>
        <v/>
      </c>
      <c r="L50" s="179"/>
      <c r="M50" s="180" t="str">
        <f t="shared" si="14"/>
        <v/>
      </c>
      <c r="N50" s="179"/>
      <c r="O50" s="180" t="str">
        <f t="shared" si="15"/>
        <v/>
      </c>
      <c r="P50" s="179"/>
      <c r="Q50" s="192" t="str">
        <f t="shared" si="0"/>
        <v/>
      </c>
      <c r="R50" s="193"/>
      <c r="S50" s="179"/>
      <c r="T50" s="192" t="str">
        <f t="shared" si="16"/>
        <v/>
      </c>
      <c r="U50" s="193"/>
      <c r="V50" s="179"/>
      <c r="W50" s="192" t="str">
        <f t="shared" si="17"/>
        <v/>
      </c>
      <c r="X50" s="194"/>
      <c r="Y50" s="205" t="str">
        <f t="shared" si="1"/>
        <v/>
      </c>
      <c r="Z50" s="206" t="str">
        <f t="shared" si="2"/>
        <v/>
      </c>
      <c r="AA50" s="206" t="str">
        <f t="shared" si="3"/>
        <v/>
      </c>
      <c r="AB50" s="206" t="str">
        <f t="shared" si="4"/>
        <v/>
      </c>
      <c r="AC50" s="207" t="str">
        <f t="shared" si="5"/>
        <v/>
      </c>
      <c r="AD50" s="208" t="str">
        <f t="shared" si="6"/>
        <v/>
      </c>
      <c r="AE50" s="209" t="str">
        <f t="shared" si="18"/>
        <v/>
      </c>
      <c r="AF50" s="210" t="str">
        <f t="shared" si="7"/>
        <v/>
      </c>
      <c r="AG50" s="219" t="str">
        <f t="shared" si="8"/>
        <v/>
      </c>
      <c r="AH50" s="207" t="str">
        <f t="shared" si="9"/>
        <v/>
      </c>
    </row>
    <row r="51" spans="1:36" s="167" customFormat="1" ht="12.75" customHeight="1">
      <c r="A51" s="181">
        <v>44</v>
      </c>
      <c r="B51" s="177"/>
      <c r="C51" s="182"/>
      <c r="D51" s="179"/>
      <c r="E51" s="180" t="str">
        <f t="shared" si="10"/>
        <v/>
      </c>
      <c r="F51" s="179"/>
      <c r="G51" s="180" t="str">
        <f t="shared" si="11"/>
        <v/>
      </c>
      <c r="H51" s="179"/>
      <c r="I51" s="180" t="str">
        <f t="shared" si="12"/>
        <v/>
      </c>
      <c r="J51" s="179"/>
      <c r="K51" s="180" t="str">
        <f t="shared" si="13"/>
        <v/>
      </c>
      <c r="L51" s="179"/>
      <c r="M51" s="180" t="str">
        <f t="shared" si="14"/>
        <v/>
      </c>
      <c r="N51" s="179"/>
      <c r="O51" s="180" t="str">
        <f t="shared" si="15"/>
        <v/>
      </c>
      <c r="P51" s="179"/>
      <c r="Q51" s="192" t="str">
        <f t="shared" si="0"/>
        <v/>
      </c>
      <c r="R51" s="193"/>
      <c r="S51" s="179"/>
      <c r="T51" s="192" t="str">
        <f t="shared" si="16"/>
        <v/>
      </c>
      <c r="U51" s="193"/>
      <c r="V51" s="179"/>
      <c r="W51" s="192" t="str">
        <f t="shared" si="17"/>
        <v/>
      </c>
      <c r="X51" s="194"/>
      <c r="Y51" s="205" t="str">
        <f t="shared" si="1"/>
        <v/>
      </c>
      <c r="Z51" s="206" t="str">
        <f t="shared" si="2"/>
        <v/>
      </c>
      <c r="AA51" s="206" t="str">
        <f t="shared" si="3"/>
        <v/>
      </c>
      <c r="AB51" s="206" t="str">
        <f t="shared" si="4"/>
        <v/>
      </c>
      <c r="AC51" s="207" t="str">
        <f t="shared" si="5"/>
        <v/>
      </c>
      <c r="AD51" s="208" t="str">
        <f t="shared" si="6"/>
        <v/>
      </c>
      <c r="AE51" s="209" t="str">
        <f t="shared" si="18"/>
        <v/>
      </c>
      <c r="AF51" s="210" t="str">
        <f t="shared" si="7"/>
        <v/>
      </c>
      <c r="AG51" s="219" t="str">
        <f t="shared" si="8"/>
        <v/>
      </c>
      <c r="AH51" s="207" t="str">
        <f t="shared" si="9"/>
        <v/>
      </c>
    </row>
    <row r="52" spans="1:36" s="167" customFormat="1" ht="12.75" customHeight="1">
      <c r="A52" s="181">
        <v>45</v>
      </c>
      <c r="B52" s="177"/>
      <c r="C52" s="182"/>
      <c r="D52" s="179"/>
      <c r="E52" s="180" t="str">
        <f t="shared" si="10"/>
        <v/>
      </c>
      <c r="F52" s="179"/>
      <c r="G52" s="180" t="str">
        <f t="shared" si="11"/>
        <v/>
      </c>
      <c r="H52" s="179"/>
      <c r="I52" s="180" t="str">
        <f t="shared" si="12"/>
        <v/>
      </c>
      <c r="J52" s="179"/>
      <c r="K52" s="180" t="str">
        <f t="shared" si="13"/>
        <v/>
      </c>
      <c r="L52" s="179"/>
      <c r="M52" s="180" t="str">
        <f t="shared" si="14"/>
        <v/>
      </c>
      <c r="N52" s="179"/>
      <c r="O52" s="180" t="str">
        <f t="shared" si="15"/>
        <v/>
      </c>
      <c r="P52" s="179"/>
      <c r="Q52" s="192" t="str">
        <f t="shared" si="0"/>
        <v/>
      </c>
      <c r="R52" s="193"/>
      <c r="S52" s="179"/>
      <c r="T52" s="192" t="str">
        <f t="shared" si="16"/>
        <v/>
      </c>
      <c r="U52" s="193"/>
      <c r="V52" s="179"/>
      <c r="W52" s="192" t="str">
        <f t="shared" si="17"/>
        <v/>
      </c>
      <c r="X52" s="194"/>
      <c r="Y52" s="205" t="str">
        <f t="shared" si="1"/>
        <v/>
      </c>
      <c r="Z52" s="206" t="str">
        <f t="shared" si="2"/>
        <v/>
      </c>
      <c r="AA52" s="206" t="str">
        <f t="shared" si="3"/>
        <v/>
      </c>
      <c r="AB52" s="206" t="str">
        <f t="shared" si="4"/>
        <v/>
      </c>
      <c r="AC52" s="207" t="str">
        <f t="shared" si="5"/>
        <v/>
      </c>
      <c r="AD52" s="208" t="str">
        <f t="shared" si="6"/>
        <v/>
      </c>
      <c r="AE52" s="209" t="str">
        <f t="shared" si="18"/>
        <v/>
      </c>
      <c r="AF52" s="210" t="str">
        <f t="shared" si="7"/>
        <v/>
      </c>
      <c r="AG52" s="219" t="str">
        <f t="shared" si="8"/>
        <v/>
      </c>
      <c r="AH52" s="207" t="str">
        <f t="shared" si="9"/>
        <v/>
      </c>
    </row>
    <row r="53" spans="1:36" s="167" customFormat="1" ht="12.75" customHeight="1">
      <c r="A53" s="181">
        <v>46</v>
      </c>
      <c r="B53" s="177"/>
      <c r="C53" s="182"/>
      <c r="D53" s="179"/>
      <c r="E53" s="180" t="str">
        <f t="shared" si="10"/>
        <v/>
      </c>
      <c r="F53" s="179"/>
      <c r="G53" s="180" t="str">
        <f t="shared" si="11"/>
        <v/>
      </c>
      <c r="H53" s="179"/>
      <c r="I53" s="180" t="str">
        <f t="shared" si="12"/>
        <v/>
      </c>
      <c r="J53" s="179"/>
      <c r="K53" s="180" t="str">
        <f t="shared" si="13"/>
        <v/>
      </c>
      <c r="L53" s="179"/>
      <c r="M53" s="180" t="str">
        <f t="shared" si="14"/>
        <v/>
      </c>
      <c r="N53" s="179"/>
      <c r="O53" s="180" t="str">
        <f t="shared" si="15"/>
        <v/>
      </c>
      <c r="P53" s="179"/>
      <c r="Q53" s="192" t="str">
        <f t="shared" si="0"/>
        <v/>
      </c>
      <c r="R53" s="193"/>
      <c r="S53" s="179"/>
      <c r="T53" s="192" t="str">
        <f t="shared" si="16"/>
        <v/>
      </c>
      <c r="U53" s="193"/>
      <c r="V53" s="179"/>
      <c r="W53" s="192" t="str">
        <f t="shared" si="17"/>
        <v/>
      </c>
      <c r="X53" s="194"/>
      <c r="Y53" s="205" t="str">
        <f t="shared" si="1"/>
        <v/>
      </c>
      <c r="Z53" s="206" t="str">
        <f t="shared" si="2"/>
        <v/>
      </c>
      <c r="AA53" s="206" t="str">
        <f t="shared" si="3"/>
        <v/>
      </c>
      <c r="AB53" s="206" t="str">
        <f t="shared" si="4"/>
        <v/>
      </c>
      <c r="AC53" s="207" t="str">
        <f t="shared" si="5"/>
        <v/>
      </c>
      <c r="AD53" s="208" t="str">
        <f t="shared" si="6"/>
        <v/>
      </c>
      <c r="AE53" s="209" t="str">
        <f t="shared" si="18"/>
        <v/>
      </c>
      <c r="AF53" s="210" t="str">
        <f t="shared" si="7"/>
        <v/>
      </c>
      <c r="AG53" s="219" t="str">
        <f t="shared" si="8"/>
        <v/>
      </c>
      <c r="AH53" s="207" t="str">
        <f t="shared" si="9"/>
        <v/>
      </c>
    </row>
    <row r="54" spans="1:36" s="167" customFormat="1" ht="12.75" customHeight="1">
      <c r="A54" s="181">
        <v>47</v>
      </c>
      <c r="B54" s="177"/>
      <c r="C54" s="182"/>
      <c r="D54" s="179"/>
      <c r="E54" s="180" t="str">
        <f t="shared" si="10"/>
        <v/>
      </c>
      <c r="F54" s="179"/>
      <c r="G54" s="180" t="str">
        <f t="shared" si="11"/>
        <v/>
      </c>
      <c r="H54" s="179"/>
      <c r="I54" s="180" t="str">
        <f t="shared" si="12"/>
        <v/>
      </c>
      <c r="J54" s="179"/>
      <c r="K54" s="180" t="str">
        <f t="shared" si="13"/>
        <v/>
      </c>
      <c r="L54" s="179"/>
      <c r="M54" s="180" t="str">
        <f t="shared" si="14"/>
        <v/>
      </c>
      <c r="N54" s="179"/>
      <c r="O54" s="180" t="str">
        <f t="shared" si="15"/>
        <v/>
      </c>
      <c r="P54" s="179"/>
      <c r="Q54" s="192" t="str">
        <f t="shared" si="0"/>
        <v/>
      </c>
      <c r="R54" s="193"/>
      <c r="S54" s="179"/>
      <c r="T54" s="192" t="str">
        <f t="shared" si="16"/>
        <v/>
      </c>
      <c r="U54" s="193"/>
      <c r="V54" s="179"/>
      <c r="W54" s="192" t="str">
        <f t="shared" si="17"/>
        <v/>
      </c>
      <c r="X54" s="194"/>
      <c r="Y54" s="205" t="str">
        <f t="shared" si="1"/>
        <v/>
      </c>
      <c r="Z54" s="206" t="str">
        <f t="shared" si="2"/>
        <v/>
      </c>
      <c r="AA54" s="206" t="str">
        <f t="shared" si="3"/>
        <v/>
      </c>
      <c r="AB54" s="206" t="str">
        <f t="shared" si="4"/>
        <v/>
      </c>
      <c r="AC54" s="207" t="str">
        <f t="shared" si="5"/>
        <v/>
      </c>
      <c r="AD54" s="208" t="str">
        <f t="shared" si="6"/>
        <v/>
      </c>
      <c r="AE54" s="209" t="str">
        <f t="shared" si="18"/>
        <v/>
      </c>
      <c r="AF54" s="210" t="str">
        <f t="shared" si="7"/>
        <v/>
      </c>
      <c r="AG54" s="219" t="str">
        <f t="shared" si="8"/>
        <v/>
      </c>
      <c r="AH54" s="207" t="str">
        <f t="shared" si="9"/>
        <v/>
      </c>
    </row>
    <row r="55" spans="1:36" s="167" customFormat="1" ht="12.75" customHeight="1">
      <c r="A55" s="181">
        <v>48</v>
      </c>
      <c r="B55" s="177"/>
      <c r="C55" s="182"/>
      <c r="D55" s="179"/>
      <c r="E55" s="180" t="str">
        <f t="shared" si="10"/>
        <v/>
      </c>
      <c r="F55" s="179"/>
      <c r="G55" s="180" t="str">
        <f t="shared" si="11"/>
        <v/>
      </c>
      <c r="H55" s="179"/>
      <c r="I55" s="180" t="str">
        <f t="shared" si="12"/>
        <v/>
      </c>
      <c r="J55" s="179"/>
      <c r="K55" s="180" t="str">
        <f t="shared" si="13"/>
        <v/>
      </c>
      <c r="L55" s="179"/>
      <c r="M55" s="180" t="str">
        <f t="shared" si="14"/>
        <v/>
      </c>
      <c r="N55" s="179"/>
      <c r="O55" s="180" t="str">
        <f t="shared" si="15"/>
        <v/>
      </c>
      <c r="P55" s="179"/>
      <c r="Q55" s="192" t="str">
        <f t="shared" si="0"/>
        <v/>
      </c>
      <c r="R55" s="193"/>
      <c r="S55" s="179"/>
      <c r="T55" s="192" t="str">
        <f t="shared" si="16"/>
        <v/>
      </c>
      <c r="U55" s="193"/>
      <c r="V55" s="179"/>
      <c r="W55" s="192" t="str">
        <f t="shared" si="17"/>
        <v/>
      </c>
      <c r="X55" s="194"/>
      <c r="Y55" s="205" t="str">
        <f t="shared" si="1"/>
        <v/>
      </c>
      <c r="Z55" s="206" t="str">
        <f t="shared" si="2"/>
        <v/>
      </c>
      <c r="AA55" s="206" t="str">
        <f t="shared" si="3"/>
        <v/>
      </c>
      <c r="AB55" s="206" t="str">
        <f t="shared" si="4"/>
        <v/>
      </c>
      <c r="AC55" s="207" t="str">
        <f t="shared" si="5"/>
        <v/>
      </c>
      <c r="AD55" s="208" t="str">
        <f t="shared" si="6"/>
        <v/>
      </c>
      <c r="AE55" s="209" t="str">
        <f t="shared" si="18"/>
        <v/>
      </c>
      <c r="AF55" s="210" t="str">
        <f t="shared" si="7"/>
        <v/>
      </c>
      <c r="AG55" s="219" t="str">
        <f t="shared" si="8"/>
        <v/>
      </c>
      <c r="AH55" s="207" t="str">
        <f t="shared" si="9"/>
        <v/>
      </c>
    </row>
    <row r="56" spans="1:36" s="167" customFormat="1" ht="12.75" customHeight="1">
      <c r="A56" s="181">
        <v>49</v>
      </c>
      <c r="B56" s="177"/>
      <c r="C56" s="182"/>
      <c r="D56" s="179"/>
      <c r="E56" s="180" t="str">
        <f t="shared" si="10"/>
        <v/>
      </c>
      <c r="F56" s="179"/>
      <c r="G56" s="180" t="str">
        <f t="shared" si="11"/>
        <v/>
      </c>
      <c r="H56" s="179"/>
      <c r="I56" s="180" t="str">
        <f t="shared" si="12"/>
        <v/>
      </c>
      <c r="J56" s="179"/>
      <c r="K56" s="180" t="str">
        <f t="shared" si="13"/>
        <v/>
      </c>
      <c r="L56" s="179"/>
      <c r="M56" s="180" t="str">
        <f t="shared" si="14"/>
        <v/>
      </c>
      <c r="N56" s="179"/>
      <c r="O56" s="180" t="str">
        <f t="shared" si="15"/>
        <v/>
      </c>
      <c r="P56" s="179"/>
      <c r="Q56" s="192" t="str">
        <f t="shared" si="0"/>
        <v/>
      </c>
      <c r="R56" s="193"/>
      <c r="S56" s="179"/>
      <c r="T56" s="192" t="str">
        <f t="shared" si="16"/>
        <v/>
      </c>
      <c r="U56" s="193"/>
      <c r="V56" s="179"/>
      <c r="W56" s="192" t="str">
        <f t="shared" si="17"/>
        <v/>
      </c>
      <c r="X56" s="194"/>
      <c r="Y56" s="205" t="str">
        <f t="shared" si="1"/>
        <v/>
      </c>
      <c r="Z56" s="206" t="str">
        <f t="shared" si="2"/>
        <v/>
      </c>
      <c r="AA56" s="206" t="str">
        <f t="shared" si="3"/>
        <v/>
      </c>
      <c r="AB56" s="206" t="str">
        <f t="shared" si="4"/>
        <v/>
      </c>
      <c r="AC56" s="207" t="str">
        <f t="shared" si="5"/>
        <v/>
      </c>
      <c r="AD56" s="208" t="str">
        <f t="shared" si="6"/>
        <v/>
      </c>
      <c r="AE56" s="209" t="str">
        <f t="shared" si="18"/>
        <v/>
      </c>
      <c r="AF56" s="210" t="str">
        <f t="shared" si="7"/>
        <v/>
      </c>
      <c r="AG56" s="219" t="str">
        <f t="shared" si="8"/>
        <v/>
      </c>
      <c r="AH56" s="207" t="str">
        <f t="shared" si="9"/>
        <v/>
      </c>
    </row>
    <row r="57" spans="1:36" s="167" customFormat="1" ht="12.75" customHeight="1">
      <c r="A57" s="181">
        <v>50</v>
      </c>
      <c r="B57" s="177"/>
      <c r="C57" s="182"/>
      <c r="D57" s="179"/>
      <c r="E57" s="180" t="str">
        <f t="shared" si="10"/>
        <v/>
      </c>
      <c r="F57" s="179"/>
      <c r="G57" s="180" t="str">
        <f t="shared" si="11"/>
        <v/>
      </c>
      <c r="H57" s="179"/>
      <c r="I57" s="180" t="str">
        <f t="shared" si="12"/>
        <v/>
      </c>
      <c r="J57" s="179"/>
      <c r="K57" s="180" t="str">
        <f t="shared" si="13"/>
        <v/>
      </c>
      <c r="L57" s="179"/>
      <c r="M57" s="180" t="str">
        <f t="shared" si="14"/>
        <v/>
      </c>
      <c r="N57" s="179"/>
      <c r="O57" s="180" t="str">
        <f t="shared" si="15"/>
        <v/>
      </c>
      <c r="P57" s="179"/>
      <c r="Q57" s="192" t="str">
        <f t="shared" si="0"/>
        <v/>
      </c>
      <c r="R57" s="193"/>
      <c r="S57" s="179"/>
      <c r="T57" s="192" t="str">
        <f t="shared" si="16"/>
        <v/>
      </c>
      <c r="U57" s="193"/>
      <c r="V57" s="179"/>
      <c r="W57" s="192" t="str">
        <f t="shared" si="17"/>
        <v/>
      </c>
      <c r="X57" s="194"/>
      <c r="Y57" s="205" t="str">
        <f t="shared" si="1"/>
        <v/>
      </c>
      <c r="Z57" s="206" t="str">
        <f t="shared" si="2"/>
        <v/>
      </c>
      <c r="AA57" s="206" t="str">
        <f t="shared" si="3"/>
        <v/>
      </c>
      <c r="AB57" s="206" t="str">
        <f t="shared" si="4"/>
        <v/>
      </c>
      <c r="AC57" s="207" t="str">
        <f t="shared" si="5"/>
        <v/>
      </c>
      <c r="AD57" s="208" t="str">
        <f t="shared" si="6"/>
        <v/>
      </c>
      <c r="AE57" s="209" t="str">
        <f t="shared" si="18"/>
        <v/>
      </c>
      <c r="AF57" s="210" t="str">
        <f t="shared" si="7"/>
        <v/>
      </c>
      <c r="AG57" s="219" t="str">
        <f t="shared" si="8"/>
        <v/>
      </c>
      <c r="AH57" s="207" t="str">
        <f t="shared" si="9"/>
        <v/>
      </c>
    </row>
    <row r="58" spans="1:36" s="167" customFormat="1" ht="12.75" customHeight="1">
      <c r="A58" s="181">
        <v>51</v>
      </c>
      <c r="B58" s="177"/>
      <c r="C58" s="182"/>
      <c r="D58" s="179"/>
      <c r="E58" s="180" t="str">
        <f t="shared" si="10"/>
        <v/>
      </c>
      <c r="F58" s="179"/>
      <c r="G58" s="180" t="str">
        <f t="shared" si="11"/>
        <v/>
      </c>
      <c r="H58" s="179"/>
      <c r="I58" s="180" t="str">
        <f t="shared" si="12"/>
        <v/>
      </c>
      <c r="J58" s="179"/>
      <c r="K58" s="180" t="str">
        <f t="shared" si="13"/>
        <v/>
      </c>
      <c r="L58" s="179"/>
      <c r="M58" s="180" t="str">
        <f t="shared" si="14"/>
        <v/>
      </c>
      <c r="N58" s="179"/>
      <c r="O58" s="180" t="str">
        <f t="shared" si="15"/>
        <v/>
      </c>
      <c r="P58" s="179"/>
      <c r="Q58" s="192" t="str">
        <f t="shared" si="0"/>
        <v/>
      </c>
      <c r="R58" s="193"/>
      <c r="S58" s="179"/>
      <c r="T58" s="192" t="str">
        <f t="shared" si="16"/>
        <v/>
      </c>
      <c r="U58" s="193"/>
      <c r="V58" s="179"/>
      <c r="W58" s="192" t="str">
        <f t="shared" si="17"/>
        <v/>
      </c>
      <c r="X58" s="194"/>
      <c r="Y58" s="205" t="str">
        <f t="shared" si="1"/>
        <v/>
      </c>
      <c r="Z58" s="206" t="str">
        <f t="shared" si="2"/>
        <v/>
      </c>
      <c r="AA58" s="206" t="str">
        <f t="shared" si="3"/>
        <v/>
      </c>
      <c r="AB58" s="206" t="str">
        <f t="shared" si="4"/>
        <v/>
      </c>
      <c r="AC58" s="207" t="str">
        <f t="shared" si="5"/>
        <v/>
      </c>
      <c r="AD58" s="208" t="str">
        <f t="shared" si="6"/>
        <v/>
      </c>
      <c r="AE58" s="209" t="str">
        <f t="shared" si="18"/>
        <v/>
      </c>
      <c r="AF58" s="210" t="str">
        <f t="shared" si="7"/>
        <v/>
      </c>
      <c r="AG58" s="219" t="str">
        <f t="shared" si="8"/>
        <v/>
      </c>
      <c r="AH58" s="207" t="str">
        <f t="shared" si="9"/>
        <v/>
      </c>
    </row>
    <row r="59" spans="1:36" s="167" customFormat="1" ht="12.75" customHeight="1">
      <c r="A59" s="181">
        <v>52</v>
      </c>
      <c r="B59" s="177"/>
      <c r="C59" s="182"/>
      <c r="D59" s="179"/>
      <c r="E59" s="180" t="str">
        <f t="shared" si="10"/>
        <v/>
      </c>
      <c r="F59" s="179"/>
      <c r="G59" s="180" t="str">
        <f t="shared" si="11"/>
        <v/>
      </c>
      <c r="H59" s="179"/>
      <c r="I59" s="180" t="str">
        <f t="shared" si="12"/>
        <v/>
      </c>
      <c r="J59" s="179"/>
      <c r="K59" s="180" t="str">
        <f t="shared" si="13"/>
        <v/>
      </c>
      <c r="L59" s="179"/>
      <c r="M59" s="180" t="str">
        <f t="shared" si="14"/>
        <v/>
      </c>
      <c r="N59" s="179"/>
      <c r="O59" s="180" t="str">
        <f t="shared" si="15"/>
        <v/>
      </c>
      <c r="P59" s="179"/>
      <c r="Q59" s="192" t="str">
        <f t="shared" si="0"/>
        <v/>
      </c>
      <c r="R59" s="193"/>
      <c r="S59" s="179"/>
      <c r="T59" s="192" t="str">
        <f t="shared" si="16"/>
        <v/>
      </c>
      <c r="U59" s="193"/>
      <c r="V59" s="179"/>
      <c r="W59" s="192" t="str">
        <f t="shared" si="17"/>
        <v/>
      </c>
      <c r="X59" s="194"/>
      <c r="Y59" s="205" t="str">
        <f t="shared" si="1"/>
        <v/>
      </c>
      <c r="Z59" s="206" t="str">
        <f t="shared" si="2"/>
        <v/>
      </c>
      <c r="AA59" s="206" t="str">
        <f t="shared" si="3"/>
        <v/>
      </c>
      <c r="AB59" s="206" t="str">
        <f t="shared" si="4"/>
        <v/>
      </c>
      <c r="AC59" s="207" t="str">
        <f t="shared" si="5"/>
        <v/>
      </c>
      <c r="AD59" s="208" t="str">
        <f t="shared" si="6"/>
        <v/>
      </c>
      <c r="AE59" s="209" t="str">
        <f t="shared" si="18"/>
        <v/>
      </c>
      <c r="AF59" s="210" t="str">
        <f t="shared" si="7"/>
        <v/>
      </c>
      <c r="AG59" s="219" t="str">
        <f t="shared" si="8"/>
        <v/>
      </c>
      <c r="AH59" s="207" t="str">
        <f t="shared" si="9"/>
        <v/>
      </c>
    </row>
    <row r="60" spans="1:36" s="167" customFormat="1" ht="12.75" customHeight="1">
      <c r="A60" s="181">
        <v>53</v>
      </c>
      <c r="B60" s="177"/>
      <c r="C60" s="182"/>
      <c r="D60" s="179"/>
      <c r="E60" s="180" t="str">
        <f t="shared" si="10"/>
        <v/>
      </c>
      <c r="F60" s="179"/>
      <c r="G60" s="180" t="str">
        <f t="shared" si="11"/>
        <v/>
      </c>
      <c r="H60" s="179"/>
      <c r="I60" s="180" t="str">
        <f t="shared" si="12"/>
        <v/>
      </c>
      <c r="J60" s="179"/>
      <c r="K60" s="180" t="str">
        <f t="shared" si="13"/>
        <v/>
      </c>
      <c r="L60" s="179"/>
      <c r="M60" s="180" t="str">
        <f t="shared" si="14"/>
        <v/>
      </c>
      <c r="N60" s="179"/>
      <c r="O60" s="180" t="str">
        <f t="shared" si="15"/>
        <v/>
      </c>
      <c r="P60" s="179"/>
      <c r="Q60" s="192" t="str">
        <f t="shared" si="0"/>
        <v/>
      </c>
      <c r="R60" s="193"/>
      <c r="S60" s="179"/>
      <c r="T60" s="192" t="str">
        <f t="shared" si="16"/>
        <v/>
      </c>
      <c r="U60" s="193"/>
      <c r="V60" s="179"/>
      <c r="W60" s="192" t="str">
        <f t="shared" si="17"/>
        <v/>
      </c>
      <c r="X60" s="194"/>
      <c r="Y60" s="205" t="str">
        <f t="shared" si="1"/>
        <v/>
      </c>
      <c r="Z60" s="206" t="str">
        <f t="shared" si="2"/>
        <v/>
      </c>
      <c r="AA60" s="206" t="str">
        <f t="shared" si="3"/>
        <v/>
      </c>
      <c r="AB60" s="206" t="str">
        <f t="shared" si="4"/>
        <v/>
      </c>
      <c r="AC60" s="207" t="str">
        <f t="shared" si="5"/>
        <v/>
      </c>
      <c r="AD60" s="208" t="str">
        <f t="shared" si="6"/>
        <v/>
      </c>
      <c r="AE60" s="209" t="str">
        <f t="shared" si="18"/>
        <v/>
      </c>
      <c r="AF60" s="210" t="str">
        <f t="shared" si="7"/>
        <v/>
      </c>
      <c r="AG60" s="219" t="str">
        <f t="shared" si="8"/>
        <v/>
      </c>
      <c r="AH60" s="207" t="str">
        <f t="shared" si="9"/>
        <v/>
      </c>
    </row>
    <row r="61" spans="1:36" s="167" customFormat="1" ht="12.75" customHeight="1">
      <c r="A61" s="181">
        <v>54</v>
      </c>
      <c r="B61" s="177"/>
      <c r="C61" s="182"/>
      <c r="D61" s="179"/>
      <c r="E61" s="180" t="str">
        <f t="shared" si="10"/>
        <v/>
      </c>
      <c r="F61" s="179"/>
      <c r="G61" s="180" t="str">
        <f t="shared" si="11"/>
        <v/>
      </c>
      <c r="H61" s="179"/>
      <c r="I61" s="180" t="str">
        <f t="shared" si="12"/>
        <v/>
      </c>
      <c r="J61" s="179"/>
      <c r="K61" s="180" t="str">
        <f t="shared" si="13"/>
        <v/>
      </c>
      <c r="L61" s="179"/>
      <c r="M61" s="180" t="str">
        <f t="shared" si="14"/>
        <v/>
      </c>
      <c r="N61" s="179"/>
      <c r="O61" s="180" t="str">
        <f t="shared" si="15"/>
        <v/>
      </c>
      <c r="P61" s="179"/>
      <c r="Q61" s="192" t="str">
        <f t="shared" si="0"/>
        <v/>
      </c>
      <c r="R61" s="193"/>
      <c r="S61" s="179"/>
      <c r="T61" s="192" t="str">
        <f t="shared" si="16"/>
        <v/>
      </c>
      <c r="U61" s="193"/>
      <c r="V61" s="179"/>
      <c r="W61" s="192" t="str">
        <f t="shared" si="17"/>
        <v/>
      </c>
      <c r="X61" s="194"/>
      <c r="Y61" s="205" t="str">
        <f t="shared" si="1"/>
        <v/>
      </c>
      <c r="Z61" s="206" t="str">
        <f t="shared" si="2"/>
        <v/>
      </c>
      <c r="AA61" s="206" t="str">
        <f t="shared" si="3"/>
        <v/>
      </c>
      <c r="AB61" s="206" t="str">
        <f t="shared" si="4"/>
        <v/>
      </c>
      <c r="AC61" s="207" t="str">
        <f t="shared" si="5"/>
        <v/>
      </c>
      <c r="AD61" s="208" t="str">
        <f t="shared" si="6"/>
        <v/>
      </c>
      <c r="AE61" s="209" t="str">
        <f t="shared" si="18"/>
        <v/>
      </c>
      <c r="AF61" s="210" t="str">
        <f t="shared" si="7"/>
        <v/>
      </c>
      <c r="AG61" s="219" t="str">
        <f t="shared" si="8"/>
        <v/>
      </c>
      <c r="AH61" s="207" t="str">
        <f t="shared" si="9"/>
        <v/>
      </c>
    </row>
    <row r="62" spans="1:36" s="167" customFormat="1" ht="12.75" customHeight="1">
      <c r="A62" s="181">
        <v>55</v>
      </c>
      <c r="B62" s="177"/>
      <c r="C62" s="182"/>
      <c r="D62" s="179"/>
      <c r="E62" s="180" t="str">
        <f t="shared" si="10"/>
        <v/>
      </c>
      <c r="F62" s="179"/>
      <c r="G62" s="180" t="str">
        <f t="shared" si="11"/>
        <v/>
      </c>
      <c r="H62" s="179"/>
      <c r="I62" s="180" t="str">
        <f t="shared" si="12"/>
        <v/>
      </c>
      <c r="J62" s="179"/>
      <c r="K62" s="180" t="str">
        <f t="shared" si="13"/>
        <v/>
      </c>
      <c r="L62" s="179"/>
      <c r="M62" s="180" t="str">
        <f t="shared" si="14"/>
        <v/>
      </c>
      <c r="N62" s="179"/>
      <c r="O62" s="185" t="str">
        <f t="shared" si="15"/>
        <v/>
      </c>
      <c r="P62" s="179"/>
      <c r="Q62" s="195" t="str">
        <f t="shared" si="0"/>
        <v/>
      </c>
      <c r="R62" s="196"/>
      <c r="S62" s="179"/>
      <c r="T62" s="195" t="str">
        <f t="shared" si="16"/>
        <v/>
      </c>
      <c r="U62" s="196"/>
      <c r="V62" s="179"/>
      <c r="W62" s="195" t="str">
        <f t="shared" si="17"/>
        <v/>
      </c>
      <c r="X62" s="197"/>
      <c r="Y62" s="211" t="str">
        <f t="shared" si="1"/>
        <v/>
      </c>
      <c r="Z62" s="212" t="str">
        <f t="shared" si="2"/>
        <v/>
      </c>
      <c r="AA62" s="212" t="str">
        <f t="shared" si="3"/>
        <v/>
      </c>
      <c r="AB62" s="212" t="str">
        <f t="shared" si="4"/>
        <v/>
      </c>
      <c r="AC62" s="213" t="str">
        <f t="shared" si="5"/>
        <v/>
      </c>
      <c r="AD62" s="214" t="str">
        <f t="shared" si="6"/>
        <v/>
      </c>
      <c r="AE62" s="215" t="str">
        <f t="shared" si="18"/>
        <v/>
      </c>
      <c r="AF62" s="216" t="str">
        <f t="shared" si="7"/>
        <v/>
      </c>
      <c r="AG62" s="220" t="str">
        <f t="shared" si="8"/>
        <v/>
      </c>
      <c r="AH62" s="213" t="str">
        <f t="shared" si="9"/>
        <v/>
      </c>
    </row>
    <row r="63" spans="1:36" s="167" customFormat="1" ht="12.75" customHeight="1">
      <c r="A63" s="342" t="s">
        <v>33</v>
      </c>
      <c r="B63" s="343"/>
      <c r="C63" s="344"/>
      <c r="D63" s="345" t="str">
        <f>IF(COUNTA(D8:D62)=0,"",(SUM(D8:D62)))</f>
        <v/>
      </c>
      <c r="E63" s="346"/>
      <c r="F63" s="345" t="str">
        <f>IF(COUNTA(F8:F62)=0,"",(SUM(F8:F62)))</f>
        <v/>
      </c>
      <c r="G63" s="346"/>
      <c r="H63" s="345" t="str">
        <f t="shared" ref="H63" si="19">IF(COUNTA(H8:H62)=0,"",(SUM(H8:H62)))</f>
        <v/>
      </c>
      <c r="I63" s="346"/>
      <c r="J63" s="345" t="str">
        <f t="shared" ref="J63" si="20">IF(COUNTA(J8:J62)=0,"",(SUM(J8:J62)))</f>
        <v/>
      </c>
      <c r="K63" s="346"/>
      <c r="L63" s="345" t="str">
        <f t="shared" ref="L63" si="21">IF(COUNTA(L8:L62)=0,"",(SUM(L8:L62)))</f>
        <v/>
      </c>
      <c r="M63" s="346"/>
      <c r="N63" s="345" t="str">
        <f t="shared" ref="N63" si="22">IF(COUNTA(N8:N62)=0,"",(SUM(N8:N62)))</f>
        <v/>
      </c>
      <c r="O63" s="346"/>
      <c r="P63" s="345" t="str">
        <f t="shared" ref="P63" si="23">IF(COUNTA(P8:P62)=0,"",(SUM(P8:P62)))</f>
        <v/>
      </c>
      <c r="Q63" s="346"/>
      <c r="R63" s="198"/>
      <c r="S63" s="345" t="str">
        <f t="shared" ref="S63" si="24">IF(COUNTA(S8:S62)=0,"",(SUM(S8:S62)))</f>
        <v/>
      </c>
      <c r="T63" s="346"/>
      <c r="U63" s="199"/>
      <c r="V63" s="345" t="str">
        <f t="shared" ref="V63" si="25">IF(COUNTA(V8:V62)=0,"",(SUM(V8:V62)))</f>
        <v/>
      </c>
      <c r="W63" s="346"/>
      <c r="X63" s="199"/>
      <c r="Y63" s="342" t="s">
        <v>34</v>
      </c>
      <c r="Z63" s="343"/>
      <c r="AA63" s="343"/>
      <c r="AB63" s="343"/>
      <c r="AC63" s="347"/>
      <c r="AD63" s="217" t="str">
        <f>IF(OR(COUNTIF(AD8:AD62,"P")&lt;&gt;0,COUNTIF(AD8:AD62,"F")&lt;&gt;0,COUNTIF(AD8:AD62,"ab")&lt;&gt;0),(COUNTIF(AD8:AD62,"ab")),"")</f>
        <v/>
      </c>
      <c r="AE63" s="217" t="str">
        <f>IF(OR(COUNTIF(AE8:AE62,"P")&lt;&gt;0,COUNTIF(AE8:AE62,"F")&lt;&gt;0,COUNTIF(AE8:AE62,"ab")&lt;&gt;0,COUNTIF(AE8:AE62,"Q1")&lt;&gt;0,COUNTIF(AE8:AE62,"Q2")&lt;&gt;0,COUNTIF(AE8:AE62,"R1")&lt;&gt;0,COUNTIF(AE8:AE62,"R2")&lt;&gt;0),(COUNTIF(AE8:AE62,"ab")),"")</f>
        <v/>
      </c>
      <c r="AF63" s="348" t="s">
        <v>34</v>
      </c>
      <c r="AG63" s="349"/>
      <c r="AH63" s="350"/>
      <c r="AI63" s="221"/>
      <c r="AJ63" s="221"/>
    </row>
    <row r="64" spans="1:36" s="167" customFormat="1" ht="12.75" customHeight="1">
      <c r="A64" s="351" t="s">
        <v>35</v>
      </c>
      <c r="B64" s="352"/>
      <c r="C64" s="353"/>
      <c r="D64" s="354" t="str">
        <f>IF(D63="","",IF(D63=0,0,AVERAGE(D8:D62)))</f>
        <v/>
      </c>
      <c r="E64" s="355"/>
      <c r="F64" s="354" t="str">
        <f>IF(F63="","",IF(F63=0,0,AVERAGE(F8:F62)))</f>
        <v/>
      </c>
      <c r="G64" s="355"/>
      <c r="H64" s="354" t="str">
        <f t="shared" ref="H64" si="26">IF(H63="","",IF(H63=0,0,AVERAGE(H8:H62)))</f>
        <v/>
      </c>
      <c r="I64" s="355"/>
      <c r="J64" s="354" t="str">
        <f t="shared" ref="J64" si="27">IF(J63="","",IF(J63=0,0,AVERAGE(J8:J62)))</f>
        <v/>
      </c>
      <c r="K64" s="355"/>
      <c r="L64" s="354" t="str">
        <f t="shared" ref="L64" si="28">IF(L63="","",IF(L63=0,0,AVERAGE(L8:L62)))</f>
        <v/>
      </c>
      <c r="M64" s="355"/>
      <c r="N64" s="354" t="str">
        <f t="shared" ref="N64" si="29">IF(N63="","",IF(N63=0,0,AVERAGE(N8:N62)))</f>
        <v/>
      </c>
      <c r="O64" s="355"/>
      <c r="P64" s="354" t="str">
        <f t="shared" ref="P64" si="30">IF(P63="","",IF(P63=0,0,AVERAGE(P8:P62)))</f>
        <v/>
      </c>
      <c r="Q64" s="355"/>
      <c r="R64" s="200"/>
      <c r="S64" s="354" t="str">
        <f t="shared" ref="S64" si="31">IF(S63="","",IF(S63=0,0,AVERAGE(S8:S62)))</f>
        <v/>
      </c>
      <c r="T64" s="355"/>
      <c r="U64" s="201"/>
      <c r="V64" s="354" t="str">
        <f t="shared" ref="V64" si="32">IF(V63="","",IF(V63=0,0,AVERAGE(V8:V62)))</f>
        <v/>
      </c>
      <c r="W64" s="355"/>
      <c r="X64" s="201"/>
      <c r="Y64" s="356" t="s">
        <v>36</v>
      </c>
      <c r="Z64" s="357"/>
      <c r="AA64" s="357"/>
      <c r="AB64" s="357"/>
      <c r="AC64" s="358"/>
      <c r="AD64" s="218" t="str">
        <f>IF(OR(COUNTIF(AD8:AD62,"P")&lt;&gt;0,COUNTIF(AD8:AD62,"F")&lt;&gt;0,COUNTIF(AD8:AD62,"ab")&lt;&gt;0),(COUNTIF(AD8:AD62,"P")),"")</f>
        <v/>
      </c>
      <c r="AE64" s="218" t="str">
        <f>IF(OR(COUNTIF(AE8:AE62,"P")&lt;&gt;0,COUNTIF(AE8:AE62,"F")&lt;&gt;0,COUNTIF(AE8:AE62,"ab")&lt;&gt;0,COUNTIF(AE8:AE62,"Q1")&lt;&gt;0,COUNTIF(AE8:AE62,"Q2")&lt;&gt;0,COUNTIF(AE8:AE62,"R1")&lt;&gt;0,COUNTIF(AE8:AE62,"R2")&lt;&gt;0),(COUNTIF(AE8:AE62,"P")),"")</f>
        <v/>
      </c>
      <c r="AF64" s="356" t="s">
        <v>36</v>
      </c>
      <c r="AG64" s="357"/>
      <c r="AH64" s="359"/>
    </row>
    <row r="65" spans="1:66" s="167" customFormat="1" ht="13.2">
      <c r="A65" s="222"/>
      <c r="B65" s="223"/>
      <c r="C65" s="224"/>
      <c r="D65" s="225"/>
      <c r="E65" s="226"/>
      <c r="F65" s="227"/>
      <c r="G65" s="226"/>
      <c r="H65" s="227"/>
      <c r="I65" s="226"/>
      <c r="J65" s="227"/>
      <c r="K65" s="226"/>
      <c r="L65" s="227"/>
      <c r="M65" s="226"/>
      <c r="N65" s="227"/>
      <c r="O65" s="226"/>
      <c r="P65" s="227"/>
      <c r="Q65" s="256"/>
      <c r="R65" s="226"/>
      <c r="S65" s="227"/>
      <c r="T65" s="226"/>
      <c r="U65" s="257"/>
      <c r="V65" s="227"/>
      <c r="W65" s="226"/>
      <c r="X65" s="257"/>
      <c r="Y65" s="351" t="s">
        <v>37</v>
      </c>
      <c r="Z65" s="352"/>
      <c r="AA65" s="352"/>
      <c r="AB65" s="352"/>
      <c r="AC65" s="360"/>
      <c r="AD65" s="283" t="str">
        <f>IF(OR(COUNTIF(AD8:AD62,"P")&lt;&gt;0,COUNTIF(AD8:AD62,"F")&lt;&gt;0,COUNTIF(AD8:AD62,"ab")&lt;&gt;0),(COUNTIF(AD8:AD62,"F")),"")</f>
        <v/>
      </c>
      <c r="AE65" s="218" t="str">
        <f>IF(OR(COUNTIF(AE8:AE62,"P")&lt;&gt;0,COUNTIF(AE8:AE62,"F")&lt;&gt;0,COUNTIF(AE8:AE62,"ab")&lt;&gt;0,COUNTIF(AE8:AE62,"Q1")&lt;&gt;0,COUNTIF(AE8:AE62,"Q2")&lt;&gt;0,COUNTIF(AE8:AE62,"R1")&lt;&gt;0,COUNTIF(AE8:AE62,"R2")&lt;&gt;0),(COUNTIF(AE8:AE62,"Q1")),"")</f>
        <v/>
      </c>
      <c r="AF65" s="356" t="s">
        <v>38</v>
      </c>
      <c r="AG65" s="357"/>
      <c r="AH65" s="359"/>
    </row>
    <row r="66" spans="1:66" s="167" customFormat="1" ht="12" customHeight="1">
      <c r="A66" s="418" t="s">
        <v>39</v>
      </c>
      <c r="B66" s="418"/>
      <c r="C66" s="228" t="s">
        <v>40</v>
      </c>
      <c r="D66" s="229"/>
      <c r="E66" s="192" t="str">
        <f>IF(D$63="","",(COUNTIF(E$8:E$62,"A")))</f>
        <v/>
      </c>
      <c r="F66" s="229"/>
      <c r="G66" s="192" t="str">
        <f>IF(F$63="","",(COUNTIF(G$8:G$62,"A")))</f>
        <v/>
      </c>
      <c r="H66" s="229"/>
      <c r="I66" s="192" t="str">
        <f>IF(H$63="","",(COUNTIF(I$8:I$62,"A")))</f>
        <v/>
      </c>
      <c r="J66" s="229"/>
      <c r="K66" s="192" t="str">
        <f>IF(J$63="","",(COUNTIF(K$8:K$62,"A")))</f>
        <v/>
      </c>
      <c r="L66" s="229"/>
      <c r="M66" s="192" t="str">
        <f>IF(L$63="","",(COUNTIF(M$8:M$62,"A")))</f>
        <v/>
      </c>
      <c r="N66" s="229"/>
      <c r="O66" s="192" t="str">
        <f>IF(N$63="","",(COUNTIF(O$8:O$62,"A")))</f>
        <v/>
      </c>
      <c r="P66" s="229"/>
      <c r="Q66" s="192" t="str">
        <f>IF(P$63="","",(COUNTIF(Q$8:Q$62,"A")))</f>
        <v/>
      </c>
      <c r="R66" s="229"/>
      <c r="S66" s="229"/>
      <c r="T66" s="192" t="str">
        <f>IF(S$63="","",(COUNTIF(T$8:T$62,"A")))</f>
        <v/>
      </c>
      <c r="U66" s="261"/>
      <c r="V66" s="306"/>
      <c r="W66" s="189" t="str">
        <f>IF(V$63="","",(COUNTIF(W$8:W$62,"A")))</f>
        <v/>
      </c>
      <c r="X66" s="307"/>
      <c r="Y66" s="205" t="str">
        <f>IF((COUNT($D66:$W66)=0),"",(SUM($D66:$W66)))</f>
        <v/>
      </c>
      <c r="Z66" s="284"/>
      <c r="AA66" s="284"/>
      <c r="AB66" s="284"/>
      <c r="AC66" s="284"/>
      <c r="AD66" s="285"/>
      <c r="AE66" s="218" t="str">
        <f>IF(OR(COUNTIF(AE8:AE62,"P")&lt;&gt;0,COUNTIF(AE8:AE62,"F")&lt;&gt;0,COUNTIF(AE8:AE62,"ab")&lt;&gt;0,COUNTIF(AE8:AE62,"Q1")&lt;&gt;0,COUNTIF(AE8:AE62,"Q2")&lt;&gt;0,COUNTIF(AE8:AE62,"R1")&lt;&gt;0,COUNTIF(AE8:AE62,"R2")&lt;&gt;0),(COUNTIF(AE8:AE62,"Q2")),"")</f>
        <v/>
      </c>
      <c r="AF66" s="356" t="s">
        <v>41</v>
      </c>
      <c r="AG66" s="357"/>
      <c r="AH66" s="359"/>
    </row>
    <row r="67" spans="1:66" s="167" customFormat="1" ht="12" customHeight="1">
      <c r="A67" s="418"/>
      <c r="B67" s="418"/>
      <c r="C67" s="228" t="s">
        <v>42</v>
      </c>
      <c r="D67" s="229"/>
      <c r="E67" s="192" t="str">
        <f>IF(D$63="","",(COUNTIF(E$8:E$62,"B")))</f>
        <v/>
      </c>
      <c r="F67" s="229"/>
      <c r="G67" s="192" t="str">
        <f>IF(F$63="","",(COUNTIF(G$8:G$62,"B")))</f>
        <v/>
      </c>
      <c r="H67" s="229"/>
      <c r="I67" s="192" t="str">
        <f>IF(H$63="","",(COUNTIF(I$8:I$62,"B")))</f>
        <v/>
      </c>
      <c r="J67" s="229"/>
      <c r="K67" s="192" t="str">
        <f>IF(J$63="","",(COUNTIF(K$8:K$62,"B")))</f>
        <v/>
      </c>
      <c r="L67" s="229"/>
      <c r="M67" s="192" t="str">
        <f>IF(L$63="","",(COUNTIF(M$8:M$62,"B")))</f>
        <v/>
      </c>
      <c r="N67" s="229"/>
      <c r="O67" s="192" t="str">
        <f>IF(N$63="","",(COUNTIF(O$8:O$62,"B")))</f>
        <v/>
      </c>
      <c r="P67" s="229"/>
      <c r="Q67" s="192" t="str">
        <f>IF(P$63="","",(COUNTIF(Q$8:Q$62,"B")))</f>
        <v/>
      </c>
      <c r="R67" s="229"/>
      <c r="S67" s="229"/>
      <c r="T67" s="192" t="str">
        <f>IF(S$63="","",(COUNTIF(T$8:T$62,"B")))</f>
        <v/>
      </c>
      <c r="U67" s="261"/>
      <c r="V67" s="262"/>
      <c r="W67" s="192" t="str">
        <f>IF(V$63="","",(COUNTIF(W$8:W$62,"B")))</f>
        <v/>
      </c>
      <c r="X67" s="264"/>
      <c r="Y67" s="286"/>
      <c r="Z67" s="240" t="str">
        <f>IF((COUNT($D67:$W67)=0),"",SUM($D67:$W67))</f>
        <v/>
      </c>
      <c r="AA67" s="229"/>
      <c r="AB67" s="229"/>
      <c r="AC67" s="229"/>
      <c r="AD67" s="287"/>
      <c r="AE67" s="218" t="str">
        <f>IF(OR(COUNTIF(AE8:AE62,"P")&lt;&gt;0,COUNTIF(AE8:AE62,"F")&lt;&gt;0,COUNTIF(AE8:AE62,"ab")&lt;&gt;0,COUNTIF(AE8:AE62,"Q1")&lt;&gt;0,COUNTIF(AE8:AE62,"Q2")&lt;&gt;0,COUNTIF(AE8:AE62,"R1")&lt;&gt;0,COUNTIF(AE8:AE62,"R2")&lt;&gt;0),(COUNTIF(AE8:AE62,"R1")),"")</f>
        <v/>
      </c>
      <c r="AF67" s="356" t="s">
        <v>43</v>
      </c>
      <c r="AG67" s="357"/>
      <c r="AH67" s="359"/>
    </row>
    <row r="68" spans="1:66" s="167" customFormat="1" ht="12" customHeight="1">
      <c r="A68" s="418"/>
      <c r="B68" s="418"/>
      <c r="C68" s="228" t="s">
        <v>44</v>
      </c>
      <c r="D68" s="229"/>
      <c r="E68" s="192" t="str">
        <f>IF(D$63="","",(COUNTIF(E$8:E$62,"C")))</f>
        <v/>
      </c>
      <c r="F68" s="229"/>
      <c r="G68" s="192" t="str">
        <f>IF(F$63="","",(COUNTIF(G$8:G$62,"C")))</f>
        <v/>
      </c>
      <c r="H68" s="229"/>
      <c r="I68" s="192" t="str">
        <f>IF(H$63="","",(COUNTIF(I$8:I$62,"C")))</f>
        <v/>
      </c>
      <c r="J68" s="229"/>
      <c r="K68" s="192" t="str">
        <f>IF(J$63="","",(COUNTIF(K$8:K$62,"C")))</f>
        <v/>
      </c>
      <c r="L68" s="229"/>
      <c r="M68" s="192" t="str">
        <f>IF(L$63="","",(COUNTIF(M$8:M$62,"C")))</f>
        <v/>
      </c>
      <c r="N68" s="229"/>
      <c r="O68" s="192" t="str">
        <f>IF(N$63="","",(COUNTIF(O$8:O$62,"C")))</f>
        <v/>
      </c>
      <c r="P68" s="229"/>
      <c r="Q68" s="192" t="str">
        <f>IF(P$63="","",(COUNTIF(Q$8:Q$62,"C")))</f>
        <v/>
      </c>
      <c r="R68" s="229"/>
      <c r="S68" s="229"/>
      <c r="T68" s="192" t="str">
        <f>IF(S$63="","",(COUNTIF(T$8:T$62,"C")))</f>
        <v/>
      </c>
      <c r="U68" s="261"/>
      <c r="V68" s="262"/>
      <c r="W68" s="192" t="str">
        <f>IF(V$63="","",(COUNTIF(W$8:W$62,"C")))</f>
        <v/>
      </c>
      <c r="X68" s="264"/>
      <c r="Y68" s="286"/>
      <c r="Z68" s="229"/>
      <c r="AA68" s="240" t="str">
        <f>IF((COUNT($D68:$W68)=0),"",SUM($D68:$W68))</f>
        <v/>
      </c>
      <c r="AB68" s="229"/>
      <c r="AC68" s="229"/>
      <c r="AD68" s="287"/>
      <c r="AE68" s="218" t="str">
        <f>IF(OR(COUNTIF(AE8:AE62,"P")&lt;&gt;0,COUNTIF(AE8:AE62,"F")&lt;&gt;0,COUNTIF(AE8:AE62,"ab")&lt;&gt;0,COUNTIF(AE8:AE62,"Q1")&lt;&gt;0,COUNTIF(AE8:AE62,"Q2")&lt;&gt;0,COUNTIF(AE8:AE62,"R1")&lt;&gt;0,COUNTIF(AE8:AE62,"R2")&lt;&gt;0),(COUNTIF(AE8:AE62,"R2")),"")</f>
        <v/>
      </c>
      <c r="AF68" s="356" t="s">
        <v>45</v>
      </c>
      <c r="AG68" s="357"/>
      <c r="AH68" s="359"/>
    </row>
    <row r="69" spans="1:66" s="167" customFormat="1" ht="12" customHeight="1">
      <c r="A69" s="418"/>
      <c r="B69" s="418"/>
      <c r="C69" s="228" t="s">
        <v>46</v>
      </c>
      <c r="D69" s="229"/>
      <c r="E69" s="192" t="str">
        <f>IF(D$63="","",(COUNTIF(E$8:E$62,"S")))</f>
        <v/>
      </c>
      <c r="F69" s="229"/>
      <c r="G69" s="192" t="str">
        <f>IF(F$63="","",(COUNTIF(G$8:G$62,"S")))</f>
        <v/>
      </c>
      <c r="H69" s="229"/>
      <c r="I69" s="192" t="str">
        <f>IF(H$63="","",(COUNTIF(I$8:I$62,"S")))</f>
        <v/>
      </c>
      <c r="J69" s="229"/>
      <c r="K69" s="192" t="str">
        <f>IF(J$63="","",(COUNTIF(K$8:K$62,"S")))</f>
        <v/>
      </c>
      <c r="L69" s="229"/>
      <c r="M69" s="192" t="str">
        <f>IF(L$63="","",(COUNTIF(M$8:M$62,"S")))</f>
        <v/>
      </c>
      <c r="N69" s="229"/>
      <c r="O69" s="192" t="str">
        <f>IF(N$63="","",(COUNTIF(O$8:O$62,"S")))</f>
        <v/>
      </c>
      <c r="P69" s="229"/>
      <c r="Q69" s="192" t="str">
        <f>IF(P$63="","",(COUNTIF(Q$8:Q$62,"S")))</f>
        <v/>
      </c>
      <c r="R69" s="229"/>
      <c r="S69" s="229"/>
      <c r="T69" s="192" t="str">
        <f>IF(S$63="","",(COUNTIF(T$8:T$62,"S")))</f>
        <v/>
      </c>
      <c r="U69" s="261"/>
      <c r="V69" s="262"/>
      <c r="W69" s="192" t="str">
        <f>IF(V$63="","",(COUNTIF(W$8:W$62,"S")))</f>
        <v/>
      </c>
      <c r="X69" s="264"/>
      <c r="Y69" s="286"/>
      <c r="Z69" s="229"/>
      <c r="AA69" s="229"/>
      <c r="AB69" s="240" t="str">
        <f>IF((COUNT($D69:$W69)=0),"",SUM($D69:$W69))</f>
        <v/>
      </c>
      <c r="AC69" s="229"/>
      <c r="AD69" s="287"/>
      <c r="AE69" s="218" t="str">
        <f>IF(OR(COUNTIF(AE8:AE62,"P")&lt;&gt;0,COUNTIF(AE8:AE62,"F")&lt;&gt;0,COUNTIF(AE8:AE62,"ab")&lt;&gt;0,COUNTIF(AE8:AE62,"Q1")&lt;&gt;0,COUNTIF(AE8:AE62,"Q2")&lt;&gt;0,COUNTIF(AE8:AE62,"R1")&lt;&gt;0,COUNTIF(AE8:AE62,"R2")&lt;&gt;0),(COUNTIF(AE8:AE62,"F")),"")</f>
        <v/>
      </c>
      <c r="AF69" s="356" t="s">
        <v>37</v>
      </c>
      <c r="AG69" s="357"/>
      <c r="AH69" s="359"/>
    </row>
    <row r="70" spans="1:66" s="167" customFormat="1" ht="12" customHeight="1">
      <c r="A70" s="418"/>
      <c r="B70" s="418"/>
      <c r="C70" s="228" t="s">
        <v>32</v>
      </c>
      <c r="D70" s="229"/>
      <c r="E70" s="192" t="str">
        <f>IF(D$63="","",(COUNTIF(E$8:E$62,"W")))</f>
        <v/>
      </c>
      <c r="F70" s="229"/>
      <c r="G70" s="192" t="str">
        <f>IF(F$63="","",(COUNTIF(G$8:G$62,"W")))</f>
        <v/>
      </c>
      <c r="H70" s="229"/>
      <c r="I70" s="192" t="str">
        <f>IF(H$63="","",(COUNTIF(I$8:I$62,"W")))</f>
        <v/>
      </c>
      <c r="J70" s="229"/>
      <c r="K70" s="192" t="str">
        <f>IF(J$63="","",(COUNTIF(K$8:K$62,"W")))</f>
        <v/>
      </c>
      <c r="L70" s="229"/>
      <c r="M70" s="192" t="str">
        <f>IF(L$63="","",(COUNTIF(M$8:M$62,"W")))</f>
        <v/>
      </c>
      <c r="N70" s="229"/>
      <c r="O70" s="192" t="str">
        <f>IF(N$63="","",(COUNTIF(O$8:O$62,"W")))</f>
        <v/>
      </c>
      <c r="P70" s="229"/>
      <c r="Q70" s="192" t="str">
        <f>IF(P$63="","",(COUNTIF(Q$8:Q$62,"W")))</f>
        <v/>
      </c>
      <c r="R70" s="229"/>
      <c r="S70" s="229"/>
      <c r="T70" s="192" t="str">
        <f>IF(S$63="","",(COUNTIF(T$8:T$62,"W")))</f>
        <v/>
      </c>
      <c r="U70" s="261"/>
      <c r="V70" s="265"/>
      <c r="W70" s="192" t="str">
        <f>IF(V$63="","",(COUNTIF(W$8:W$62,"W")))</f>
        <v/>
      </c>
      <c r="X70" s="266"/>
      <c r="Y70" s="286"/>
      <c r="Z70" s="229"/>
      <c r="AA70" s="229"/>
      <c r="AB70" s="229"/>
      <c r="AC70" s="240" t="str">
        <f>IF((COUNT($D70:$W70)=0),"",SUM($D70:$W70))</f>
        <v/>
      </c>
      <c r="AD70" s="287"/>
      <c r="AE70" s="283" t="str">
        <f>IF(AND(AE63="",AE64="",AE65="",AE66="",AE67="",AE68="",AE69=""),"",SUM(AE63:AE69))</f>
        <v/>
      </c>
      <c r="AF70" s="351" t="s">
        <v>33</v>
      </c>
      <c r="AG70" s="352"/>
      <c r="AH70" s="353"/>
    </row>
    <row r="71" spans="1:66" s="167" customFormat="1" ht="12" customHeight="1">
      <c r="A71" s="419"/>
      <c r="B71" s="419"/>
      <c r="C71" s="230" t="s">
        <v>47</v>
      </c>
      <c r="D71" s="231"/>
      <c r="E71" s="232" t="str">
        <f>IF(D$63="","",(COUNTIF(E$8:E$62,"ab")))</f>
        <v/>
      </c>
      <c r="F71" s="231"/>
      <c r="G71" s="232" t="str">
        <f>IF(F$63="","",(COUNTIF(G$8:G$62,"ab")))</f>
        <v/>
      </c>
      <c r="H71" s="231"/>
      <c r="I71" s="232" t="str">
        <f>IF(H$63="","",(COUNTIF(I$8:I$62,"ab")))</f>
        <v/>
      </c>
      <c r="J71" s="231"/>
      <c r="K71" s="232" t="str">
        <f>IF(J$63="","",(COUNTIF(K$8:K$62,"ab")))</f>
        <v/>
      </c>
      <c r="L71" s="231"/>
      <c r="M71" s="232" t="str">
        <f>IF(L$63="","",(COUNTIF(M$8:M$62,"ab")))</f>
        <v/>
      </c>
      <c r="N71" s="231"/>
      <c r="O71" s="232" t="str">
        <f>IF(N$63="","",(COUNTIF(O$8:O$62,"ab")))</f>
        <v/>
      </c>
      <c r="P71" s="231"/>
      <c r="Q71" s="232" t="str">
        <f>IF(P$63="","",(COUNTIF(Q$8:Q$62,"ab")))</f>
        <v/>
      </c>
      <c r="R71" s="231"/>
      <c r="S71" s="231"/>
      <c r="T71" s="232" t="str">
        <f>IF(S$63="","",(COUNTIF(T$8:T$62,"ab")))</f>
        <v/>
      </c>
      <c r="U71" s="267"/>
      <c r="V71" s="268"/>
      <c r="W71" s="269" t="str">
        <f>IF(V$63="","",(COUNTIF(W$8:W$62,"ab")))</f>
        <v/>
      </c>
      <c r="X71" s="270"/>
      <c r="Y71" s="288"/>
      <c r="Z71" s="288"/>
      <c r="AA71" s="288"/>
      <c r="AB71" s="288"/>
      <c r="AC71" s="288"/>
      <c r="AD71" s="289" t="str">
        <f>IF((COUNT($D71:$W71)=0),"",SUM($D71:$W71))</f>
        <v/>
      </c>
      <c r="AE71" s="290"/>
      <c r="AF71" s="257"/>
      <c r="AG71" s="257"/>
      <c r="AH71" s="288"/>
    </row>
    <row r="72" spans="1:66" s="167" customFormat="1" ht="12" customHeight="1">
      <c r="A72" s="361" t="s">
        <v>33</v>
      </c>
      <c r="B72" s="362"/>
      <c r="C72" s="362"/>
      <c r="D72" s="233"/>
      <c r="E72" s="234" t="str">
        <f>IF(D$63="","",(SUM(E$66:E$71)))</f>
        <v/>
      </c>
      <c r="F72" s="233"/>
      <c r="G72" s="234" t="str">
        <f>IF(F$63="","",(SUM(G$66:G$71)))</f>
        <v/>
      </c>
      <c r="H72" s="233"/>
      <c r="I72" s="234" t="str">
        <f>IF(H$63="","",(SUM(I$66:I$71)))</f>
        <v/>
      </c>
      <c r="J72" s="233"/>
      <c r="K72" s="234" t="str">
        <f>IF(J$63="","",(SUM(K$66:K$71)))</f>
        <v/>
      </c>
      <c r="L72" s="233"/>
      <c r="M72" s="234" t="str">
        <f>IF(L$63="","",(SUM(M$66:M$71)))</f>
        <v/>
      </c>
      <c r="N72" s="233"/>
      <c r="O72" s="234" t="str">
        <f>IF(N$63="","",(SUM(O$66:O$71)))</f>
        <v/>
      </c>
      <c r="P72" s="233"/>
      <c r="Q72" s="234" t="str">
        <f>IF(P$63="","",(SUM(Q$66:Q$71)))</f>
        <v/>
      </c>
      <c r="R72" s="233"/>
      <c r="S72" s="233"/>
      <c r="T72" s="234" t="str">
        <f>IF(S$63="","",(SUM(T$66:T$71)))</f>
        <v/>
      </c>
      <c r="U72" s="271"/>
      <c r="V72" s="272"/>
      <c r="W72" s="273" t="str">
        <f>IF(V$63="","",(SUM(W$66:W$71)))</f>
        <v/>
      </c>
      <c r="X72" s="274"/>
      <c r="Y72" s="274"/>
      <c r="Z72" s="288"/>
      <c r="AA72" s="288"/>
      <c r="AB72" s="288"/>
      <c r="AC72" s="288"/>
      <c r="AD72" s="290"/>
      <c r="AE72" s="290"/>
      <c r="AF72" s="257"/>
      <c r="AG72" s="257"/>
      <c r="AH72" s="288"/>
    </row>
    <row r="73" spans="1:66" s="167" customFormat="1" ht="9.75" customHeight="1">
      <c r="A73" s="221"/>
      <c r="B73" s="221"/>
      <c r="C73" s="221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89"/>
      <c r="AE73" s="289"/>
      <c r="AF73" s="291"/>
      <c r="AG73" s="291"/>
      <c r="AH73" s="235"/>
    </row>
    <row r="74" spans="1:66" s="167" customFormat="1" ht="15" customHeight="1">
      <c r="A74" s="221"/>
      <c r="B74" s="221"/>
      <c r="C74" s="236" t="s">
        <v>48</v>
      </c>
      <c r="D74" s="237" t="str">
        <f>IF(D$63="","",(COUNTIFS(D$8:D$62,"&lt;=39",D$8:D$62,"&gt;=30")))</f>
        <v/>
      </c>
      <c r="E74" s="238"/>
      <c r="F74" s="237" t="str">
        <f>IF(F$63="","",(COUNTIFS(F$8:F$62,"&lt;=39",F$8:F$62,"&gt;=30")))</f>
        <v/>
      </c>
      <c r="G74" s="238"/>
      <c r="H74" s="237" t="str">
        <f>IF(H$63="","",(COUNTIFS(H$8:H$62,"&lt;=39",H$8:H$62,"&gt;=30")))</f>
        <v/>
      </c>
      <c r="I74" s="238"/>
      <c r="J74" s="237" t="str">
        <f>IF(J$63="","",(COUNTIFS(J$8:J$62,"&lt;=39",J$8:J$62,"&gt;=30")))</f>
        <v/>
      </c>
      <c r="K74" s="238"/>
      <c r="L74" s="237" t="str">
        <f>IF(L$63="","",(COUNTIFS(L$8:L$62,"&lt;=39",L$8:L$62,"&gt;=30")))</f>
        <v/>
      </c>
      <c r="M74" s="238"/>
      <c r="N74" s="237" t="str">
        <f>IF(N$63="","",(COUNTIFS(N$8:N$62,"&lt;=39",N$8:N$62,"&gt;=30")))</f>
        <v/>
      </c>
      <c r="O74" s="238"/>
      <c r="P74" s="237" t="str">
        <f>IF(P$63="","",(COUNTIFS(P$8:P$62,"&lt;=39",P$8:P$62,"&gt;=30")))</f>
        <v/>
      </c>
      <c r="Q74" s="238"/>
      <c r="R74" s="238"/>
      <c r="S74" s="237" t="str">
        <f>IF(S$63="","",(COUNTIFS(S$8:S$62,"&lt;=39",S$8:S$62,"&gt;=30")))</f>
        <v/>
      </c>
      <c r="T74" s="238"/>
      <c r="U74" s="238"/>
      <c r="V74" s="275" t="str">
        <f>IF(V$63="","",(COUNTIFS(V$8:V$62,"&lt;=39",V$8:V$62,"&gt;=30")))</f>
        <v/>
      </c>
      <c r="W74" s="276"/>
      <c r="X74" s="277"/>
      <c r="Y74" s="235"/>
      <c r="Z74" s="363" t="s">
        <v>49</v>
      </c>
      <c r="AA74" s="364"/>
      <c r="AB74" s="364"/>
      <c r="AC74" s="364"/>
      <c r="AD74" s="365"/>
      <c r="AE74" s="366" t="s">
        <v>50</v>
      </c>
      <c r="AF74" s="367"/>
      <c r="AG74" s="367"/>
      <c r="AH74" s="368"/>
    </row>
    <row r="75" spans="1:66" s="167" customFormat="1" ht="13.2">
      <c r="A75" s="221"/>
      <c r="B75" s="221"/>
      <c r="C75" s="239" t="s">
        <v>51</v>
      </c>
      <c r="D75" s="240" t="str">
        <f>IF(D$63="","",(COUNTIFS(D$8:D$62,"&lt;=29",D$8:D$62,"&gt;=20")))</f>
        <v/>
      </c>
      <c r="E75" s="229"/>
      <c r="F75" s="240" t="str">
        <f>IF(F$63="","",(COUNTIFS(F$8:F$62,"&lt;=29",F$8:F$62,"&gt;=20")))</f>
        <v/>
      </c>
      <c r="G75" s="229"/>
      <c r="H75" s="240" t="str">
        <f>IF(H$63="","",(COUNTIFS(H$8:H$62,"&lt;=29",H$8:H$62,"&gt;=20")))</f>
        <v/>
      </c>
      <c r="I75" s="229"/>
      <c r="J75" s="240" t="str">
        <f>IF(J$63="","",(COUNTIFS(J$8:J$62,"&lt;=29",J$8:J$62,"&gt;=20")))</f>
        <v/>
      </c>
      <c r="K75" s="229"/>
      <c r="L75" s="240" t="str">
        <f>IF(L$63="","",(COUNTIFS(L$8:L$62,"&lt;=29",L$8:L$62,"&gt;=20")))</f>
        <v/>
      </c>
      <c r="M75" s="229"/>
      <c r="N75" s="240" t="str">
        <f>IF(N$63="","",(COUNTIFS(N$8:N$62,"&lt;=29",N$8:N$62,"&gt;=20")))</f>
        <v/>
      </c>
      <c r="O75" s="229"/>
      <c r="P75" s="240" t="str">
        <f>IF(P$63="","",(COUNTIFS(P$8:P$62,"&lt;=29",P$8:P$62,"&gt;=20")))</f>
        <v/>
      </c>
      <c r="Q75" s="229"/>
      <c r="R75" s="229"/>
      <c r="S75" s="240" t="str">
        <f>IF(S$63="","",(COUNTIFS(S$8:S$62,"&lt;=29",S$8:S$62,"&gt;=20")))</f>
        <v/>
      </c>
      <c r="T75" s="229"/>
      <c r="U75" s="229"/>
      <c r="V75" s="278" t="str">
        <f>IF(V$63="","",(COUNTIFS(V$8:V$62,"&lt;=29",V$8:V$62,"&gt;=20")))</f>
        <v/>
      </c>
      <c r="W75" s="279"/>
      <c r="X75" s="270"/>
      <c r="Y75" s="235"/>
      <c r="Z75" s="363" t="s">
        <v>20</v>
      </c>
      <c r="AA75" s="364"/>
      <c r="AB75" s="364"/>
      <c r="AC75" s="364"/>
      <c r="AD75" s="364"/>
      <c r="AE75" s="364"/>
      <c r="AF75" s="364"/>
      <c r="AG75" s="364"/>
      <c r="AH75" s="365"/>
    </row>
    <row r="76" spans="1:66" s="167" customFormat="1" ht="13.2">
      <c r="A76" s="221"/>
      <c r="B76" s="221"/>
      <c r="C76" s="241" t="s">
        <v>52</v>
      </c>
      <c r="D76" s="240" t="str">
        <f>IF(D$63="","",(COUNTIFS(D$8:D$62,"&gt;=10",D$8:D$62,"&lt;=19")))</f>
        <v/>
      </c>
      <c r="E76" s="229"/>
      <c r="F76" s="240" t="str">
        <f>IF(F$63="","",(COUNTIFS(F$8:F$62,"&gt;=10",F$8:F$62,"&lt;=19")))</f>
        <v/>
      </c>
      <c r="G76" s="229"/>
      <c r="H76" s="240" t="str">
        <f>IF(H$63="","",(COUNTIFS(H$8:H$62,"&gt;=10",H$8:H$62,"&lt;=19")))</f>
        <v/>
      </c>
      <c r="I76" s="229"/>
      <c r="J76" s="240" t="str">
        <f>IF(J$63="","",(COUNTIFS(J$8:J$62,"&gt;=10",J$8:J$62,"&lt;=19")))</f>
        <v/>
      </c>
      <c r="K76" s="229"/>
      <c r="L76" s="240" t="str">
        <f>IF(L$63="","",(COUNTIFS(L$8:L$62,"&gt;=10",L$8:L$62,"&lt;=19")))</f>
        <v/>
      </c>
      <c r="M76" s="229"/>
      <c r="N76" s="240" t="str">
        <f>IF(N$63="","",(COUNTIFS(N$8:N$62,"&gt;=10",N$8:N$62,"&lt;=19")))</f>
        <v/>
      </c>
      <c r="O76" s="229"/>
      <c r="P76" s="240" t="str">
        <f>IF(P$63="","",(COUNTIFS(P$8:P$62,"&gt;=10",P$8:P$62,"&lt;=19")))</f>
        <v/>
      </c>
      <c r="Q76" s="229"/>
      <c r="R76" s="229"/>
      <c r="S76" s="240" t="str">
        <f>IF(S$63="","",(COUNTIFS(S$8:S$62,"&gt;=10",S$8:S$62,"&lt;=19")))</f>
        <v/>
      </c>
      <c r="T76" s="229"/>
      <c r="U76" s="229"/>
      <c r="V76" s="278" t="str">
        <f>IF(V$63="","",(COUNTIFS(V$8:V$62,"&gt;=10",V$8:V$62,"&lt;=19")))</f>
        <v/>
      </c>
      <c r="W76" s="279"/>
      <c r="X76" s="270"/>
      <c r="Z76" s="292" t="s">
        <v>53</v>
      </c>
      <c r="AA76" s="369" t="s">
        <v>54</v>
      </c>
      <c r="AB76" s="370"/>
      <c r="AC76" s="370"/>
      <c r="AD76" s="370"/>
      <c r="AE76" s="370"/>
      <c r="AF76" s="370"/>
      <c r="AG76" s="370"/>
      <c r="AH76" s="371"/>
    </row>
    <row r="77" spans="1:66" s="167" customFormat="1" ht="13.2">
      <c r="A77" s="221"/>
      <c r="B77" s="221"/>
      <c r="C77" s="242" t="s">
        <v>55</v>
      </c>
      <c r="D77" s="243" t="str">
        <f>IF(D$63="","",(COUNTIFS(D$8:D$62,"&gt;=0",D$8:D$62,"&lt;=9")))</f>
        <v/>
      </c>
      <c r="E77" s="244"/>
      <c r="F77" s="243" t="str">
        <f>IF(F$63="","",(COUNTIFS(F$8:F$62,"&gt;=0",F$8:F$62,"&lt;=9")))</f>
        <v/>
      </c>
      <c r="G77" s="244"/>
      <c r="H77" s="243" t="str">
        <f>IF(H$63="","",(COUNTIFS(H$8:H$62,"&gt;=0",H$8:H$62,"&lt;=9")))</f>
        <v/>
      </c>
      <c r="I77" s="244"/>
      <c r="J77" s="243" t="str">
        <f>IF(J$63="","",(COUNTIFS(J$8:J$62,"&gt;=0",J$8:J$62,"&lt;=9")))</f>
        <v/>
      </c>
      <c r="K77" s="244"/>
      <c r="L77" s="243" t="str">
        <f>IF(L$63="","",(COUNTIFS(L$8:L$62,"&gt;=0",L$8:L$62,"&lt;=9")))</f>
        <v/>
      </c>
      <c r="M77" s="244"/>
      <c r="N77" s="243" t="str">
        <f>IF(N$63="","",(COUNTIFS(N$8:N$62,"&gt;=0",N$8:N$62,"&lt;=9")))</f>
        <v/>
      </c>
      <c r="O77" s="244"/>
      <c r="P77" s="243" t="str">
        <f>IF(P$63="","",(COUNTIFS(P$8:P$62,"&gt;=0",P$8:P$62,"&lt;=9")))</f>
        <v/>
      </c>
      <c r="Q77" s="244"/>
      <c r="R77" s="244"/>
      <c r="S77" s="243" t="str">
        <f>IF(S$63="","",(COUNTIFS(S$8:S$62,"&gt;=0",S$8:S$62,"&lt;=9")))</f>
        <v/>
      </c>
      <c r="T77" s="244"/>
      <c r="U77" s="244"/>
      <c r="V77" s="280" t="str">
        <f>IF(V$63="","",(COUNTIFS(V$8:V$62,"&gt;=0",V$8:V$62,"&lt;=9")))</f>
        <v/>
      </c>
      <c r="W77" s="281"/>
      <c r="X77" s="282"/>
      <c r="Y77" s="235"/>
      <c r="Z77" s="293" t="s">
        <v>56</v>
      </c>
      <c r="AA77" s="372" t="s">
        <v>57</v>
      </c>
      <c r="AB77" s="373"/>
      <c r="AC77" s="373"/>
      <c r="AD77" s="373"/>
      <c r="AE77" s="373"/>
      <c r="AF77" s="373"/>
      <c r="AG77" s="373"/>
      <c r="AH77" s="374"/>
    </row>
    <row r="78" spans="1:66" ht="13.5" customHeight="1">
      <c r="A78" s="70"/>
      <c r="B78" s="70"/>
      <c r="C78" s="245"/>
      <c r="D78" s="70"/>
      <c r="E78" s="246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246"/>
      <c r="Z78" s="294" t="s">
        <v>58</v>
      </c>
      <c r="AA78" s="372" t="s">
        <v>59</v>
      </c>
      <c r="AB78" s="373"/>
      <c r="AC78" s="373"/>
      <c r="AD78" s="373"/>
      <c r="AE78" s="373"/>
      <c r="AF78" s="373"/>
      <c r="AG78" s="373"/>
      <c r="AH78" s="374"/>
    </row>
    <row r="79" spans="1:66" s="167" customFormat="1" ht="14.25" customHeight="1">
      <c r="A79" s="221"/>
      <c r="B79" s="247" t="s">
        <v>27</v>
      </c>
      <c r="C79" s="375" t="s">
        <v>60</v>
      </c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76"/>
      <c r="W79" s="377"/>
      <c r="X79" s="221"/>
      <c r="Y79" s="235"/>
      <c r="Z79" s="295" t="s">
        <v>61</v>
      </c>
      <c r="AA79" s="372" t="s">
        <v>62</v>
      </c>
      <c r="AB79" s="373"/>
      <c r="AC79" s="373"/>
      <c r="AD79" s="373"/>
      <c r="AE79" s="373"/>
      <c r="AF79" s="373"/>
      <c r="AG79" s="373"/>
      <c r="AH79" s="374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/>
      <c r="AX79" s="221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  <c r="BM79" s="221"/>
      <c r="BN79" s="221"/>
    </row>
    <row r="80" spans="1:66" s="167" customFormat="1" ht="12" customHeight="1">
      <c r="A80" s="221"/>
      <c r="B80" s="378" t="s">
        <v>15</v>
      </c>
      <c r="C80" s="379"/>
      <c r="D80" s="380" t="s">
        <v>16</v>
      </c>
      <c r="E80" s="381"/>
      <c r="F80" s="381"/>
      <c r="G80" s="381"/>
      <c r="H80" s="381"/>
      <c r="I80" s="381"/>
      <c r="J80" s="381"/>
      <c r="K80" s="381"/>
      <c r="L80" s="381"/>
      <c r="M80" s="382"/>
      <c r="N80" s="380" t="s">
        <v>17</v>
      </c>
      <c r="O80" s="381"/>
      <c r="P80" s="381"/>
      <c r="Q80" s="381"/>
      <c r="R80" s="381"/>
      <c r="S80" s="381"/>
      <c r="T80" s="381"/>
      <c r="U80" s="381"/>
      <c r="V80" s="381"/>
      <c r="W80" s="382"/>
      <c r="X80" s="221"/>
      <c r="Y80" s="235"/>
      <c r="Z80" s="296" t="s">
        <v>63</v>
      </c>
      <c r="AA80" s="372" t="s">
        <v>64</v>
      </c>
      <c r="AB80" s="373"/>
      <c r="AC80" s="373"/>
      <c r="AD80" s="373"/>
      <c r="AE80" s="373"/>
      <c r="AF80" s="373"/>
      <c r="AG80" s="373"/>
      <c r="AH80" s="374"/>
      <c r="AJ80" s="221"/>
      <c r="AK80" s="221"/>
      <c r="AL80" s="221"/>
      <c r="AM80" s="221"/>
      <c r="AN80" s="221"/>
      <c r="AO80" s="221"/>
      <c r="AP80" s="221"/>
      <c r="AQ80" s="221"/>
      <c r="AR80" s="221"/>
      <c r="AS80" s="221"/>
      <c r="AT80" s="221"/>
      <c r="AU80" s="221"/>
      <c r="AV80" s="221"/>
      <c r="AW80" s="221"/>
      <c r="AX80" s="221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</row>
    <row r="81" spans="1:66" s="167" customFormat="1" ht="12" customHeight="1">
      <c r="A81" s="221"/>
      <c r="B81" s="248" t="s">
        <v>65</v>
      </c>
      <c r="C81" s="249" t="s">
        <v>66</v>
      </c>
      <c r="D81" s="383" t="s">
        <v>67</v>
      </c>
      <c r="E81" s="384"/>
      <c r="F81" s="385" t="s">
        <v>68</v>
      </c>
      <c r="G81" s="386"/>
      <c r="H81" s="386"/>
      <c r="I81" s="386"/>
      <c r="J81" s="386"/>
      <c r="K81" s="386"/>
      <c r="L81" s="386"/>
      <c r="M81" s="387"/>
      <c r="N81" s="383" t="s">
        <v>69</v>
      </c>
      <c r="O81" s="384"/>
      <c r="P81" s="386" t="s">
        <v>70</v>
      </c>
      <c r="Q81" s="386"/>
      <c r="R81" s="386"/>
      <c r="S81" s="386"/>
      <c r="T81" s="386"/>
      <c r="U81" s="386"/>
      <c r="V81" s="386"/>
      <c r="W81" s="387"/>
      <c r="X81" s="221"/>
      <c r="Y81" s="235"/>
      <c r="Z81" s="297" t="s">
        <v>71</v>
      </c>
      <c r="AA81" s="372" t="s">
        <v>72</v>
      </c>
      <c r="AB81" s="373"/>
      <c r="AC81" s="373"/>
      <c r="AD81" s="373"/>
      <c r="AE81" s="373"/>
      <c r="AF81" s="373"/>
      <c r="AG81" s="373"/>
      <c r="AH81" s="374"/>
      <c r="AI81" s="221"/>
      <c r="AJ81" s="298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221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</row>
    <row r="82" spans="1:66" s="167" customFormat="1" ht="12" customHeight="1">
      <c r="A82" s="221"/>
      <c r="B82" s="250" t="s">
        <v>73</v>
      </c>
      <c r="C82" s="251" t="s">
        <v>74</v>
      </c>
      <c r="D82" s="388" t="s">
        <v>75</v>
      </c>
      <c r="E82" s="389"/>
      <c r="F82" s="390" t="s">
        <v>76</v>
      </c>
      <c r="G82" s="391"/>
      <c r="H82" s="391"/>
      <c r="I82" s="391"/>
      <c r="J82" s="391"/>
      <c r="K82" s="391"/>
      <c r="L82" s="391"/>
      <c r="M82" s="392"/>
      <c r="N82" s="388" t="s">
        <v>77</v>
      </c>
      <c r="O82" s="389"/>
      <c r="P82" s="391" t="s">
        <v>78</v>
      </c>
      <c r="Q82" s="391"/>
      <c r="R82" s="391"/>
      <c r="S82" s="391"/>
      <c r="T82" s="391"/>
      <c r="U82" s="391"/>
      <c r="V82" s="391"/>
      <c r="W82" s="392"/>
      <c r="X82" s="221"/>
      <c r="Y82" s="416" t="s">
        <v>79</v>
      </c>
      <c r="Z82" s="416"/>
      <c r="AA82" s="416"/>
      <c r="AB82" s="417" t="s">
        <v>80</v>
      </c>
      <c r="AC82" s="417"/>
      <c r="AD82" s="417"/>
      <c r="AE82" s="417"/>
      <c r="AF82" s="417"/>
      <c r="AG82" s="417"/>
      <c r="AH82" s="417"/>
      <c r="AI82" s="221"/>
      <c r="AJ82" s="298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</row>
    <row r="83" spans="1:66" s="167" customFormat="1" ht="12" customHeight="1">
      <c r="A83" s="221"/>
      <c r="B83" s="250" t="s">
        <v>81</v>
      </c>
      <c r="C83" s="251" t="s">
        <v>82</v>
      </c>
      <c r="D83" s="388" t="s">
        <v>83</v>
      </c>
      <c r="E83" s="389"/>
      <c r="F83" s="390" t="s">
        <v>84</v>
      </c>
      <c r="G83" s="391"/>
      <c r="H83" s="391"/>
      <c r="I83" s="391"/>
      <c r="J83" s="391"/>
      <c r="K83" s="391"/>
      <c r="L83" s="391"/>
      <c r="M83" s="392"/>
      <c r="N83" s="388" t="s">
        <v>85</v>
      </c>
      <c r="O83" s="389"/>
      <c r="P83" s="391" t="s">
        <v>86</v>
      </c>
      <c r="Q83" s="391"/>
      <c r="R83" s="391"/>
      <c r="S83" s="391"/>
      <c r="T83" s="391"/>
      <c r="U83" s="391"/>
      <c r="V83" s="391"/>
      <c r="W83" s="392"/>
      <c r="X83" s="221"/>
      <c r="Y83" s="416"/>
      <c r="Z83" s="416"/>
      <c r="AA83" s="416"/>
      <c r="AB83" s="416"/>
      <c r="AC83" s="416"/>
      <c r="AD83" s="416"/>
      <c r="AE83" s="416"/>
      <c r="AF83" s="416"/>
      <c r="AG83" s="416"/>
      <c r="AH83" s="416"/>
      <c r="AI83" s="221"/>
      <c r="AJ83" s="298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</row>
    <row r="84" spans="1:66" s="167" customFormat="1" ht="12" customHeight="1">
      <c r="A84" s="221"/>
      <c r="B84" s="250" t="s">
        <v>87</v>
      </c>
      <c r="C84" s="251" t="s">
        <v>88</v>
      </c>
      <c r="D84" s="388" t="s">
        <v>89</v>
      </c>
      <c r="E84" s="389"/>
      <c r="F84" s="390" t="s">
        <v>90</v>
      </c>
      <c r="G84" s="391"/>
      <c r="H84" s="391"/>
      <c r="I84" s="391"/>
      <c r="J84" s="391"/>
      <c r="K84" s="391"/>
      <c r="L84" s="391"/>
      <c r="M84" s="392"/>
      <c r="N84" s="388" t="s">
        <v>91</v>
      </c>
      <c r="O84" s="389"/>
      <c r="P84" s="391" t="s">
        <v>92</v>
      </c>
      <c r="Q84" s="391"/>
      <c r="R84" s="391"/>
      <c r="S84" s="391"/>
      <c r="T84" s="391"/>
      <c r="U84" s="391"/>
      <c r="V84" s="391"/>
      <c r="W84" s="392"/>
      <c r="X84" s="221"/>
      <c r="Y84" s="415" t="s">
        <v>93</v>
      </c>
      <c r="Z84" s="415"/>
      <c r="AA84" s="415"/>
      <c r="AB84" s="415"/>
      <c r="AC84" s="416" t="s">
        <v>80</v>
      </c>
      <c r="AD84" s="416"/>
      <c r="AE84" s="416"/>
      <c r="AF84" s="416"/>
      <c r="AG84" s="416"/>
      <c r="AH84" s="416"/>
      <c r="AI84" s="221"/>
      <c r="AJ84" s="298"/>
      <c r="AK84" s="221"/>
      <c r="AL84" s="221"/>
      <c r="AM84" s="221"/>
      <c r="AN84" s="221"/>
      <c r="AO84" s="221"/>
      <c r="AP84" s="221"/>
      <c r="AQ84" s="221"/>
      <c r="AR84" s="221"/>
      <c r="AS84" s="221"/>
      <c r="AT84" s="221"/>
      <c r="AU84" s="221"/>
      <c r="AV84" s="221"/>
      <c r="AW84" s="221"/>
      <c r="AX84" s="221"/>
      <c r="AY84" s="221"/>
      <c r="AZ84" s="221"/>
      <c r="BA84" s="221"/>
      <c r="BB84" s="221"/>
      <c r="BC84" s="221"/>
      <c r="BD84" s="221"/>
      <c r="BE84" s="221"/>
      <c r="BF84" s="221"/>
      <c r="BG84" s="221"/>
      <c r="BH84" s="221"/>
      <c r="BI84" s="221"/>
      <c r="BJ84" s="221"/>
      <c r="BK84" s="221"/>
      <c r="BL84" s="221"/>
      <c r="BM84" s="221"/>
      <c r="BN84" s="221"/>
    </row>
    <row r="85" spans="1:66" s="167" customFormat="1" ht="12" customHeight="1">
      <c r="A85" s="221"/>
      <c r="B85" s="250" t="s">
        <v>94</v>
      </c>
      <c r="C85" s="252"/>
      <c r="D85" s="388" t="s">
        <v>95</v>
      </c>
      <c r="E85" s="389"/>
      <c r="F85" s="390" t="s">
        <v>96</v>
      </c>
      <c r="G85" s="391"/>
      <c r="H85" s="391"/>
      <c r="I85" s="391"/>
      <c r="J85" s="391"/>
      <c r="K85" s="391"/>
      <c r="L85" s="391"/>
      <c r="M85" s="392"/>
      <c r="N85" s="388" t="s">
        <v>97</v>
      </c>
      <c r="O85" s="389"/>
      <c r="P85" s="391" t="s">
        <v>98</v>
      </c>
      <c r="Q85" s="391"/>
      <c r="R85" s="391"/>
      <c r="S85" s="391"/>
      <c r="T85" s="391"/>
      <c r="U85" s="391"/>
      <c r="V85" s="391"/>
      <c r="W85" s="392"/>
      <c r="X85" s="221"/>
      <c r="Y85" s="415"/>
      <c r="Z85" s="415"/>
      <c r="AA85" s="415"/>
      <c r="AB85" s="415"/>
      <c r="AC85" s="416"/>
      <c r="AD85" s="416"/>
      <c r="AE85" s="416"/>
      <c r="AF85" s="416"/>
      <c r="AG85" s="416"/>
      <c r="AH85" s="416"/>
      <c r="AI85" s="221"/>
    </row>
    <row r="86" spans="1:66" s="167" customFormat="1" ht="12" customHeight="1">
      <c r="A86" s="221"/>
      <c r="B86" s="250" t="s">
        <v>99</v>
      </c>
      <c r="C86" s="253"/>
      <c r="D86" s="388" t="s">
        <v>100</v>
      </c>
      <c r="E86" s="389"/>
      <c r="F86" s="390" t="s">
        <v>101</v>
      </c>
      <c r="G86" s="391"/>
      <c r="H86" s="391"/>
      <c r="I86" s="391"/>
      <c r="J86" s="391"/>
      <c r="K86" s="391"/>
      <c r="L86" s="391"/>
      <c r="M86" s="392"/>
      <c r="N86" s="388" t="s">
        <v>102</v>
      </c>
      <c r="O86" s="389"/>
      <c r="P86" s="391" t="s">
        <v>103</v>
      </c>
      <c r="Q86" s="391"/>
      <c r="R86" s="391"/>
      <c r="S86" s="391"/>
      <c r="T86" s="391"/>
      <c r="U86" s="391"/>
      <c r="V86" s="391"/>
      <c r="W86" s="392"/>
      <c r="X86" s="221"/>
      <c r="Y86" s="413" t="s">
        <v>104</v>
      </c>
      <c r="Z86" s="413"/>
      <c r="AA86" s="413"/>
      <c r="AB86" s="413"/>
      <c r="AC86" s="413"/>
      <c r="AD86" s="414" t="s">
        <v>80</v>
      </c>
      <c r="AE86" s="414"/>
      <c r="AF86" s="414"/>
      <c r="AG86" s="414"/>
      <c r="AH86" s="414"/>
    </row>
    <row r="87" spans="1:66" s="167" customFormat="1" ht="12" customHeight="1">
      <c r="A87" s="221"/>
      <c r="B87" s="250" t="s">
        <v>105</v>
      </c>
      <c r="C87" s="253"/>
      <c r="D87" s="388" t="s">
        <v>106</v>
      </c>
      <c r="E87" s="389"/>
      <c r="F87" s="393"/>
      <c r="G87" s="394"/>
      <c r="H87" s="394"/>
      <c r="I87" s="394"/>
      <c r="J87" s="394"/>
      <c r="K87" s="394"/>
      <c r="L87" s="394"/>
      <c r="M87" s="395"/>
      <c r="N87" s="388" t="s">
        <v>107</v>
      </c>
      <c r="O87" s="389"/>
      <c r="P87" s="391" t="s">
        <v>108</v>
      </c>
      <c r="Q87" s="391"/>
      <c r="R87" s="391"/>
      <c r="S87" s="391"/>
      <c r="T87" s="391"/>
      <c r="U87" s="391"/>
      <c r="V87" s="391"/>
      <c r="W87" s="392"/>
      <c r="X87" s="221"/>
      <c r="Y87" s="413"/>
      <c r="Z87" s="413"/>
      <c r="AA87" s="413"/>
      <c r="AB87" s="413"/>
      <c r="AC87" s="413"/>
      <c r="AD87" s="414"/>
      <c r="AE87" s="414"/>
      <c r="AF87" s="414"/>
      <c r="AG87" s="414"/>
      <c r="AH87" s="414"/>
      <c r="AI87" s="299"/>
      <c r="AJ87" s="300"/>
      <c r="AK87" s="301"/>
    </row>
    <row r="88" spans="1:66" s="167" customFormat="1" ht="12" customHeight="1">
      <c r="A88" s="221"/>
      <c r="B88" s="254" t="s">
        <v>109</v>
      </c>
      <c r="C88" s="255"/>
      <c r="D88" s="396" t="s">
        <v>110</v>
      </c>
      <c r="E88" s="397"/>
      <c r="F88" s="398"/>
      <c r="G88" s="399"/>
      <c r="H88" s="399"/>
      <c r="I88" s="399"/>
      <c r="J88" s="399"/>
      <c r="K88" s="399"/>
      <c r="L88" s="399"/>
      <c r="M88" s="400"/>
      <c r="N88" s="396" t="s">
        <v>111</v>
      </c>
      <c r="O88" s="397"/>
      <c r="P88" s="399"/>
      <c r="Q88" s="399"/>
      <c r="R88" s="399"/>
      <c r="S88" s="399"/>
      <c r="T88" s="399"/>
      <c r="U88" s="399"/>
      <c r="V88" s="399"/>
      <c r="W88" s="400"/>
      <c r="X88" s="221"/>
      <c r="Y88" s="413"/>
      <c r="Z88" s="413"/>
      <c r="AA88" s="413"/>
      <c r="AB88" s="413"/>
      <c r="AC88" s="413"/>
      <c r="AD88" s="414"/>
      <c r="AE88" s="414"/>
      <c r="AF88" s="414"/>
      <c r="AG88" s="414"/>
      <c r="AH88" s="414"/>
      <c r="AI88" s="299"/>
      <c r="AJ88" s="300"/>
      <c r="AK88" s="301"/>
    </row>
    <row r="89" spans="1:66">
      <c r="A89" s="401" t="s">
        <v>112</v>
      </c>
      <c r="B89" s="401"/>
      <c r="C89" s="401"/>
      <c r="D89" s="401"/>
      <c r="E89" s="401"/>
      <c r="F89" s="401"/>
      <c r="G89" s="401"/>
      <c r="H89" s="401"/>
      <c r="I89" s="401"/>
      <c r="J89" s="401"/>
      <c r="K89" s="401"/>
      <c r="L89" s="401"/>
      <c r="M89" s="401"/>
      <c r="N89" s="401"/>
      <c r="O89" s="401"/>
      <c r="P89" s="401"/>
      <c r="Q89" s="401"/>
      <c r="R89" s="401"/>
      <c r="S89" s="401"/>
      <c r="T89" s="401"/>
      <c r="U89" s="401"/>
      <c r="V89" s="401"/>
      <c r="W89" s="401"/>
      <c r="X89" s="401"/>
      <c r="Y89" s="401"/>
      <c r="Z89" s="401"/>
      <c r="AA89" s="401"/>
      <c r="AB89" s="401"/>
      <c r="AC89" s="401"/>
      <c r="AD89" s="401"/>
      <c r="AE89" s="401"/>
      <c r="AF89" s="401"/>
      <c r="AG89" s="401"/>
      <c r="AH89" s="401"/>
    </row>
  </sheetData>
  <sheetProtection algorithmName="SHA-512" hashValue="oK5hukUfIZ+jA3W+uE00K754wZE8eGMXDY9Zsd3ObgeAOHhChROOyoCm+0Mq96ut70CDr+s1miFiUNDx+r07eA==" saltValue="z09Xa8D6Ttk5GtKCveN8OA==" spinCount="100000" sheet="1" objects="1" scenarios="1"/>
  <mergeCells count="115">
    <mergeCell ref="A89:AH89"/>
    <mergeCell ref="A6:A7"/>
    <mergeCell ref="B6:B7"/>
    <mergeCell ref="AD6:AD7"/>
    <mergeCell ref="AE6:AE7"/>
    <mergeCell ref="AF6:AF7"/>
    <mergeCell ref="AG6:AG7"/>
    <mergeCell ref="AH6:AH7"/>
    <mergeCell ref="Y86:AC88"/>
    <mergeCell ref="AD86:AH88"/>
    <mergeCell ref="Y82:AA83"/>
    <mergeCell ref="AB82:AH83"/>
    <mergeCell ref="Y84:AB85"/>
    <mergeCell ref="AC84:AH85"/>
    <mergeCell ref="A66:B71"/>
    <mergeCell ref="D86:E86"/>
    <mergeCell ref="F86:M86"/>
    <mergeCell ref="N86:O86"/>
    <mergeCell ref="P86:W86"/>
    <mergeCell ref="D87:E87"/>
    <mergeCell ref="F87:M87"/>
    <mergeCell ref="N87:O87"/>
    <mergeCell ref="P87:W87"/>
    <mergeCell ref="D88:E88"/>
    <mergeCell ref="F88:M88"/>
    <mergeCell ref="N88:O88"/>
    <mergeCell ref="P88:W88"/>
    <mergeCell ref="D83:E83"/>
    <mergeCell ref="F83:M83"/>
    <mergeCell ref="N83:O83"/>
    <mergeCell ref="P83:W83"/>
    <mergeCell ref="D84:E84"/>
    <mergeCell ref="F84:M84"/>
    <mergeCell ref="N84:O84"/>
    <mergeCell ref="P84:W84"/>
    <mergeCell ref="D85:E85"/>
    <mergeCell ref="F85:M85"/>
    <mergeCell ref="N85:O85"/>
    <mergeCell ref="P85:W85"/>
    <mergeCell ref="D81:E81"/>
    <mergeCell ref="F81:M81"/>
    <mergeCell ref="N81:O81"/>
    <mergeCell ref="P81:W81"/>
    <mergeCell ref="AA81:AH81"/>
    <mergeCell ref="D82:E82"/>
    <mergeCell ref="F82:M82"/>
    <mergeCell ref="N82:O82"/>
    <mergeCell ref="P82:W82"/>
    <mergeCell ref="Z75:AH75"/>
    <mergeCell ref="AA76:AH76"/>
    <mergeCell ref="AA77:AH77"/>
    <mergeCell ref="AA78:AH78"/>
    <mergeCell ref="C79:W79"/>
    <mergeCell ref="AA79:AH79"/>
    <mergeCell ref="B80:C80"/>
    <mergeCell ref="D80:M80"/>
    <mergeCell ref="N80:W80"/>
    <mergeCell ref="AA80:AH80"/>
    <mergeCell ref="Y65:AC65"/>
    <mergeCell ref="AF65:AH65"/>
    <mergeCell ref="AF66:AH66"/>
    <mergeCell ref="AF67:AH67"/>
    <mergeCell ref="AF68:AH68"/>
    <mergeCell ref="AF69:AH69"/>
    <mergeCell ref="AF70:AH70"/>
    <mergeCell ref="A72:C72"/>
    <mergeCell ref="Z74:AD74"/>
    <mergeCell ref="AE74:AH74"/>
    <mergeCell ref="AF63:AH63"/>
    <mergeCell ref="A64:C64"/>
    <mergeCell ref="D64:E64"/>
    <mergeCell ref="F64:G64"/>
    <mergeCell ref="H64:I64"/>
    <mergeCell ref="J64:K64"/>
    <mergeCell ref="L64:M64"/>
    <mergeCell ref="N64:O64"/>
    <mergeCell ref="P64:Q64"/>
    <mergeCell ref="S64:T64"/>
    <mergeCell ref="V64:W64"/>
    <mergeCell ref="Y64:AC64"/>
    <mergeCell ref="AF64:AH64"/>
    <mergeCell ref="Y6:AC6"/>
    <mergeCell ref="A63:C63"/>
    <mergeCell ref="D63:E63"/>
    <mergeCell ref="F63:G63"/>
    <mergeCell ref="H63:I63"/>
    <mergeCell ref="J63:K63"/>
    <mergeCell ref="L63:M63"/>
    <mergeCell ref="N63:O63"/>
    <mergeCell ref="P63:Q63"/>
    <mergeCell ref="S63:T63"/>
    <mergeCell ref="V63:W63"/>
    <mergeCell ref="Y63:AC63"/>
    <mergeCell ref="D6:E6"/>
    <mergeCell ref="F6:G6"/>
    <mergeCell ref="H6:I6"/>
    <mergeCell ref="J6:K6"/>
    <mergeCell ref="L6:M6"/>
    <mergeCell ref="N6:O6"/>
    <mergeCell ref="P6:R6"/>
    <mergeCell ref="S6:U6"/>
    <mergeCell ref="V6:X6"/>
    <mergeCell ref="A3:AH3"/>
    <mergeCell ref="A4:C4"/>
    <mergeCell ref="D4:R4"/>
    <mergeCell ref="S4:V4"/>
    <mergeCell ref="W4:AB4"/>
    <mergeCell ref="AC4:AF4"/>
    <mergeCell ref="AG4:AH4"/>
    <mergeCell ref="A5:C5"/>
    <mergeCell ref="D5:I5"/>
    <mergeCell ref="J5:M5"/>
    <mergeCell ref="N5:R5"/>
    <mergeCell ref="S5:V5"/>
    <mergeCell ref="W5:AH5"/>
  </mergeCells>
  <conditionalFormatting sqref="B8:B62">
    <cfRule type="expression" dxfId="305" priority="1">
      <formula>$AE8="F"</formula>
    </cfRule>
    <cfRule type="expression" dxfId="304" priority="2">
      <formula>$AE8="R2"</formula>
    </cfRule>
    <cfRule type="expression" dxfId="303" priority="3">
      <formula>$AE8="R1"</formula>
    </cfRule>
    <cfRule type="expression" dxfId="302" priority="4">
      <formula>$AE8="Q2"</formula>
    </cfRule>
    <cfRule type="expression" dxfId="301" priority="5">
      <formula>$AE8="Q1"</formula>
    </cfRule>
    <cfRule type="expression" dxfId="300" priority="21">
      <formula>$AE$8="P"</formula>
    </cfRule>
  </conditionalFormatting>
  <conditionalFormatting sqref="D8:D62">
    <cfRule type="cellIs" dxfId="299" priority="64" operator="between">
      <formula>10</formula>
      <formula>19</formula>
    </cfRule>
    <cfRule type="cellIs" dxfId="298" priority="63" operator="between">
      <formula>20</formula>
      <formula>29</formula>
    </cfRule>
    <cfRule type="cellIs" dxfId="297" priority="62" operator="between">
      <formula>30</formula>
      <formula>39</formula>
    </cfRule>
    <cfRule type="cellIs" dxfId="296" priority="66" operator="between">
      <formula>0</formula>
      <formula>9</formula>
    </cfRule>
    <cfRule type="containsBlanks" dxfId="295" priority="65">
      <formula>LEN(TRIM(D8))=0</formula>
    </cfRule>
  </conditionalFormatting>
  <conditionalFormatting sqref="F8:F62">
    <cfRule type="cellIs" dxfId="294" priority="16" operator="between">
      <formula>30</formula>
      <formula>39</formula>
    </cfRule>
    <cfRule type="cellIs" dxfId="293" priority="17" operator="between">
      <formula>20</formula>
      <formula>29</formula>
    </cfRule>
    <cfRule type="cellIs" dxfId="292" priority="18" operator="between">
      <formula>10</formula>
      <formula>19</formula>
    </cfRule>
    <cfRule type="containsBlanks" dxfId="291" priority="19">
      <formula>LEN(TRIM(F8))=0</formula>
    </cfRule>
    <cfRule type="cellIs" dxfId="290" priority="20" operator="between">
      <formula>0</formula>
      <formula>9</formula>
    </cfRule>
  </conditionalFormatting>
  <conditionalFormatting sqref="H8:H62">
    <cfRule type="cellIs" dxfId="289" priority="13" operator="between">
      <formula>10</formula>
      <formula>19</formula>
    </cfRule>
    <cfRule type="cellIs" dxfId="288" priority="11" operator="between">
      <formula>30</formula>
      <formula>39</formula>
    </cfRule>
    <cfRule type="cellIs" dxfId="287" priority="12" operator="between">
      <formula>20</formula>
      <formula>29</formula>
    </cfRule>
    <cfRule type="containsBlanks" dxfId="286" priority="14">
      <formula>LEN(TRIM(H8))=0</formula>
    </cfRule>
    <cfRule type="cellIs" dxfId="285" priority="15" operator="between">
      <formula>0</formula>
      <formula>9</formula>
    </cfRule>
  </conditionalFormatting>
  <conditionalFormatting sqref="J8:J62">
    <cfRule type="cellIs" dxfId="284" priority="6" operator="between">
      <formula>30</formula>
      <formula>39</formula>
    </cfRule>
    <cfRule type="cellIs" dxfId="283" priority="8" operator="between">
      <formula>10</formula>
      <formula>19</formula>
    </cfRule>
    <cfRule type="containsBlanks" dxfId="282" priority="9">
      <formula>LEN(TRIM(J8))=0</formula>
    </cfRule>
    <cfRule type="cellIs" dxfId="281" priority="10" operator="between">
      <formula>0</formula>
      <formula>9</formula>
    </cfRule>
    <cfRule type="cellIs" dxfId="280" priority="7" operator="between">
      <formula>20</formula>
      <formula>29</formula>
    </cfRule>
  </conditionalFormatting>
  <conditionalFormatting sqref="L8:L62">
    <cfRule type="cellIs" dxfId="279" priority="42" operator="between">
      <formula>30</formula>
      <formula>39</formula>
    </cfRule>
    <cfRule type="cellIs" dxfId="278" priority="43" operator="between">
      <formula>20</formula>
      <formula>29</formula>
    </cfRule>
    <cfRule type="cellIs" dxfId="277" priority="44" operator="between">
      <formula>10</formula>
      <formula>19</formula>
    </cfRule>
    <cfRule type="cellIs" dxfId="276" priority="46" operator="between">
      <formula>0</formula>
      <formula>9</formula>
    </cfRule>
    <cfRule type="containsBlanks" dxfId="275" priority="45">
      <formula>LEN(TRIM(L8))=0</formula>
    </cfRule>
  </conditionalFormatting>
  <conditionalFormatting sqref="N8:N62">
    <cfRule type="cellIs" dxfId="274" priority="37" operator="between">
      <formula>30</formula>
      <formula>39</formula>
    </cfRule>
    <cfRule type="cellIs" dxfId="273" priority="38" operator="between">
      <formula>20</formula>
      <formula>29</formula>
    </cfRule>
    <cfRule type="containsBlanks" dxfId="272" priority="40">
      <formula>LEN(TRIM(N8))=0</formula>
    </cfRule>
    <cfRule type="cellIs" dxfId="271" priority="41" operator="between">
      <formula>0</formula>
      <formula>9</formula>
    </cfRule>
    <cfRule type="cellIs" dxfId="270" priority="39" operator="between">
      <formula>10</formula>
      <formula>19</formula>
    </cfRule>
  </conditionalFormatting>
  <conditionalFormatting sqref="P8:P62">
    <cfRule type="cellIs" dxfId="269" priority="33" operator="between">
      <formula>20</formula>
      <formula>29</formula>
    </cfRule>
    <cfRule type="cellIs" dxfId="268" priority="34" operator="between">
      <formula>10</formula>
      <formula>19</formula>
    </cfRule>
    <cfRule type="containsBlanks" dxfId="267" priority="35">
      <formula>LEN(TRIM(P8))=0</formula>
    </cfRule>
    <cfRule type="cellIs" dxfId="266" priority="36" operator="between">
      <formula>0</formula>
      <formula>9</formula>
    </cfRule>
    <cfRule type="cellIs" dxfId="265" priority="32" operator="between">
      <formula>30</formula>
      <formula>39</formula>
    </cfRule>
  </conditionalFormatting>
  <conditionalFormatting sqref="S8:S62">
    <cfRule type="cellIs" dxfId="264" priority="26" operator="between">
      <formula>0</formula>
      <formula>9</formula>
    </cfRule>
    <cfRule type="containsBlanks" dxfId="263" priority="25">
      <formula>LEN(TRIM(S8))=0</formula>
    </cfRule>
    <cfRule type="cellIs" dxfId="262" priority="24" operator="between">
      <formula>10</formula>
      <formula>19</formula>
    </cfRule>
    <cfRule type="cellIs" dxfId="261" priority="23" operator="between">
      <formula>20</formula>
      <formula>29</formula>
    </cfRule>
    <cfRule type="cellIs" dxfId="260" priority="22" operator="between">
      <formula>30</formula>
      <formula>39</formula>
    </cfRule>
  </conditionalFormatting>
  <conditionalFormatting sqref="V8:V62">
    <cfRule type="cellIs" dxfId="259" priority="27" operator="between">
      <formula>30</formula>
      <formula>39</formula>
    </cfRule>
    <cfRule type="cellIs" dxfId="258" priority="28" operator="between">
      <formula>20</formula>
      <formula>29</formula>
    </cfRule>
    <cfRule type="cellIs" dxfId="257" priority="29" operator="between">
      <formula>10</formula>
      <formula>19</formula>
    </cfRule>
    <cfRule type="containsBlanks" dxfId="256" priority="30">
      <formula>LEN(TRIM(V8))=0</formula>
    </cfRule>
    <cfRule type="cellIs" dxfId="255" priority="31" operator="between">
      <formula>0</formula>
      <formula>9</formula>
    </cfRule>
  </conditionalFormatting>
  <dataValidations count="9">
    <dataValidation type="custom" allowBlank="1" showInputMessage="1" showErrorMessage="1" sqref="AK6" xr:uid="{00000000-0002-0000-0400-000000000000}">
      <formula1>EXACT(AK6,LOWER(AK10))</formula1>
    </dataValidation>
    <dataValidation type="custom" allowBlank="1" showInputMessage="1" showErrorMessage="1" sqref="AI74" xr:uid="{00000000-0002-0000-0400-000001000000}">
      <formula1>OR(AND(AI74&gt;=0,AI74&lt;=100),AI74="ab")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8:D10 F8:F10 H8:H10 J8:J10 L8:L10 N8:N10 P8:P10 S8:S10 V8:V10" xr:uid="{00000000-0002-0000-0400-000002000000}">
      <formula1>OR(AND(D8:D62&gt;=0,D8:D62&lt;=100),D8:D62="ab")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11:D23 F11:F23 H11:H23 J11:J23 L11:L23 N11:N23 P11:P23 S11:S23 V11:V23" xr:uid="{00000000-0002-0000-0400-000003000000}">
      <formula1>OR(AND(D11:D66&gt;=0,D11:D66&lt;=100),D11:D66="ab")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24:D53 F24:F53 H24:H53 J24:J53 L24:L53 N24:N53 P24:P53 S24:S53 V24:V53" xr:uid="{00000000-0002-0000-0400-000004000000}">
      <formula1>OR(AND(D24:D83&gt;=0,D24:D83&lt;=100),D24:D83="ab")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54:D62 F54:F62 H54:H62 J54:J62 L54:L62 N54:N62 P54:P62 S54:S62 V54:V62" xr:uid="{00000000-0002-0000-0400-000005000000}">
      <formula1>OR(AND(D54:D114&gt;=0,D54:D114&lt;=100),D54:D114="ab")</formula1>
    </dataValidation>
    <dataValidation type="list" allowBlank="1" showInputMessage="1" showErrorMessage="1" sqref="R8:R62" xr:uid="{00000000-0002-0000-0400-000006000000}">
      <formula1>$B$81:$B$88</formula1>
    </dataValidation>
    <dataValidation type="list" allowBlank="1" showInputMessage="1" showErrorMessage="1" sqref="U8:U62" xr:uid="{00000000-0002-0000-0400-000007000000}">
      <formula1>$D$81:$D$88</formula1>
    </dataValidation>
    <dataValidation type="list" allowBlank="1" showInputMessage="1" showErrorMessage="1" sqref="X8:X62" xr:uid="{00000000-0002-0000-0400-000008000000}">
      <formula1>$N$81:$N$88</formula1>
    </dataValidation>
  </dataValidations>
  <pageMargins left="0.196850393700787" right="0.196850393700787" top="0.23622047244094499" bottom="0" header="0.31496062992126" footer="0.31496062992126"/>
  <pageSetup paperSize="8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N89"/>
  <sheetViews>
    <sheetView topLeftCell="A64" workbookViewId="0">
      <selection activeCell="A64" sqref="A1:XFD1048576"/>
    </sheetView>
  </sheetViews>
  <sheetFormatPr defaultColWidth="9.109375" defaultRowHeight="13.8"/>
  <cols>
    <col min="1" max="1" width="3.33203125" style="168" customWidth="1"/>
    <col min="2" max="2" width="5.88671875" style="168" customWidth="1"/>
    <col min="3" max="3" width="25.33203125" style="168" customWidth="1"/>
    <col min="4" max="4" width="3.6640625" style="168" customWidth="1"/>
    <col min="5" max="5" width="3" style="168" customWidth="1"/>
    <col min="6" max="6" width="3.6640625" style="168" customWidth="1"/>
    <col min="7" max="7" width="3" style="168" customWidth="1"/>
    <col min="8" max="8" width="3.6640625" style="168" customWidth="1"/>
    <col min="9" max="9" width="3" style="168" customWidth="1"/>
    <col min="10" max="10" width="3.6640625" style="168" customWidth="1"/>
    <col min="11" max="11" width="3" style="168" customWidth="1"/>
    <col min="12" max="12" width="3.6640625" style="168" customWidth="1"/>
    <col min="13" max="13" width="3" style="168" customWidth="1"/>
    <col min="14" max="14" width="3.6640625" style="168" customWidth="1"/>
    <col min="15" max="15" width="3" style="168" customWidth="1"/>
    <col min="16" max="16" width="3.6640625" style="168" customWidth="1"/>
    <col min="17" max="17" width="3" style="168" customWidth="1"/>
    <col min="18" max="18" width="3.33203125" style="168" customWidth="1"/>
    <col min="19" max="19" width="3.6640625" style="168" customWidth="1"/>
    <col min="20" max="20" width="3" style="168" customWidth="1"/>
    <col min="21" max="21" width="3.33203125" style="168" customWidth="1"/>
    <col min="22" max="22" width="3.6640625" style="168" customWidth="1"/>
    <col min="23" max="23" width="3" style="168" customWidth="1"/>
    <col min="24" max="24" width="3.33203125" style="168" customWidth="1"/>
    <col min="25" max="29" width="3.5546875" style="169" customWidth="1"/>
    <col min="30" max="30" width="3" style="170" customWidth="1"/>
    <col min="31" max="31" width="3.5546875" style="170" customWidth="1"/>
    <col min="32" max="32" width="4.88671875" style="171" customWidth="1"/>
    <col min="33" max="33" width="5.88671875" style="171" customWidth="1"/>
    <col min="34" max="34" width="3.88671875" style="169" customWidth="1"/>
    <col min="35" max="16384" width="9.109375" style="168"/>
  </cols>
  <sheetData>
    <row r="2" spans="1:34" ht="7.5" customHeight="1"/>
    <row r="3" spans="1:34" ht="19.5" customHeight="1">
      <c r="A3" s="308" t="s">
        <v>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</row>
    <row r="4" spans="1:34" s="166" customFormat="1" ht="15.75" customHeight="1">
      <c r="A4" s="310" t="s">
        <v>1</v>
      </c>
      <c r="B4" s="310"/>
      <c r="C4" s="310"/>
      <c r="D4" s="311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3" t="s">
        <v>2</v>
      </c>
      <c r="T4" s="314"/>
      <c r="U4" s="314"/>
      <c r="V4" s="315"/>
      <c r="W4" s="316"/>
      <c r="X4" s="317"/>
      <c r="Y4" s="317"/>
      <c r="Z4" s="317"/>
      <c r="AA4" s="317"/>
      <c r="AB4" s="318"/>
      <c r="AC4" s="319" t="s">
        <v>3</v>
      </c>
      <c r="AD4" s="320"/>
      <c r="AE4" s="321"/>
      <c r="AF4" s="321"/>
      <c r="AG4" s="316"/>
      <c r="AH4" s="318"/>
    </row>
    <row r="5" spans="1:34" s="166" customFormat="1" ht="15.75" customHeight="1">
      <c r="A5" s="310" t="s">
        <v>4</v>
      </c>
      <c r="B5" s="310"/>
      <c r="C5" s="310"/>
      <c r="D5" s="322"/>
      <c r="E5" s="322"/>
      <c r="F5" s="322"/>
      <c r="G5" s="322"/>
      <c r="H5" s="322"/>
      <c r="I5" s="322"/>
      <c r="J5" s="323" t="s">
        <v>5</v>
      </c>
      <c r="K5" s="323"/>
      <c r="L5" s="323"/>
      <c r="M5" s="323"/>
      <c r="N5" s="311"/>
      <c r="O5" s="312"/>
      <c r="P5" s="312"/>
      <c r="Q5" s="312"/>
      <c r="R5" s="312"/>
      <c r="S5" s="324" t="s">
        <v>6</v>
      </c>
      <c r="T5" s="325"/>
      <c r="U5" s="325"/>
      <c r="V5" s="326"/>
      <c r="W5" s="327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9"/>
    </row>
    <row r="6" spans="1:34" ht="76.5" customHeight="1">
      <c r="A6" s="402"/>
      <c r="B6" s="404" t="s">
        <v>7</v>
      </c>
      <c r="C6" s="172" t="s">
        <v>8</v>
      </c>
      <c r="D6" s="330" t="s">
        <v>9</v>
      </c>
      <c r="E6" s="331"/>
      <c r="F6" s="330" t="s">
        <v>10</v>
      </c>
      <c r="G6" s="331"/>
      <c r="H6" s="332" t="s">
        <v>11</v>
      </c>
      <c r="I6" s="333"/>
      <c r="J6" s="330" t="s">
        <v>12</v>
      </c>
      <c r="K6" s="331"/>
      <c r="L6" s="330" t="s">
        <v>13</v>
      </c>
      <c r="M6" s="331"/>
      <c r="N6" s="330" t="s">
        <v>14</v>
      </c>
      <c r="O6" s="334"/>
      <c r="P6" s="335" t="s">
        <v>15</v>
      </c>
      <c r="Q6" s="336"/>
      <c r="R6" s="337"/>
      <c r="S6" s="332" t="s">
        <v>16</v>
      </c>
      <c r="T6" s="338"/>
      <c r="U6" s="333"/>
      <c r="V6" s="332" t="s">
        <v>17</v>
      </c>
      <c r="W6" s="338"/>
      <c r="X6" s="333"/>
      <c r="Y6" s="339" t="s">
        <v>18</v>
      </c>
      <c r="Z6" s="340"/>
      <c r="AA6" s="340"/>
      <c r="AB6" s="340"/>
      <c r="AC6" s="341"/>
      <c r="AD6" s="406" t="s">
        <v>19</v>
      </c>
      <c r="AE6" s="408" t="s">
        <v>20</v>
      </c>
      <c r="AF6" s="332" t="s">
        <v>21</v>
      </c>
      <c r="AG6" s="338" t="s">
        <v>22</v>
      </c>
      <c r="AH6" s="333" t="s">
        <v>23</v>
      </c>
    </row>
    <row r="7" spans="1:34" ht="18" customHeight="1">
      <c r="A7" s="403"/>
      <c r="B7" s="405"/>
      <c r="C7" s="173" t="s">
        <v>24</v>
      </c>
      <c r="D7" s="174" t="s">
        <v>25</v>
      </c>
      <c r="E7" s="175" t="s">
        <v>26</v>
      </c>
      <c r="F7" s="174" t="s">
        <v>25</v>
      </c>
      <c r="G7" s="175" t="s">
        <v>26</v>
      </c>
      <c r="H7" s="174" t="s">
        <v>25</v>
      </c>
      <c r="I7" s="175" t="s">
        <v>26</v>
      </c>
      <c r="J7" s="174" t="s">
        <v>25</v>
      </c>
      <c r="K7" s="175" t="s">
        <v>26</v>
      </c>
      <c r="L7" s="174" t="s">
        <v>25</v>
      </c>
      <c r="M7" s="175" t="s">
        <v>26</v>
      </c>
      <c r="N7" s="174" t="s">
        <v>25</v>
      </c>
      <c r="O7" s="183" t="s">
        <v>26</v>
      </c>
      <c r="P7" s="174" t="s">
        <v>25</v>
      </c>
      <c r="Q7" s="186" t="s">
        <v>26</v>
      </c>
      <c r="R7" s="187" t="s">
        <v>27</v>
      </c>
      <c r="S7" s="174" t="s">
        <v>25</v>
      </c>
      <c r="T7" s="186" t="s">
        <v>26</v>
      </c>
      <c r="U7" s="188" t="s">
        <v>27</v>
      </c>
      <c r="V7" s="174" t="s">
        <v>25</v>
      </c>
      <c r="W7" s="186" t="s">
        <v>26</v>
      </c>
      <c r="X7" s="188" t="s">
        <v>27</v>
      </c>
      <c r="Y7" s="202" t="s">
        <v>28</v>
      </c>
      <c r="Z7" s="203" t="s">
        <v>29</v>
      </c>
      <c r="AA7" s="203" t="s">
        <v>30</v>
      </c>
      <c r="AB7" s="203" t="s">
        <v>31</v>
      </c>
      <c r="AC7" s="204" t="s">
        <v>32</v>
      </c>
      <c r="AD7" s="407"/>
      <c r="AE7" s="409"/>
      <c r="AF7" s="410"/>
      <c r="AG7" s="411"/>
      <c r="AH7" s="412"/>
    </row>
    <row r="8" spans="1:34" s="167" customFormat="1" ht="12.75" customHeight="1">
      <c r="A8" s="176">
        <v>1</v>
      </c>
      <c r="B8" s="177"/>
      <c r="C8" s="178"/>
      <c r="D8" s="179"/>
      <c r="E8" s="180" t="str">
        <f>IF(D8="","",IF(D8="ab","ab",IF(D8&gt;=75,"A",(IF(D8&gt;=65,"B",IF(D8&gt;=50,"C",IF(D8&gt;=40,"S","W")))))))</f>
        <v/>
      </c>
      <c r="F8" s="179"/>
      <c r="G8" s="180" t="str">
        <f>IF(F8="","",IF(F8="ab","ab",IF(F8&gt;=75,"A",(IF(F8&gt;=65,"B",IF(F8&gt;=50,"C",IF(F8&gt;=40,"S","W")))))))</f>
        <v/>
      </c>
      <c r="H8" s="179"/>
      <c r="I8" s="180" t="str">
        <f>IF(H8="","",IF(H8="ab","ab",IF(H8&gt;=75,"A",(IF(H8&gt;=65,"B",IF(H8&gt;=50,"C",IF(H8&gt;=40,"S","W")))))))</f>
        <v/>
      </c>
      <c r="J8" s="179"/>
      <c r="K8" s="180" t="str">
        <f>IF(J8="","",IF(J8="ab","ab",IF(J8&gt;=75,"A",(IF(J8&gt;=65,"B",IF(J8&gt;=50,"C",IF(J8&gt;=40,"S","W")))))))</f>
        <v/>
      </c>
      <c r="L8" s="179"/>
      <c r="M8" s="180" t="str">
        <f>IF(L8="","",IF(L8="ab","ab",IF(L8&gt;=75,"A",(IF(L8&gt;=65,"B",IF(L8&gt;=50,"C",IF(L8&gt;=40,"S","W")))))))</f>
        <v/>
      </c>
      <c r="N8" s="179"/>
      <c r="O8" s="184" t="str">
        <f>IF(N8="","",IF(N8="ab","ab",IF(N8&gt;=75,"A",(IF(N8&gt;=65,"B",IF(N8&gt;=50,"C",IF(N8&gt;=40,"S","W")))))))</f>
        <v/>
      </c>
      <c r="P8" s="179"/>
      <c r="Q8" s="189" t="str">
        <f t="shared" ref="Q8:Q62" si="0">IF(P8="","",IF(P8="ab","ab",IF(P8&gt;=75,"A",(IF(P8&gt;=65,"B",IF(P8&gt;=50,"C",IF(P8&gt;=40,"S","W")))))))</f>
        <v/>
      </c>
      <c r="R8" s="190"/>
      <c r="S8" s="179"/>
      <c r="T8" s="189" t="str">
        <f>IF(S8="","",IF(S8="ab","ab",IF(S8&gt;=75,"A",(IF(S8&gt;=65,"B",IF(S8&gt;=50,"C",IF(S8&gt;=40,"S","W")))))))</f>
        <v/>
      </c>
      <c r="U8" s="190"/>
      <c r="V8" s="179"/>
      <c r="W8" s="189" t="str">
        <f>IF(V8="","",IF(V8="ab","ab",IF(V8&gt;=75,"A",(IF(V8&gt;=65,"B",IF(V8&gt;=50,"C",IF(V8&gt;=40,"S","W")))))))</f>
        <v/>
      </c>
      <c r="X8" s="191"/>
      <c r="Y8" s="205" t="str">
        <f t="shared" ref="Y8:Y62" si="1">IF(AND($D8="ab",$F8="ab",$H8="ab",$J8="ab",$L8="ab",$N8="ab",$P8="ab",$S8="ab",$V8="ab"),"-",IF(COUNT($D8:$W8)=0,"",(COUNTIF($D8:$W8,"A"))))</f>
        <v/>
      </c>
      <c r="Z8" s="206" t="str">
        <f t="shared" ref="Z8:Z62" si="2">IF(AND($D8="ab",$F8="ab",$H8="ab",$J8="ab",$L8="ab",$N8="ab",$P8="ab",$S8="ab",$V8="ab"),"-",IF(COUNT($D8:$W8)=0,"",(COUNTIF($D8:$W8,"B"))))</f>
        <v/>
      </c>
      <c r="AA8" s="206" t="str">
        <f t="shared" ref="AA8:AA62" si="3">IF(AND($D8="ab",$F8="ab",$H8="ab",$J8="ab",$L8="ab",$N8="ab",$P8="ab",$S8="ab",$V8="ab"),"-",IF(COUNT($D8:$W8)=0,"",(COUNTIF($D8:$W8,"C"))))</f>
        <v/>
      </c>
      <c r="AB8" s="206" t="str">
        <f t="shared" ref="AB8:AB62" si="4">IF(AND($D8="ab",$F8="ab",$H8="ab",$J8="ab",$L8="ab",$N8="ab",$P8="ab",$S8="ab",$V8="ab"),"-",IF(COUNT($D8:$W8)=0,"",(COUNTIF($D8:$W8,"S"))))</f>
        <v/>
      </c>
      <c r="AC8" s="207" t="str">
        <f t="shared" ref="AC8:AC62" si="5">IF(AND($D8="ab",$F8="ab",$H8="ab",$J8="ab",$L8="ab",$N8="ab",$P8="ab",$S8="ab",$V8="ab"),"-",IF(COUNT($D8:$W8)=0,"",(COUNTIF($D8:$W8,"W"))))</f>
        <v/>
      </c>
      <c r="AD8" s="208" t="str">
        <f t="shared" ref="AD8:AD62" si="6">IF(AND(D8="ab",F8="ab",H8="ab",J8="ab",L8="ab",N8="ab",P8="ab",S8="ab",V8="ab"),"ab",IF(AND(Y8="",Z8="",AA8="",AB8="",AC8=""),"",IF(AND((D8&gt;=40),(H8&gt;=40),(Y8+Z8+AA8+AB8)&gt;=6,(Y8+Z8+AA8)&gt;=3),"P","F")))</f>
        <v/>
      </c>
      <c r="AE8" s="209" t="str">
        <f>IF(AD8="","",IF(AD8="P","P",IF(AND(AD8="F",H8&gt;=40,D8&gt;=40,(Y8+Z8+AA8+AB8)&gt;=6,(Y8+Z8+AA8)=2),"Q1",IF(AND(AD8="F",(OR(H8&gt;=40,D8&gt;=40)),(Y8+Z8+AA8+AB8)&gt;=5,(Y8+Z8+AA8)&gt;=3),"Q2",IF((COUNTIF(D8:X8,"&gt;=40"))&gt;=5,"R1",IF((COUNTIF(D8:X8,"&gt;=20"))&gt;=5,"R2","F"))))))</f>
        <v/>
      </c>
      <c r="AF8" s="210" t="str">
        <f t="shared" ref="AF8:AF62" si="7">IF(AND(D8="",F8="",H8="",J8="",L8="",N8="",P8="",S8="",V8=""),"",IF(AND(D8="ab",F8="ab",H8="ab",J8="ab",L8="ab",N8="ab",P8="ab",S8="ab",V8="ab"),"ab",IF(COUNT(D8:W8)=0,"",(SUM(D8:V8)))))</f>
        <v/>
      </c>
      <c r="AG8" s="219" t="str">
        <f t="shared" ref="AG8:AG62" si="8">IF(AF8="","",IF(AF8="ab","ab",IF(AF8=0,0,(AVERAGE(D8:V8)))))</f>
        <v/>
      </c>
      <c r="AH8" s="207" t="str">
        <f t="shared" ref="AH8:AH62" si="9">IF(AF8="","",IF(AF8="ab","ab",(RANK(AF8,$AF$8:$AF$62))))</f>
        <v/>
      </c>
    </row>
    <row r="9" spans="1:34" s="167" customFormat="1" ht="12.75" customHeight="1">
      <c r="A9" s="181">
        <v>2</v>
      </c>
      <c r="B9" s="177"/>
      <c r="C9" s="182"/>
      <c r="D9" s="179"/>
      <c r="E9" s="180" t="str">
        <f t="shared" ref="E9:E62" si="10">IF(D9="","",IF(D9="ab","ab",IF(D9&gt;=75,"A",(IF(D9&gt;=65,"B",IF(D9&gt;=50,"C",IF(D9&gt;=40,"S","W")))))))</f>
        <v/>
      </c>
      <c r="F9" s="179"/>
      <c r="G9" s="180" t="str">
        <f t="shared" ref="G9:G62" si="11">IF(F9="","",IF(F9="ab","ab",IF(F9&gt;=75,"A",(IF(F9&gt;=65,"B",IF(F9&gt;=50,"C",IF(F9&gt;=40,"S","W")))))))</f>
        <v/>
      </c>
      <c r="H9" s="179"/>
      <c r="I9" s="180" t="str">
        <f t="shared" ref="I9:I62" si="12">IF(H9="","",IF(H9="ab","ab",IF(H9&gt;=75,"A",(IF(H9&gt;=65,"B",IF(H9&gt;=50,"C",IF(H9&gt;=40,"S","W")))))))</f>
        <v/>
      </c>
      <c r="J9" s="179"/>
      <c r="K9" s="180" t="str">
        <f t="shared" ref="K9:K62" si="13">IF(J9="","",IF(J9="ab","ab",IF(J9&gt;=75,"A",(IF(J9&gt;=65,"B",IF(J9&gt;=50,"C",IF(J9&gt;=40,"S","W")))))))</f>
        <v/>
      </c>
      <c r="L9" s="179"/>
      <c r="M9" s="180" t="str">
        <f t="shared" ref="M9:M62" si="14">IF(L9="","",IF(L9="ab","ab",IF(L9&gt;=75,"A",(IF(L9&gt;=65,"B",IF(L9&gt;=50,"C",IF(L9&gt;=40,"S","W")))))))</f>
        <v/>
      </c>
      <c r="N9" s="179"/>
      <c r="O9" s="180" t="str">
        <f t="shared" ref="O9:O62" si="15">IF(N9="","",IF(N9="ab","ab",IF(N9&gt;=75,"A",(IF(N9&gt;=65,"B",IF(N9&gt;=50,"C",IF(N9&gt;=40,"S","W")))))))</f>
        <v/>
      </c>
      <c r="P9" s="179"/>
      <c r="Q9" s="192" t="str">
        <f t="shared" si="0"/>
        <v/>
      </c>
      <c r="R9" s="193"/>
      <c r="S9" s="179"/>
      <c r="T9" s="192" t="str">
        <f t="shared" ref="T9:T62" si="16">IF(S9="","",IF(S9="ab","ab",IF(S9&gt;=75,"A",(IF(S9&gt;=65,"B",IF(S9&gt;=50,"C",IF(S9&gt;=40,"S","W")))))))</f>
        <v/>
      </c>
      <c r="U9" s="193"/>
      <c r="V9" s="179"/>
      <c r="W9" s="192" t="str">
        <f t="shared" ref="W9:W62" si="17">IF(V9="","",IF(V9="ab","ab",IF(V9&gt;=75,"A",(IF(V9&gt;=65,"B",IF(V9&gt;=50,"C",IF(V9&gt;=40,"S","W")))))))</f>
        <v/>
      </c>
      <c r="X9" s="194"/>
      <c r="Y9" s="205" t="str">
        <f t="shared" si="1"/>
        <v/>
      </c>
      <c r="Z9" s="206" t="str">
        <f t="shared" si="2"/>
        <v/>
      </c>
      <c r="AA9" s="206" t="str">
        <f t="shared" si="3"/>
        <v/>
      </c>
      <c r="AB9" s="206" t="str">
        <f t="shared" si="4"/>
        <v/>
      </c>
      <c r="AC9" s="207" t="str">
        <f t="shared" si="5"/>
        <v/>
      </c>
      <c r="AD9" s="208" t="str">
        <f t="shared" si="6"/>
        <v/>
      </c>
      <c r="AE9" s="209" t="str">
        <f t="shared" ref="AE9:AE62" si="18">IF(AD9="","",IF(AD9="P","P",IF(AND(AD9="F",H9&gt;=40,D9&gt;=40,(Y9+Z9+AA9+AB9)&gt;=6,(Y9+Z9+AA9)=2),"Q1",IF(AND(AD9="F",(OR(H9&gt;=40,D9&gt;=40)),(Y9+Z9+AA9+AB9)&gt;=5,(Y9+Z9+AA9)&gt;=3),"Q2",IF((COUNTIF(D9:X9,"&gt;=40"))&gt;=5,"R1",IF((COUNTIF(D9:X9,"&gt;=20"))&gt;=5,"R2","F"))))))</f>
        <v/>
      </c>
      <c r="AF9" s="210" t="str">
        <f t="shared" si="7"/>
        <v/>
      </c>
      <c r="AG9" s="219" t="str">
        <f t="shared" si="8"/>
        <v/>
      </c>
      <c r="AH9" s="207" t="str">
        <f t="shared" si="9"/>
        <v/>
      </c>
    </row>
    <row r="10" spans="1:34" s="167" customFormat="1" ht="12.75" customHeight="1">
      <c r="A10" s="181">
        <v>3</v>
      </c>
      <c r="B10" s="177"/>
      <c r="C10" s="182"/>
      <c r="D10" s="179"/>
      <c r="E10" s="180" t="str">
        <f t="shared" si="10"/>
        <v/>
      </c>
      <c r="F10" s="179"/>
      <c r="G10" s="180" t="str">
        <f t="shared" si="11"/>
        <v/>
      </c>
      <c r="H10" s="179"/>
      <c r="I10" s="180" t="str">
        <f t="shared" si="12"/>
        <v/>
      </c>
      <c r="J10" s="179"/>
      <c r="K10" s="180" t="str">
        <f t="shared" si="13"/>
        <v/>
      </c>
      <c r="L10" s="179"/>
      <c r="M10" s="180" t="str">
        <f t="shared" si="14"/>
        <v/>
      </c>
      <c r="N10" s="179"/>
      <c r="O10" s="180" t="str">
        <f t="shared" si="15"/>
        <v/>
      </c>
      <c r="P10" s="179"/>
      <c r="Q10" s="192" t="str">
        <f t="shared" si="0"/>
        <v/>
      </c>
      <c r="R10" s="193"/>
      <c r="S10" s="179"/>
      <c r="T10" s="192" t="str">
        <f t="shared" si="16"/>
        <v/>
      </c>
      <c r="U10" s="193"/>
      <c r="V10" s="179"/>
      <c r="W10" s="192" t="str">
        <f t="shared" si="17"/>
        <v/>
      </c>
      <c r="X10" s="194"/>
      <c r="Y10" s="205" t="str">
        <f t="shared" si="1"/>
        <v/>
      </c>
      <c r="Z10" s="206" t="str">
        <f t="shared" si="2"/>
        <v/>
      </c>
      <c r="AA10" s="206" t="str">
        <f t="shared" si="3"/>
        <v/>
      </c>
      <c r="AB10" s="206" t="str">
        <f t="shared" si="4"/>
        <v/>
      </c>
      <c r="AC10" s="207" t="str">
        <f t="shared" si="5"/>
        <v/>
      </c>
      <c r="AD10" s="208" t="str">
        <f t="shared" si="6"/>
        <v/>
      </c>
      <c r="AE10" s="209" t="str">
        <f t="shared" si="18"/>
        <v/>
      </c>
      <c r="AF10" s="210" t="str">
        <f t="shared" si="7"/>
        <v/>
      </c>
      <c r="AG10" s="219" t="str">
        <f t="shared" si="8"/>
        <v/>
      </c>
      <c r="AH10" s="207" t="str">
        <f t="shared" si="9"/>
        <v/>
      </c>
    </row>
    <row r="11" spans="1:34" s="167" customFormat="1" ht="12.75" customHeight="1">
      <c r="A11" s="181">
        <v>4</v>
      </c>
      <c r="B11" s="177"/>
      <c r="C11" s="182"/>
      <c r="D11" s="179"/>
      <c r="E11" s="180" t="str">
        <f t="shared" si="10"/>
        <v/>
      </c>
      <c r="F11" s="179"/>
      <c r="G11" s="180" t="str">
        <f t="shared" si="11"/>
        <v/>
      </c>
      <c r="H11" s="179"/>
      <c r="I11" s="180" t="str">
        <f t="shared" si="12"/>
        <v/>
      </c>
      <c r="J11" s="179"/>
      <c r="K11" s="180" t="str">
        <f t="shared" si="13"/>
        <v/>
      </c>
      <c r="L11" s="179"/>
      <c r="M11" s="180" t="str">
        <f t="shared" si="14"/>
        <v/>
      </c>
      <c r="N11" s="179"/>
      <c r="O11" s="180" t="str">
        <f t="shared" si="15"/>
        <v/>
      </c>
      <c r="P11" s="179"/>
      <c r="Q11" s="192" t="str">
        <f t="shared" si="0"/>
        <v/>
      </c>
      <c r="R11" s="193"/>
      <c r="S11" s="179"/>
      <c r="T11" s="192" t="str">
        <f t="shared" si="16"/>
        <v/>
      </c>
      <c r="U11" s="193"/>
      <c r="V11" s="179"/>
      <c r="W11" s="192" t="str">
        <f t="shared" si="17"/>
        <v/>
      </c>
      <c r="X11" s="194"/>
      <c r="Y11" s="205" t="str">
        <f t="shared" si="1"/>
        <v/>
      </c>
      <c r="Z11" s="206" t="str">
        <f t="shared" si="2"/>
        <v/>
      </c>
      <c r="AA11" s="206" t="str">
        <f t="shared" si="3"/>
        <v/>
      </c>
      <c r="AB11" s="206" t="str">
        <f t="shared" si="4"/>
        <v/>
      </c>
      <c r="AC11" s="207" t="str">
        <f t="shared" si="5"/>
        <v/>
      </c>
      <c r="AD11" s="208" t="str">
        <f t="shared" si="6"/>
        <v/>
      </c>
      <c r="AE11" s="209" t="str">
        <f t="shared" si="18"/>
        <v/>
      </c>
      <c r="AF11" s="210" t="str">
        <f t="shared" si="7"/>
        <v/>
      </c>
      <c r="AG11" s="219" t="str">
        <f t="shared" si="8"/>
        <v/>
      </c>
      <c r="AH11" s="207" t="str">
        <f t="shared" si="9"/>
        <v/>
      </c>
    </row>
    <row r="12" spans="1:34" s="167" customFormat="1" ht="12.75" customHeight="1">
      <c r="A12" s="181">
        <v>5</v>
      </c>
      <c r="B12" s="177"/>
      <c r="C12" s="182"/>
      <c r="D12" s="179"/>
      <c r="E12" s="180" t="str">
        <f t="shared" si="10"/>
        <v/>
      </c>
      <c r="F12" s="179"/>
      <c r="G12" s="180" t="str">
        <f t="shared" si="11"/>
        <v/>
      </c>
      <c r="H12" s="179"/>
      <c r="I12" s="180" t="str">
        <f t="shared" si="12"/>
        <v/>
      </c>
      <c r="J12" s="179"/>
      <c r="K12" s="180" t="str">
        <f t="shared" si="13"/>
        <v/>
      </c>
      <c r="L12" s="179"/>
      <c r="M12" s="180" t="str">
        <f t="shared" si="14"/>
        <v/>
      </c>
      <c r="N12" s="179"/>
      <c r="O12" s="180" t="str">
        <f t="shared" si="15"/>
        <v/>
      </c>
      <c r="P12" s="179"/>
      <c r="Q12" s="192" t="str">
        <f t="shared" si="0"/>
        <v/>
      </c>
      <c r="R12" s="193"/>
      <c r="S12" s="179"/>
      <c r="T12" s="192" t="str">
        <f t="shared" si="16"/>
        <v/>
      </c>
      <c r="U12" s="193"/>
      <c r="V12" s="179"/>
      <c r="W12" s="192" t="str">
        <f t="shared" si="17"/>
        <v/>
      </c>
      <c r="X12" s="194"/>
      <c r="Y12" s="205" t="str">
        <f t="shared" si="1"/>
        <v/>
      </c>
      <c r="Z12" s="206" t="str">
        <f t="shared" si="2"/>
        <v/>
      </c>
      <c r="AA12" s="206" t="str">
        <f t="shared" si="3"/>
        <v/>
      </c>
      <c r="AB12" s="206" t="str">
        <f t="shared" si="4"/>
        <v/>
      </c>
      <c r="AC12" s="207" t="str">
        <f t="shared" si="5"/>
        <v/>
      </c>
      <c r="AD12" s="208" t="str">
        <f t="shared" si="6"/>
        <v/>
      </c>
      <c r="AE12" s="209" t="str">
        <f t="shared" si="18"/>
        <v/>
      </c>
      <c r="AF12" s="210" t="str">
        <f t="shared" si="7"/>
        <v/>
      </c>
      <c r="AG12" s="219" t="str">
        <f t="shared" si="8"/>
        <v/>
      </c>
      <c r="AH12" s="207" t="str">
        <f t="shared" si="9"/>
        <v/>
      </c>
    </row>
    <row r="13" spans="1:34" s="167" customFormat="1" ht="12.75" customHeight="1">
      <c r="A13" s="181">
        <v>6</v>
      </c>
      <c r="B13" s="177"/>
      <c r="C13" s="182"/>
      <c r="D13" s="179"/>
      <c r="E13" s="180" t="str">
        <f t="shared" si="10"/>
        <v/>
      </c>
      <c r="F13" s="179"/>
      <c r="G13" s="180" t="str">
        <f t="shared" si="11"/>
        <v/>
      </c>
      <c r="H13" s="179"/>
      <c r="I13" s="180" t="str">
        <f t="shared" si="12"/>
        <v/>
      </c>
      <c r="J13" s="179"/>
      <c r="K13" s="180" t="str">
        <f t="shared" si="13"/>
        <v/>
      </c>
      <c r="L13" s="179"/>
      <c r="M13" s="180" t="str">
        <f t="shared" si="14"/>
        <v/>
      </c>
      <c r="N13" s="179"/>
      <c r="O13" s="180" t="str">
        <f t="shared" si="15"/>
        <v/>
      </c>
      <c r="P13" s="179"/>
      <c r="Q13" s="192" t="str">
        <f t="shared" si="0"/>
        <v/>
      </c>
      <c r="R13" s="193"/>
      <c r="S13" s="179"/>
      <c r="T13" s="192" t="str">
        <f t="shared" si="16"/>
        <v/>
      </c>
      <c r="U13" s="193"/>
      <c r="V13" s="179"/>
      <c r="W13" s="192" t="str">
        <f t="shared" si="17"/>
        <v/>
      </c>
      <c r="X13" s="194"/>
      <c r="Y13" s="205" t="str">
        <f t="shared" si="1"/>
        <v/>
      </c>
      <c r="Z13" s="206" t="str">
        <f t="shared" si="2"/>
        <v/>
      </c>
      <c r="AA13" s="206" t="str">
        <f t="shared" si="3"/>
        <v/>
      </c>
      <c r="AB13" s="206" t="str">
        <f t="shared" si="4"/>
        <v/>
      </c>
      <c r="AC13" s="207" t="str">
        <f t="shared" si="5"/>
        <v/>
      </c>
      <c r="AD13" s="208" t="str">
        <f t="shared" si="6"/>
        <v/>
      </c>
      <c r="AE13" s="209" t="str">
        <f t="shared" si="18"/>
        <v/>
      </c>
      <c r="AF13" s="210" t="str">
        <f t="shared" si="7"/>
        <v/>
      </c>
      <c r="AG13" s="219" t="str">
        <f t="shared" si="8"/>
        <v/>
      </c>
      <c r="AH13" s="207" t="str">
        <f t="shared" si="9"/>
        <v/>
      </c>
    </row>
    <row r="14" spans="1:34" s="167" customFormat="1" ht="12.75" customHeight="1">
      <c r="A14" s="181">
        <v>7</v>
      </c>
      <c r="B14" s="177"/>
      <c r="C14" s="182"/>
      <c r="D14" s="179"/>
      <c r="E14" s="180" t="str">
        <f t="shared" si="10"/>
        <v/>
      </c>
      <c r="F14" s="179"/>
      <c r="G14" s="180" t="str">
        <f t="shared" si="11"/>
        <v/>
      </c>
      <c r="H14" s="179"/>
      <c r="I14" s="180" t="str">
        <f t="shared" si="12"/>
        <v/>
      </c>
      <c r="J14" s="179"/>
      <c r="K14" s="180" t="str">
        <f t="shared" si="13"/>
        <v/>
      </c>
      <c r="L14" s="179"/>
      <c r="M14" s="180" t="str">
        <f t="shared" si="14"/>
        <v/>
      </c>
      <c r="N14" s="179"/>
      <c r="O14" s="180" t="str">
        <f t="shared" si="15"/>
        <v/>
      </c>
      <c r="P14" s="179"/>
      <c r="Q14" s="192" t="str">
        <f t="shared" si="0"/>
        <v/>
      </c>
      <c r="R14" s="193"/>
      <c r="S14" s="179"/>
      <c r="T14" s="192" t="str">
        <f t="shared" si="16"/>
        <v/>
      </c>
      <c r="U14" s="193"/>
      <c r="V14" s="179"/>
      <c r="W14" s="192" t="str">
        <f t="shared" si="17"/>
        <v/>
      </c>
      <c r="X14" s="194"/>
      <c r="Y14" s="205" t="str">
        <f t="shared" si="1"/>
        <v/>
      </c>
      <c r="Z14" s="206" t="str">
        <f t="shared" si="2"/>
        <v/>
      </c>
      <c r="AA14" s="206" t="str">
        <f t="shared" si="3"/>
        <v/>
      </c>
      <c r="AB14" s="206" t="str">
        <f t="shared" si="4"/>
        <v/>
      </c>
      <c r="AC14" s="207" t="str">
        <f t="shared" si="5"/>
        <v/>
      </c>
      <c r="AD14" s="208" t="str">
        <f t="shared" si="6"/>
        <v/>
      </c>
      <c r="AE14" s="209" t="str">
        <f t="shared" si="18"/>
        <v/>
      </c>
      <c r="AF14" s="210" t="str">
        <f t="shared" si="7"/>
        <v/>
      </c>
      <c r="AG14" s="219" t="str">
        <f t="shared" si="8"/>
        <v/>
      </c>
      <c r="AH14" s="207" t="str">
        <f t="shared" si="9"/>
        <v/>
      </c>
    </row>
    <row r="15" spans="1:34" s="167" customFormat="1" ht="12.75" customHeight="1">
      <c r="A15" s="181">
        <v>8</v>
      </c>
      <c r="B15" s="177"/>
      <c r="C15" s="182"/>
      <c r="D15" s="179"/>
      <c r="E15" s="180" t="str">
        <f t="shared" si="10"/>
        <v/>
      </c>
      <c r="F15" s="179"/>
      <c r="G15" s="180" t="str">
        <f t="shared" si="11"/>
        <v/>
      </c>
      <c r="H15" s="179"/>
      <c r="I15" s="180" t="str">
        <f t="shared" si="12"/>
        <v/>
      </c>
      <c r="J15" s="179"/>
      <c r="K15" s="180" t="str">
        <f t="shared" si="13"/>
        <v/>
      </c>
      <c r="L15" s="179"/>
      <c r="M15" s="180" t="str">
        <f t="shared" si="14"/>
        <v/>
      </c>
      <c r="N15" s="179"/>
      <c r="O15" s="180" t="str">
        <f t="shared" si="15"/>
        <v/>
      </c>
      <c r="P15" s="179"/>
      <c r="Q15" s="192" t="str">
        <f t="shared" si="0"/>
        <v/>
      </c>
      <c r="R15" s="193"/>
      <c r="S15" s="179"/>
      <c r="T15" s="192" t="str">
        <f t="shared" si="16"/>
        <v/>
      </c>
      <c r="U15" s="193"/>
      <c r="V15" s="179"/>
      <c r="W15" s="192" t="str">
        <f t="shared" si="17"/>
        <v/>
      </c>
      <c r="X15" s="194"/>
      <c r="Y15" s="205" t="str">
        <f t="shared" si="1"/>
        <v/>
      </c>
      <c r="Z15" s="206" t="str">
        <f t="shared" si="2"/>
        <v/>
      </c>
      <c r="AA15" s="206" t="str">
        <f t="shared" si="3"/>
        <v/>
      </c>
      <c r="AB15" s="206" t="str">
        <f t="shared" si="4"/>
        <v/>
      </c>
      <c r="AC15" s="207" t="str">
        <f t="shared" si="5"/>
        <v/>
      </c>
      <c r="AD15" s="208" t="str">
        <f t="shared" si="6"/>
        <v/>
      </c>
      <c r="AE15" s="209" t="str">
        <f t="shared" si="18"/>
        <v/>
      </c>
      <c r="AF15" s="210" t="str">
        <f t="shared" si="7"/>
        <v/>
      </c>
      <c r="AG15" s="219" t="str">
        <f t="shared" si="8"/>
        <v/>
      </c>
      <c r="AH15" s="207" t="str">
        <f t="shared" si="9"/>
        <v/>
      </c>
    </row>
    <row r="16" spans="1:34" s="167" customFormat="1" ht="12.75" customHeight="1">
      <c r="A16" s="181">
        <v>9</v>
      </c>
      <c r="B16" s="177"/>
      <c r="C16" s="182"/>
      <c r="D16" s="179"/>
      <c r="E16" s="180" t="str">
        <f t="shared" si="10"/>
        <v/>
      </c>
      <c r="F16" s="179"/>
      <c r="G16" s="180" t="str">
        <f t="shared" si="11"/>
        <v/>
      </c>
      <c r="H16" s="179"/>
      <c r="I16" s="180" t="str">
        <f t="shared" si="12"/>
        <v/>
      </c>
      <c r="J16" s="179"/>
      <c r="K16" s="180" t="str">
        <f t="shared" si="13"/>
        <v/>
      </c>
      <c r="L16" s="179"/>
      <c r="M16" s="180" t="str">
        <f t="shared" si="14"/>
        <v/>
      </c>
      <c r="N16" s="179"/>
      <c r="O16" s="180" t="str">
        <f t="shared" si="15"/>
        <v/>
      </c>
      <c r="P16" s="179"/>
      <c r="Q16" s="192" t="str">
        <f t="shared" si="0"/>
        <v/>
      </c>
      <c r="R16" s="193"/>
      <c r="S16" s="179"/>
      <c r="T16" s="192" t="str">
        <f t="shared" si="16"/>
        <v/>
      </c>
      <c r="U16" s="193"/>
      <c r="V16" s="179"/>
      <c r="W16" s="192" t="str">
        <f t="shared" si="17"/>
        <v/>
      </c>
      <c r="X16" s="194"/>
      <c r="Y16" s="205" t="str">
        <f t="shared" si="1"/>
        <v/>
      </c>
      <c r="Z16" s="206" t="str">
        <f t="shared" si="2"/>
        <v/>
      </c>
      <c r="AA16" s="206" t="str">
        <f t="shared" si="3"/>
        <v/>
      </c>
      <c r="AB16" s="206" t="str">
        <f t="shared" si="4"/>
        <v/>
      </c>
      <c r="AC16" s="207" t="str">
        <f t="shared" si="5"/>
        <v/>
      </c>
      <c r="AD16" s="208" t="str">
        <f t="shared" si="6"/>
        <v/>
      </c>
      <c r="AE16" s="209" t="str">
        <f t="shared" si="18"/>
        <v/>
      </c>
      <c r="AF16" s="210" t="str">
        <f t="shared" si="7"/>
        <v/>
      </c>
      <c r="AG16" s="219" t="str">
        <f t="shared" si="8"/>
        <v/>
      </c>
      <c r="AH16" s="207" t="str">
        <f t="shared" si="9"/>
        <v/>
      </c>
    </row>
    <row r="17" spans="1:34" s="167" customFormat="1" ht="12.75" customHeight="1">
      <c r="A17" s="181">
        <v>10</v>
      </c>
      <c r="B17" s="177"/>
      <c r="C17" s="182"/>
      <c r="D17" s="179"/>
      <c r="E17" s="180" t="str">
        <f t="shared" si="10"/>
        <v/>
      </c>
      <c r="F17" s="179"/>
      <c r="G17" s="180" t="str">
        <f t="shared" si="11"/>
        <v/>
      </c>
      <c r="H17" s="179"/>
      <c r="I17" s="180" t="str">
        <f t="shared" si="12"/>
        <v/>
      </c>
      <c r="J17" s="179"/>
      <c r="K17" s="180" t="str">
        <f t="shared" si="13"/>
        <v/>
      </c>
      <c r="L17" s="179"/>
      <c r="M17" s="180" t="str">
        <f t="shared" si="14"/>
        <v/>
      </c>
      <c r="N17" s="179"/>
      <c r="O17" s="180" t="str">
        <f t="shared" si="15"/>
        <v/>
      </c>
      <c r="P17" s="179"/>
      <c r="Q17" s="192" t="str">
        <f t="shared" si="0"/>
        <v/>
      </c>
      <c r="R17" s="193"/>
      <c r="S17" s="179"/>
      <c r="T17" s="192" t="str">
        <f t="shared" si="16"/>
        <v/>
      </c>
      <c r="U17" s="193"/>
      <c r="V17" s="179"/>
      <c r="W17" s="192" t="str">
        <f t="shared" si="17"/>
        <v/>
      </c>
      <c r="X17" s="194"/>
      <c r="Y17" s="205" t="str">
        <f t="shared" si="1"/>
        <v/>
      </c>
      <c r="Z17" s="206" t="str">
        <f t="shared" si="2"/>
        <v/>
      </c>
      <c r="AA17" s="206" t="str">
        <f t="shared" si="3"/>
        <v/>
      </c>
      <c r="AB17" s="206" t="str">
        <f t="shared" si="4"/>
        <v/>
      </c>
      <c r="AC17" s="207" t="str">
        <f t="shared" si="5"/>
        <v/>
      </c>
      <c r="AD17" s="208" t="str">
        <f t="shared" si="6"/>
        <v/>
      </c>
      <c r="AE17" s="209" t="str">
        <f t="shared" si="18"/>
        <v/>
      </c>
      <c r="AF17" s="210" t="str">
        <f t="shared" si="7"/>
        <v/>
      </c>
      <c r="AG17" s="219" t="str">
        <f t="shared" si="8"/>
        <v/>
      </c>
      <c r="AH17" s="207" t="str">
        <f t="shared" si="9"/>
        <v/>
      </c>
    </row>
    <row r="18" spans="1:34" s="167" customFormat="1" ht="12.75" customHeight="1">
      <c r="A18" s="181">
        <v>11</v>
      </c>
      <c r="B18" s="177"/>
      <c r="C18" s="182"/>
      <c r="D18" s="179"/>
      <c r="E18" s="180" t="str">
        <f t="shared" si="10"/>
        <v/>
      </c>
      <c r="F18" s="179"/>
      <c r="G18" s="180" t="str">
        <f t="shared" si="11"/>
        <v/>
      </c>
      <c r="H18" s="179"/>
      <c r="I18" s="180" t="str">
        <f t="shared" si="12"/>
        <v/>
      </c>
      <c r="J18" s="179"/>
      <c r="K18" s="180" t="str">
        <f t="shared" si="13"/>
        <v/>
      </c>
      <c r="L18" s="179"/>
      <c r="M18" s="180" t="str">
        <f t="shared" si="14"/>
        <v/>
      </c>
      <c r="N18" s="179"/>
      <c r="O18" s="180" t="str">
        <f t="shared" si="15"/>
        <v/>
      </c>
      <c r="P18" s="179"/>
      <c r="Q18" s="192" t="str">
        <f t="shared" si="0"/>
        <v/>
      </c>
      <c r="R18" s="193"/>
      <c r="S18" s="179"/>
      <c r="T18" s="192" t="str">
        <f t="shared" si="16"/>
        <v/>
      </c>
      <c r="U18" s="193"/>
      <c r="V18" s="179"/>
      <c r="W18" s="192" t="str">
        <f t="shared" si="17"/>
        <v/>
      </c>
      <c r="X18" s="194"/>
      <c r="Y18" s="205" t="str">
        <f t="shared" si="1"/>
        <v/>
      </c>
      <c r="Z18" s="206" t="str">
        <f t="shared" si="2"/>
        <v/>
      </c>
      <c r="AA18" s="206" t="str">
        <f t="shared" si="3"/>
        <v/>
      </c>
      <c r="AB18" s="206" t="str">
        <f t="shared" si="4"/>
        <v/>
      </c>
      <c r="AC18" s="207" t="str">
        <f t="shared" si="5"/>
        <v/>
      </c>
      <c r="AD18" s="208" t="str">
        <f t="shared" si="6"/>
        <v/>
      </c>
      <c r="AE18" s="209" t="str">
        <f t="shared" si="18"/>
        <v/>
      </c>
      <c r="AF18" s="210" t="str">
        <f t="shared" si="7"/>
        <v/>
      </c>
      <c r="AG18" s="219" t="str">
        <f t="shared" si="8"/>
        <v/>
      </c>
      <c r="AH18" s="207" t="str">
        <f t="shared" si="9"/>
        <v/>
      </c>
    </row>
    <row r="19" spans="1:34" s="167" customFormat="1" ht="12.75" customHeight="1">
      <c r="A19" s="181">
        <v>12</v>
      </c>
      <c r="B19" s="177"/>
      <c r="C19" s="182"/>
      <c r="D19" s="179"/>
      <c r="E19" s="180" t="str">
        <f t="shared" si="10"/>
        <v/>
      </c>
      <c r="F19" s="179"/>
      <c r="G19" s="180" t="str">
        <f t="shared" si="11"/>
        <v/>
      </c>
      <c r="H19" s="179"/>
      <c r="I19" s="180" t="str">
        <f t="shared" si="12"/>
        <v/>
      </c>
      <c r="J19" s="179"/>
      <c r="K19" s="180" t="str">
        <f t="shared" si="13"/>
        <v/>
      </c>
      <c r="L19" s="179"/>
      <c r="M19" s="180" t="str">
        <f t="shared" si="14"/>
        <v/>
      </c>
      <c r="N19" s="179"/>
      <c r="O19" s="180" t="str">
        <f t="shared" si="15"/>
        <v/>
      </c>
      <c r="P19" s="179"/>
      <c r="Q19" s="192" t="str">
        <f t="shared" si="0"/>
        <v/>
      </c>
      <c r="R19" s="193"/>
      <c r="S19" s="179"/>
      <c r="T19" s="192" t="str">
        <f t="shared" si="16"/>
        <v/>
      </c>
      <c r="U19" s="193"/>
      <c r="V19" s="179"/>
      <c r="W19" s="192" t="str">
        <f t="shared" si="17"/>
        <v/>
      </c>
      <c r="X19" s="194"/>
      <c r="Y19" s="205" t="str">
        <f t="shared" si="1"/>
        <v/>
      </c>
      <c r="Z19" s="206" t="str">
        <f t="shared" si="2"/>
        <v/>
      </c>
      <c r="AA19" s="206" t="str">
        <f t="shared" si="3"/>
        <v/>
      </c>
      <c r="AB19" s="206" t="str">
        <f t="shared" si="4"/>
        <v/>
      </c>
      <c r="AC19" s="207" t="str">
        <f t="shared" si="5"/>
        <v/>
      </c>
      <c r="AD19" s="208" t="str">
        <f t="shared" si="6"/>
        <v/>
      </c>
      <c r="AE19" s="209" t="str">
        <f t="shared" si="18"/>
        <v/>
      </c>
      <c r="AF19" s="210" t="str">
        <f t="shared" si="7"/>
        <v/>
      </c>
      <c r="AG19" s="219" t="str">
        <f t="shared" si="8"/>
        <v/>
      </c>
      <c r="AH19" s="207" t="str">
        <f t="shared" si="9"/>
        <v/>
      </c>
    </row>
    <row r="20" spans="1:34" s="167" customFormat="1" ht="12.75" customHeight="1">
      <c r="A20" s="181">
        <v>13</v>
      </c>
      <c r="B20" s="177"/>
      <c r="C20" s="182"/>
      <c r="D20" s="179"/>
      <c r="E20" s="180" t="str">
        <f t="shared" si="10"/>
        <v/>
      </c>
      <c r="F20" s="179"/>
      <c r="G20" s="180" t="str">
        <f t="shared" si="11"/>
        <v/>
      </c>
      <c r="H20" s="179"/>
      <c r="I20" s="180" t="str">
        <f t="shared" si="12"/>
        <v/>
      </c>
      <c r="J20" s="179"/>
      <c r="K20" s="180" t="str">
        <f t="shared" si="13"/>
        <v/>
      </c>
      <c r="L20" s="179"/>
      <c r="M20" s="180" t="str">
        <f t="shared" si="14"/>
        <v/>
      </c>
      <c r="N20" s="179"/>
      <c r="O20" s="180" t="str">
        <f t="shared" si="15"/>
        <v/>
      </c>
      <c r="P20" s="179"/>
      <c r="Q20" s="192" t="str">
        <f t="shared" si="0"/>
        <v/>
      </c>
      <c r="R20" s="193"/>
      <c r="S20" s="179"/>
      <c r="T20" s="192" t="str">
        <f t="shared" si="16"/>
        <v/>
      </c>
      <c r="U20" s="193"/>
      <c r="V20" s="179"/>
      <c r="W20" s="192" t="str">
        <f t="shared" si="17"/>
        <v/>
      </c>
      <c r="X20" s="194"/>
      <c r="Y20" s="205" t="str">
        <f t="shared" si="1"/>
        <v/>
      </c>
      <c r="Z20" s="206" t="str">
        <f t="shared" si="2"/>
        <v/>
      </c>
      <c r="AA20" s="206" t="str">
        <f t="shared" si="3"/>
        <v/>
      </c>
      <c r="AB20" s="206" t="str">
        <f t="shared" si="4"/>
        <v/>
      </c>
      <c r="AC20" s="207" t="str">
        <f t="shared" si="5"/>
        <v/>
      </c>
      <c r="AD20" s="208" t="str">
        <f t="shared" si="6"/>
        <v/>
      </c>
      <c r="AE20" s="209" t="str">
        <f t="shared" si="18"/>
        <v/>
      </c>
      <c r="AF20" s="210" t="str">
        <f t="shared" si="7"/>
        <v/>
      </c>
      <c r="AG20" s="219" t="str">
        <f t="shared" si="8"/>
        <v/>
      </c>
      <c r="AH20" s="207" t="str">
        <f t="shared" si="9"/>
        <v/>
      </c>
    </row>
    <row r="21" spans="1:34" s="167" customFormat="1" ht="12.75" customHeight="1">
      <c r="A21" s="181">
        <v>14</v>
      </c>
      <c r="B21" s="177"/>
      <c r="C21" s="182"/>
      <c r="D21" s="179"/>
      <c r="E21" s="180" t="str">
        <f t="shared" si="10"/>
        <v/>
      </c>
      <c r="F21" s="179"/>
      <c r="G21" s="180" t="str">
        <f t="shared" si="11"/>
        <v/>
      </c>
      <c r="H21" s="179"/>
      <c r="I21" s="180" t="str">
        <f t="shared" si="12"/>
        <v/>
      </c>
      <c r="J21" s="179"/>
      <c r="K21" s="180" t="str">
        <f t="shared" si="13"/>
        <v/>
      </c>
      <c r="L21" s="179"/>
      <c r="M21" s="180" t="str">
        <f t="shared" si="14"/>
        <v/>
      </c>
      <c r="N21" s="179"/>
      <c r="O21" s="180" t="str">
        <f t="shared" si="15"/>
        <v/>
      </c>
      <c r="P21" s="179"/>
      <c r="Q21" s="192" t="str">
        <f t="shared" si="0"/>
        <v/>
      </c>
      <c r="R21" s="193"/>
      <c r="S21" s="179"/>
      <c r="T21" s="192" t="str">
        <f t="shared" si="16"/>
        <v/>
      </c>
      <c r="U21" s="193"/>
      <c r="V21" s="179"/>
      <c r="W21" s="192" t="str">
        <f t="shared" si="17"/>
        <v/>
      </c>
      <c r="X21" s="194"/>
      <c r="Y21" s="205" t="str">
        <f t="shared" si="1"/>
        <v/>
      </c>
      <c r="Z21" s="206" t="str">
        <f t="shared" si="2"/>
        <v/>
      </c>
      <c r="AA21" s="206" t="str">
        <f t="shared" si="3"/>
        <v/>
      </c>
      <c r="AB21" s="206" t="str">
        <f t="shared" si="4"/>
        <v/>
      </c>
      <c r="AC21" s="207" t="str">
        <f t="shared" si="5"/>
        <v/>
      </c>
      <c r="AD21" s="208" t="str">
        <f t="shared" si="6"/>
        <v/>
      </c>
      <c r="AE21" s="209" t="str">
        <f t="shared" si="18"/>
        <v/>
      </c>
      <c r="AF21" s="210" t="str">
        <f t="shared" si="7"/>
        <v/>
      </c>
      <c r="AG21" s="219" t="str">
        <f t="shared" si="8"/>
        <v/>
      </c>
      <c r="AH21" s="207" t="str">
        <f t="shared" si="9"/>
        <v/>
      </c>
    </row>
    <row r="22" spans="1:34" s="167" customFormat="1" ht="12.75" customHeight="1">
      <c r="A22" s="181">
        <v>15</v>
      </c>
      <c r="B22" s="177"/>
      <c r="C22" s="182"/>
      <c r="D22" s="179"/>
      <c r="E22" s="180" t="str">
        <f t="shared" si="10"/>
        <v/>
      </c>
      <c r="F22" s="179"/>
      <c r="G22" s="180" t="str">
        <f t="shared" si="11"/>
        <v/>
      </c>
      <c r="H22" s="179"/>
      <c r="I22" s="180" t="str">
        <f t="shared" si="12"/>
        <v/>
      </c>
      <c r="J22" s="179"/>
      <c r="K22" s="180" t="str">
        <f t="shared" si="13"/>
        <v/>
      </c>
      <c r="L22" s="179"/>
      <c r="M22" s="180" t="str">
        <f t="shared" si="14"/>
        <v/>
      </c>
      <c r="N22" s="179"/>
      <c r="O22" s="180" t="str">
        <f t="shared" si="15"/>
        <v/>
      </c>
      <c r="P22" s="179"/>
      <c r="Q22" s="192" t="str">
        <f t="shared" si="0"/>
        <v/>
      </c>
      <c r="R22" s="193"/>
      <c r="S22" s="179"/>
      <c r="T22" s="192" t="str">
        <f t="shared" si="16"/>
        <v/>
      </c>
      <c r="U22" s="193"/>
      <c r="V22" s="179"/>
      <c r="W22" s="192" t="str">
        <f t="shared" si="17"/>
        <v/>
      </c>
      <c r="X22" s="194"/>
      <c r="Y22" s="205" t="str">
        <f t="shared" si="1"/>
        <v/>
      </c>
      <c r="Z22" s="206" t="str">
        <f t="shared" si="2"/>
        <v/>
      </c>
      <c r="AA22" s="206" t="str">
        <f t="shared" si="3"/>
        <v/>
      </c>
      <c r="AB22" s="206" t="str">
        <f t="shared" si="4"/>
        <v/>
      </c>
      <c r="AC22" s="207" t="str">
        <f t="shared" si="5"/>
        <v/>
      </c>
      <c r="AD22" s="208" t="str">
        <f t="shared" si="6"/>
        <v/>
      </c>
      <c r="AE22" s="209" t="str">
        <f t="shared" si="18"/>
        <v/>
      </c>
      <c r="AF22" s="210" t="str">
        <f t="shared" si="7"/>
        <v/>
      </c>
      <c r="AG22" s="219" t="str">
        <f t="shared" si="8"/>
        <v/>
      </c>
      <c r="AH22" s="207" t="str">
        <f t="shared" si="9"/>
        <v/>
      </c>
    </row>
    <row r="23" spans="1:34" s="167" customFormat="1" ht="12.75" customHeight="1">
      <c r="A23" s="181">
        <v>16</v>
      </c>
      <c r="B23" s="177"/>
      <c r="C23" s="182"/>
      <c r="D23" s="179"/>
      <c r="E23" s="180" t="str">
        <f t="shared" si="10"/>
        <v/>
      </c>
      <c r="F23" s="179"/>
      <c r="G23" s="180" t="str">
        <f t="shared" si="11"/>
        <v/>
      </c>
      <c r="H23" s="179"/>
      <c r="I23" s="180" t="str">
        <f t="shared" si="12"/>
        <v/>
      </c>
      <c r="J23" s="179"/>
      <c r="K23" s="180" t="str">
        <f t="shared" si="13"/>
        <v/>
      </c>
      <c r="L23" s="179"/>
      <c r="M23" s="180" t="str">
        <f t="shared" si="14"/>
        <v/>
      </c>
      <c r="N23" s="179"/>
      <c r="O23" s="180" t="str">
        <f t="shared" si="15"/>
        <v/>
      </c>
      <c r="P23" s="179"/>
      <c r="Q23" s="192" t="str">
        <f t="shared" si="0"/>
        <v/>
      </c>
      <c r="R23" s="193"/>
      <c r="S23" s="179"/>
      <c r="T23" s="192" t="str">
        <f t="shared" si="16"/>
        <v/>
      </c>
      <c r="U23" s="193"/>
      <c r="V23" s="179"/>
      <c r="W23" s="192" t="str">
        <f t="shared" si="17"/>
        <v/>
      </c>
      <c r="X23" s="194"/>
      <c r="Y23" s="205" t="str">
        <f t="shared" si="1"/>
        <v/>
      </c>
      <c r="Z23" s="206" t="str">
        <f t="shared" si="2"/>
        <v/>
      </c>
      <c r="AA23" s="206" t="str">
        <f t="shared" si="3"/>
        <v/>
      </c>
      <c r="AB23" s="206" t="str">
        <f t="shared" si="4"/>
        <v/>
      </c>
      <c r="AC23" s="207" t="str">
        <f t="shared" si="5"/>
        <v/>
      </c>
      <c r="AD23" s="208" t="str">
        <f t="shared" si="6"/>
        <v/>
      </c>
      <c r="AE23" s="209" t="str">
        <f t="shared" si="18"/>
        <v/>
      </c>
      <c r="AF23" s="210" t="str">
        <f t="shared" si="7"/>
        <v/>
      </c>
      <c r="AG23" s="219" t="str">
        <f t="shared" si="8"/>
        <v/>
      </c>
      <c r="AH23" s="207" t="str">
        <f t="shared" si="9"/>
        <v/>
      </c>
    </row>
    <row r="24" spans="1:34" s="167" customFormat="1" ht="12.75" customHeight="1">
      <c r="A24" s="181">
        <v>17</v>
      </c>
      <c r="B24" s="177"/>
      <c r="C24" s="182"/>
      <c r="D24" s="179"/>
      <c r="E24" s="180" t="str">
        <f t="shared" si="10"/>
        <v/>
      </c>
      <c r="F24" s="179"/>
      <c r="G24" s="180" t="str">
        <f t="shared" si="11"/>
        <v/>
      </c>
      <c r="H24" s="179"/>
      <c r="I24" s="180" t="str">
        <f t="shared" si="12"/>
        <v/>
      </c>
      <c r="J24" s="179"/>
      <c r="K24" s="180" t="str">
        <f t="shared" si="13"/>
        <v/>
      </c>
      <c r="L24" s="179"/>
      <c r="M24" s="180" t="str">
        <f t="shared" si="14"/>
        <v/>
      </c>
      <c r="N24" s="179"/>
      <c r="O24" s="180" t="str">
        <f t="shared" si="15"/>
        <v/>
      </c>
      <c r="P24" s="179"/>
      <c r="Q24" s="192" t="str">
        <f t="shared" si="0"/>
        <v/>
      </c>
      <c r="R24" s="193"/>
      <c r="S24" s="179"/>
      <c r="T24" s="192" t="str">
        <f t="shared" si="16"/>
        <v/>
      </c>
      <c r="U24" s="193"/>
      <c r="V24" s="179"/>
      <c r="W24" s="192" t="str">
        <f t="shared" si="17"/>
        <v/>
      </c>
      <c r="X24" s="194"/>
      <c r="Y24" s="205" t="str">
        <f t="shared" si="1"/>
        <v/>
      </c>
      <c r="Z24" s="206" t="str">
        <f t="shared" si="2"/>
        <v/>
      </c>
      <c r="AA24" s="206" t="str">
        <f t="shared" si="3"/>
        <v/>
      </c>
      <c r="AB24" s="206" t="str">
        <f t="shared" si="4"/>
        <v/>
      </c>
      <c r="AC24" s="207" t="str">
        <f t="shared" si="5"/>
        <v/>
      </c>
      <c r="AD24" s="208" t="str">
        <f t="shared" si="6"/>
        <v/>
      </c>
      <c r="AE24" s="209" t="str">
        <f t="shared" si="18"/>
        <v/>
      </c>
      <c r="AF24" s="210" t="str">
        <f t="shared" si="7"/>
        <v/>
      </c>
      <c r="AG24" s="219" t="str">
        <f t="shared" si="8"/>
        <v/>
      </c>
      <c r="AH24" s="207" t="str">
        <f t="shared" si="9"/>
        <v/>
      </c>
    </row>
    <row r="25" spans="1:34" s="167" customFormat="1" ht="12.75" customHeight="1">
      <c r="A25" s="181">
        <v>18</v>
      </c>
      <c r="B25" s="177"/>
      <c r="C25" s="182"/>
      <c r="D25" s="179"/>
      <c r="E25" s="180" t="str">
        <f t="shared" si="10"/>
        <v/>
      </c>
      <c r="F25" s="179"/>
      <c r="G25" s="180" t="str">
        <f t="shared" si="11"/>
        <v/>
      </c>
      <c r="H25" s="179"/>
      <c r="I25" s="180" t="str">
        <f t="shared" si="12"/>
        <v/>
      </c>
      <c r="J25" s="179"/>
      <c r="K25" s="180" t="str">
        <f t="shared" si="13"/>
        <v/>
      </c>
      <c r="L25" s="179"/>
      <c r="M25" s="180" t="str">
        <f t="shared" si="14"/>
        <v/>
      </c>
      <c r="N25" s="179"/>
      <c r="O25" s="180" t="str">
        <f t="shared" si="15"/>
        <v/>
      </c>
      <c r="P25" s="179"/>
      <c r="Q25" s="192" t="str">
        <f t="shared" si="0"/>
        <v/>
      </c>
      <c r="R25" s="193"/>
      <c r="S25" s="179"/>
      <c r="T25" s="192" t="str">
        <f t="shared" si="16"/>
        <v/>
      </c>
      <c r="U25" s="193"/>
      <c r="V25" s="179"/>
      <c r="W25" s="192" t="str">
        <f t="shared" si="17"/>
        <v/>
      </c>
      <c r="X25" s="194"/>
      <c r="Y25" s="205" t="str">
        <f t="shared" si="1"/>
        <v/>
      </c>
      <c r="Z25" s="206" t="str">
        <f t="shared" si="2"/>
        <v/>
      </c>
      <c r="AA25" s="206" t="str">
        <f t="shared" si="3"/>
        <v/>
      </c>
      <c r="AB25" s="206" t="str">
        <f t="shared" si="4"/>
        <v/>
      </c>
      <c r="AC25" s="207" t="str">
        <f t="shared" si="5"/>
        <v/>
      </c>
      <c r="AD25" s="208" t="str">
        <f t="shared" si="6"/>
        <v/>
      </c>
      <c r="AE25" s="209" t="str">
        <f t="shared" si="18"/>
        <v/>
      </c>
      <c r="AF25" s="210" t="str">
        <f t="shared" si="7"/>
        <v/>
      </c>
      <c r="AG25" s="219" t="str">
        <f t="shared" si="8"/>
        <v/>
      </c>
      <c r="AH25" s="207" t="str">
        <f t="shared" si="9"/>
        <v/>
      </c>
    </row>
    <row r="26" spans="1:34" s="167" customFormat="1" ht="12.75" customHeight="1">
      <c r="A26" s="181">
        <v>19</v>
      </c>
      <c r="B26" s="177"/>
      <c r="C26" s="182"/>
      <c r="D26" s="179"/>
      <c r="E26" s="180" t="str">
        <f t="shared" si="10"/>
        <v/>
      </c>
      <c r="F26" s="179"/>
      <c r="G26" s="180" t="str">
        <f t="shared" si="11"/>
        <v/>
      </c>
      <c r="H26" s="179"/>
      <c r="I26" s="180" t="str">
        <f t="shared" si="12"/>
        <v/>
      </c>
      <c r="J26" s="179"/>
      <c r="K26" s="180" t="str">
        <f t="shared" si="13"/>
        <v/>
      </c>
      <c r="L26" s="179"/>
      <c r="M26" s="180" t="str">
        <f t="shared" si="14"/>
        <v/>
      </c>
      <c r="N26" s="179"/>
      <c r="O26" s="180" t="str">
        <f t="shared" si="15"/>
        <v/>
      </c>
      <c r="P26" s="179"/>
      <c r="Q26" s="192" t="str">
        <f t="shared" si="0"/>
        <v/>
      </c>
      <c r="R26" s="193"/>
      <c r="S26" s="179"/>
      <c r="T26" s="192" t="str">
        <f t="shared" si="16"/>
        <v/>
      </c>
      <c r="U26" s="193"/>
      <c r="V26" s="179"/>
      <c r="W26" s="192" t="str">
        <f t="shared" si="17"/>
        <v/>
      </c>
      <c r="X26" s="194"/>
      <c r="Y26" s="205" t="str">
        <f t="shared" si="1"/>
        <v/>
      </c>
      <c r="Z26" s="206" t="str">
        <f t="shared" si="2"/>
        <v/>
      </c>
      <c r="AA26" s="206" t="str">
        <f t="shared" si="3"/>
        <v/>
      </c>
      <c r="AB26" s="206" t="str">
        <f t="shared" si="4"/>
        <v/>
      </c>
      <c r="AC26" s="207" t="str">
        <f t="shared" si="5"/>
        <v/>
      </c>
      <c r="AD26" s="208" t="str">
        <f t="shared" si="6"/>
        <v/>
      </c>
      <c r="AE26" s="209" t="str">
        <f t="shared" si="18"/>
        <v/>
      </c>
      <c r="AF26" s="210" t="str">
        <f t="shared" si="7"/>
        <v/>
      </c>
      <c r="AG26" s="219" t="str">
        <f t="shared" si="8"/>
        <v/>
      </c>
      <c r="AH26" s="207" t="str">
        <f t="shared" si="9"/>
        <v/>
      </c>
    </row>
    <row r="27" spans="1:34" s="167" customFormat="1" ht="12.75" customHeight="1">
      <c r="A27" s="181">
        <v>20</v>
      </c>
      <c r="B27" s="177"/>
      <c r="C27" s="182"/>
      <c r="D27" s="179"/>
      <c r="E27" s="180" t="str">
        <f t="shared" si="10"/>
        <v/>
      </c>
      <c r="F27" s="179"/>
      <c r="G27" s="180" t="str">
        <f t="shared" si="11"/>
        <v/>
      </c>
      <c r="H27" s="179"/>
      <c r="I27" s="180" t="str">
        <f t="shared" si="12"/>
        <v/>
      </c>
      <c r="J27" s="179"/>
      <c r="K27" s="180" t="str">
        <f t="shared" si="13"/>
        <v/>
      </c>
      <c r="L27" s="179"/>
      <c r="M27" s="180" t="str">
        <f t="shared" si="14"/>
        <v/>
      </c>
      <c r="N27" s="179"/>
      <c r="O27" s="180" t="str">
        <f t="shared" si="15"/>
        <v/>
      </c>
      <c r="P27" s="179"/>
      <c r="Q27" s="192" t="str">
        <f t="shared" si="0"/>
        <v/>
      </c>
      <c r="R27" s="193"/>
      <c r="S27" s="179"/>
      <c r="T27" s="192" t="str">
        <f t="shared" si="16"/>
        <v/>
      </c>
      <c r="U27" s="193"/>
      <c r="V27" s="179"/>
      <c r="W27" s="192" t="str">
        <f t="shared" si="17"/>
        <v/>
      </c>
      <c r="X27" s="194"/>
      <c r="Y27" s="205" t="str">
        <f t="shared" si="1"/>
        <v/>
      </c>
      <c r="Z27" s="206" t="str">
        <f t="shared" si="2"/>
        <v/>
      </c>
      <c r="AA27" s="206" t="str">
        <f t="shared" si="3"/>
        <v/>
      </c>
      <c r="AB27" s="206" t="str">
        <f t="shared" si="4"/>
        <v/>
      </c>
      <c r="AC27" s="207" t="str">
        <f t="shared" si="5"/>
        <v/>
      </c>
      <c r="AD27" s="208" t="str">
        <f t="shared" si="6"/>
        <v/>
      </c>
      <c r="AE27" s="209" t="str">
        <f t="shared" si="18"/>
        <v/>
      </c>
      <c r="AF27" s="210" t="str">
        <f t="shared" si="7"/>
        <v/>
      </c>
      <c r="AG27" s="219" t="str">
        <f t="shared" si="8"/>
        <v/>
      </c>
      <c r="AH27" s="207" t="str">
        <f t="shared" si="9"/>
        <v/>
      </c>
    </row>
    <row r="28" spans="1:34" s="167" customFormat="1" ht="12.75" customHeight="1">
      <c r="A28" s="181">
        <v>21</v>
      </c>
      <c r="B28" s="177"/>
      <c r="C28" s="182"/>
      <c r="D28" s="179"/>
      <c r="E28" s="180" t="str">
        <f t="shared" si="10"/>
        <v/>
      </c>
      <c r="F28" s="179"/>
      <c r="G28" s="180" t="str">
        <f t="shared" si="11"/>
        <v/>
      </c>
      <c r="H28" s="179"/>
      <c r="I28" s="180" t="str">
        <f t="shared" si="12"/>
        <v/>
      </c>
      <c r="J28" s="179"/>
      <c r="K28" s="180" t="str">
        <f t="shared" si="13"/>
        <v/>
      </c>
      <c r="L28" s="179"/>
      <c r="M28" s="180" t="str">
        <f t="shared" si="14"/>
        <v/>
      </c>
      <c r="N28" s="179"/>
      <c r="O28" s="180" t="str">
        <f t="shared" si="15"/>
        <v/>
      </c>
      <c r="P28" s="179"/>
      <c r="Q28" s="192" t="str">
        <f t="shared" si="0"/>
        <v/>
      </c>
      <c r="R28" s="193"/>
      <c r="S28" s="179"/>
      <c r="T28" s="192" t="str">
        <f t="shared" si="16"/>
        <v/>
      </c>
      <c r="U28" s="193"/>
      <c r="V28" s="179"/>
      <c r="W28" s="192" t="str">
        <f t="shared" si="17"/>
        <v/>
      </c>
      <c r="X28" s="194"/>
      <c r="Y28" s="205" t="str">
        <f t="shared" si="1"/>
        <v/>
      </c>
      <c r="Z28" s="206" t="str">
        <f t="shared" si="2"/>
        <v/>
      </c>
      <c r="AA28" s="206" t="str">
        <f t="shared" si="3"/>
        <v/>
      </c>
      <c r="AB28" s="206" t="str">
        <f t="shared" si="4"/>
        <v/>
      </c>
      <c r="AC28" s="207" t="str">
        <f t="shared" si="5"/>
        <v/>
      </c>
      <c r="AD28" s="208" t="str">
        <f t="shared" si="6"/>
        <v/>
      </c>
      <c r="AE28" s="209" t="str">
        <f t="shared" si="18"/>
        <v/>
      </c>
      <c r="AF28" s="210" t="str">
        <f t="shared" si="7"/>
        <v/>
      </c>
      <c r="AG28" s="219" t="str">
        <f t="shared" si="8"/>
        <v/>
      </c>
      <c r="AH28" s="207" t="str">
        <f t="shared" si="9"/>
        <v/>
      </c>
    </row>
    <row r="29" spans="1:34" s="167" customFormat="1" ht="12.75" customHeight="1">
      <c r="A29" s="181">
        <v>22</v>
      </c>
      <c r="B29" s="177"/>
      <c r="C29" s="182"/>
      <c r="D29" s="179"/>
      <c r="E29" s="180" t="str">
        <f t="shared" si="10"/>
        <v/>
      </c>
      <c r="F29" s="179"/>
      <c r="G29" s="180" t="str">
        <f t="shared" si="11"/>
        <v/>
      </c>
      <c r="H29" s="179"/>
      <c r="I29" s="180" t="str">
        <f t="shared" si="12"/>
        <v/>
      </c>
      <c r="J29" s="179"/>
      <c r="K29" s="180" t="str">
        <f t="shared" si="13"/>
        <v/>
      </c>
      <c r="L29" s="179"/>
      <c r="M29" s="180" t="str">
        <f t="shared" si="14"/>
        <v/>
      </c>
      <c r="N29" s="179"/>
      <c r="O29" s="180" t="str">
        <f t="shared" si="15"/>
        <v/>
      </c>
      <c r="P29" s="179"/>
      <c r="Q29" s="192" t="str">
        <f t="shared" si="0"/>
        <v/>
      </c>
      <c r="R29" s="193"/>
      <c r="S29" s="179"/>
      <c r="T29" s="192" t="str">
        <f t="shared" si="16"/>
        <v/>
      </c>
      <c r="U29" s="193"/>
      <c r="V29" s="179"/>
      <c r="W29" s="192" t="str">
        <f t="shared" si="17"/>
        <v/>
      </c>
      <c r="X29" s="194"/>
      <c r="Y29" s="205" t="str">
        <f t="shared" si="1"/>
        <v/>
      </c>
      <c r="Z29" s="206" t="str">
        <f t="shared" si="2"/>
        <v/>
      </c>
      <c r="AA29" s="206" t="str">
        <f t="shared" si="3"/>
        <v/>
      </c>
      <c r="AB29" s="206" t="str">
        <f t="shared" si="4"/>
        <v/>
      </c>
      <c r="AC29" s="207" t="str">
        <f t="shared" si="5"/>
        <v/>
      </c>
      <c r="AD29" s="208" t="str">
        <f t="shared" si="6"/>
        <v/>
      </c>
      <c r="AE29" s="209" t="str">
        <f t="shared" si="18"/>
        <v/>
      </c>
      <c r="AF29" s="210" t="str">
        <f t="shared" si="7"/>
        <v/>
      </c>
      <c r="AG29" s="219" t="str">
        <f t="shared" si="8"/>
        <v/>
      </c>
      <c r="AH29" s="207" t="str">
        <f t="shared" si="9"/>
        <v/>
      </c>
    </row>
    <row r="30" spans="1:34" s="167" customFormat="1" ht="12.75" customHeight="1">
      <c r="A30" s="181">
        <v>23</v>
      </c>
      <c r="B30" s="177"/>
      <c r="C30" s="182"/>
      <c r="D30" s="179"/>
      <c r="E30" s="180" t="str">
        <f t="shared" si="10"/>
        <v/>
      </c>
      <c r="F30" s="179"/>
      <c r="G30" s="180" t="str">
        <f t="shared" si="11"/>
        <v/>
      </c>
      <c r="H30" s="179"/>
      <c r="I30" s="180" t="str">
        <f t="shared" si="12"/>
        <v/>
      </c>
      <c r="J30" s="179"/>
      <c r="K30" s="180" t="str">
        <f t="shared" si="13"/>
        <v/>
      </c>
      <c r="L30" s="179"/>
      <c r="M30" s="180" t="str">
        <f t="shared" si="14"/>
        <v/>
      </c>
      <c r="N30" s="179"/>
      <c r="O30" s="180" t="str">
        <f t="shared" si="15"/>
        <v/>
      </c>
      <c r="P30" s="179"/>
      <c r="Q30" s="192" t="str">
        <f t="shared" si="0"/>
        <v/>
      </c>
      <c r="R30" s="193"/>
      <c r="S30" s="179"/>
      <c r="T30" s="192" t="str">
        <f t="shared" si="16"/>
        <v/>
      </c>
      <c r="U30" s="193"/>
      <c r="V30" s="179"/>
      <c r="W30" s="192" t="str">
        <f t="shared" si="17"/>
        <v/>
      </c>
      <c r="X30" s="194"/>
      <c r="Y30" s="205" t="str">
        <f t="shared" si="1"/>
        <v/>
      </c>
      <c r="Z30" s="206" t="str">
        <f t="shared" si="2"/>
        <v/>
      </c>
      <c r="AA30" s="206" t="str">
        <f t="shared" si="3"/>
        <v/>
      </c>
      <c r="AB30" s="206" t="str">
        <f t="shared" si="4"/>
        <v/>
      </c>
      <c r="AC30" s="207" t="str">
        <f t="shared" si="5"/>
        <v/>
      </c>
      <c r="AD30" s="208" t="str">
        <f t="shared" si="6"/>
        <v/>
      </c>
      <c r="AE30" s="209" t="str">
        <f t="shared" si="18"/>
        <v/>
      </c>
      <c r="AF30" s="210" t="str">
        <f t="shared" si="7"/>
        <v/>
      </c>
      <c r="AG30" s="219" t="str">
        <f t="shared" si="8"/>
        <v/>
      </c>
      <c r="AH30" s="207" t="str">
        <f t="shared" si="9"/>
        <v/>
      </c>
    </row>
    <row r="31" spans="1:34" s="167" customFormat="1" ht="12.75" customHeight="1">
      <c r="A31" s="181">
        <v>24</v>
      </c>
      <c r="B31" s="177"/>
      <c r="C31" s="182"/>
      <c r="D31" s="179"/>
      <c r="E31" s="180" t="str">
        <f t="shared" si="10"/>
        <v/>
      </c>
      <c r="F31" s="179"/>
      <c r="G31" s="180" t="str">
        <f t="shared" si="11"/>
        <v/>
      </c>
      <c r="H31" s="179"/>
      <c r="I31" s="180" t="str">
        <f t="shared" si="12"/>
        <v/>
      </c>
      <c r="J31" s="179"/>
      <c r="K31" s="180" t="str">
        <f t="shared" si="13"/>
        <v/>
      </c>
      <c r="L31" s="179"/>
      <c r="M31" s="180" t="str">
        <f t="shared" si="14"/>
        <v/>
      </c>
      <c r="N31" s="179"/>
      <c r="O31" s="180" t="str">
        <f t="shared" si="15"/>
        <v/>
      </c>
      <c r="P31" s="179"/>
      <c r="Q31" s="192" t="str">
        <f t="shared" si="0"/>
        <v/>
      </c>
      <c r="R31" s="193"/>
      <c r="S31" s="179"/>
      <c r="T31" s="192" t="str">
        <f t="shared" si="16"/>
        <v/>
      </c>
      <c r="U31" s="193"/>
      <c r="V31" s="179"/>
      <c r="W31" s="192" t="str">
        <f t="shared" si="17"/>
        <v/>
      </c>
      <c r="X31" s="194"/>
      <c r="Y31" s="205" t="str">
        <f t="shared" si="1"/>
        <v/>
      </c>
      <c r="Z31" s="206" t="str">
        <f t="shared" si="2"/>
        <v/>
      </c>
      <c r="AA31" s="206" t="str">
        <f t="shared" si="3"/>
        <v/>
      </c>
      <c r="AB31" s="206" t="str">
        <f t="shared" si="4"/>
        <v/>
      </c>
      <c r="AC31" s="207" t="str">
        <f t="shared" si="5"/>
        <v/>
      </c>
      <c r="AD31" s="208" t="str">
        <f t="shared" si="6"/>
        <v/>
      </c>
      <c r="AE31" s="209" t="str">
        <f t="shared" si="18"/>
        <v/>
      </c>
      <c r="AF31" s="210" t="str">
        <f t="shared" si="7"/>
        <v/>
      </c>
      <c r="AG31" s="219" t="str">
        <f t="shared" si="8"/>
        <v/>
      </c>
      <c r="AH31" s="207" t="str">
        <f t="shared" si="9"/>
        <v/>
      </c>
    </row>
    <row r="32" spans="1:34" s="167" customFormat="1" ht="12.75" customHeight="1">
      <c r="A32" s="181">
        <v>25</v>
      </c>
      <c r="B32" s="177"/>
      <c r="C32" s="182"/>
      <c r="D32" s="179"/>
      <c r="E32" s="180" t="str">
        <f t="shared" si="10"/>
        <v/>
      </c>
      <c r="F32" s="179"/>
      <c r="G32" s="180" t="str">
        <f t="shared" si="11"/>
        <v/>
      </c>
      <c r="H32" s="179"/>
      <c r="I32" s="180" t="str">
        <f t="shared" si="12"/>
        <v/>
      </c>
      <c r="J32" s="179"/>
      <c r="K32" s="180" t="str">
        <f t="shared" si="13"/>
        <v/>
      </c>
      <c r="L32" s="179"/>
      <c r="M32" s="180" t="str">
        <f t="shared" si="14"/>
        <v/>
      </c>
      <c r="N32" s="179"/>
      <c r="O32" s="180" t="str">
        <f t="shared" si="15"/>
        <v/>
      </c>
      <c r="P32" s="179"/>
      <c r="Q32" s="192" t="str">
        <f t="shared" si="0"/>
        <v/>
      </c>
      <c r="R32" s="193"/>
      <c r="S32" s="179"/>
      <c r="T32" s="192" t="str">
        <f t="shared" si="16"/>
        <v/>
      </c>
      <c r="U32" s="193"/>
      <c r="V32" s="179"/>
      <c r="W32" s="192" t="str">
        <f t="shared" si="17"/>
        <v/>
      </c>
      <c r="X32" s="194"/>
      <c r="Y32" s="205" t="str">
        <f t="shared" si="1"/>
        <v/>
      </c>
      <c r="Z32" s="206" t="str">
        <f t="shared" si="2"/>
        <v/>
      </c>
      <c r="AA32" s="206" t="str">
        <f t="shared" si="3"/>
        <v/>
      </c>
      <c r="AB32" s="206" t="str">
        <f t="shared" si="4"/>
        <v/>
      </c>
      <c r="AC32" s="207" t="str">
        <f t="shared" si="5"/>
        <v/>
      </c>
      <c r="AD32" s="208" t="str">
        <f t="shared" si="6"/>
        <v/>
      </c>
      <c r="AE32" s="209" t="str">
        <f t="shared" si="18"/>
        <v/>
      </c>
      <c r="AF32" s="210" t="str">
        <f t="shared" si="7"/>
        <v/>
      </c>
      <c r="AG32" s="219" t="str">
        <f t="shared" si="8"/>
        <v/>
      </c>
      <c r="AH32" s="207" t="str">
        <f t="shared" si="9"/>
        <v/>
      </c>
    </row>
    <row r="33" spans="1:34" s="167" customFormat="1" ht="12.75" customHeight="1">
      <c r="A33" s="181">
        <v>26</v>
      </c>
      <c r="B33" s="177"/>
      <c r="C33" s="182"/>
      <c r="D33" s="179"/>
      <c r="E33" s="180" t="str">
        <f t="shared" si="10"/>
        <v/>
      </c>
      <c r="F33" s="179"/>
      <c r="G33" s="180" t="str">
        <f t="shared" si="11"/>
        <v/>
      </c>
      <c r="H33" s="179"/>
      <c r="I33" s="180" t="str">
        <f t="shared" si="12"/>
        <v/>
      </c>
      <c r="J33" s="179"/>
      <c r="K33" s="180" t="str">
        <f t="shared" si="13"/>
        <v/>
      </c>
      <c r="L33" s="179"/>
      <c r="M33" s="180" t="str">
        <f t="shared" si="14"/>
        <v/>
      </c>
      <c r="N33" s="179"/>
      <c r="O33" s="180" t="str">
        <f t="shared" si="15"/>
        <v/>
      </c>
      <c r="P33" s="179"/>
      <c r="Q33" s="192" t="str">
        <f t="shared" si="0"/>
        <v/>
      </c>
      <c r="R33" s="193"/>
      <c r="S33" s="179"/>
      <c r="T33" s="192" t="str">
        <f t="shared" si="16"/>
        <v/>
      </c>
      <c r="U33" s="193"/>
      <c r="V33" s="179"/>
      <c r="W33" s="192" t="str">
        <f t="shared" si="17"/>
        <v/>
      </c>
      <c r="X33" s="194"/>
      <c r="Y33" s="205" t="str">
        <f t="shared" si="1"/>
        <v/>
      </c>
      <c r="Z33" s="206" t="str">
        <f t="shared" si="2"/>
        <v/>
      </c>
      <c r="AA33" s="206" t="str">
        <f t="shared" si="3"/>
        <v/>
      </c>
      <c r="AB33" s="206" t="str">
        <f t="shared" si="4"/>
        <v/>
      </c>
      <c r="AC33" s="207" t="str">
        <f t="shared" si="5"/>
        <v/>
      </c>
      <c r="AD33" s="208" t="str">
        <f t="shared" si="6"/>
        <v/>
      </c>
      <c r="AE33" s="209" t="str">
        <f t="shared" si="18"/>
        <v/>
      </c>
      <c r="AF33" s="210" t="str">
        <f t="shared" si="7"/>
        <v/>
      </c>
      <c r="AG33" s="219" t="str">
        <f t="shared" si="8"/>
        <v/>
      </c>
      <c r="AH33" s="207" t="str">
        <f t="shared" si="9"/>
        <v/>
      </c>
    </row>
    <row r="34" spans="1:34" s="167" customFormat="1" ht="12.75" customHeight="1">
      <c r="A34" s="181">
        <v>27</v>
      </c>
      <c r="B34" s="177"/>
      <c r="C34" s="182"/>
      <c r="D34" s="179"/>
      <c r="E34" s="180" t="str">
        <f t="shared" si="10"/>
        <v/>
      </c>
      <c r="F34" s="179"/>
      <c r="G34" s="180" t="str">
        <f t="shared" si="11"/>
        <v/>
      </c>
      <c r="H34" s="179"/>
      <c r="I34" s="180" t="str">
        <f t="shared" si="12"/>
        <v/>
      </c>
      <c r="J34" s="179"/>
      <c r="K34" s="180" t="str">
        <f t="shared" si="13"/>
        <v/>
      </c>
      <c r="L34" s="179"/>
      <c r="M34" s="180" t="str">
        <f t="shared" si="14"/>
        <v/>
      </c>
      <c r="N34" s="179"/>
      <c r="O34" s="180" t="str">
        <f t="shared" si="15"/>
        <v/>
      </c>
      <c r="P34" s="179"/>
      <c r="Q34" s="192" t="str">
        <f t="shared" si="0"/>
        <v/>
      </c>
      <c r="R34" s="193"/>
      <c r="S34" s="179"/>
      <c r="T34" s="192" t="str">
        <f t="shared" si="16"/>
        <v/>
      </c>
      <c r="U34" s="193"/>
      <c r="V34" s="179"/>
      <c r="W34" s="192" t="str">
        <f t="shared" si="17"/>
        <v/>
      </c>
      <c r="X34" s="194"/>
      <c r="Y34" s="205" t="str">
        <f t="shared" si="1"/>
        <v/>
      </c>
      <c r="Z34" s="206" t="str">
        <f t="shared" si="2"/>
        <v/>
      </c>
      <c r="AA34" s="206" t="str">
        <f t="shared" si="3"/>
        <v/>
      </c>
      <c r="AB34" s="206" t="str">
        <f t="shared" si="4"/>
        <v/>
      </c>
      <c r="AC34" s="207" t="str">
        <f t="shared" si="5"/>
        <v/>
      </c>
      <c r="AD34" s="208" t="str">
        <f t="shared" si="6"/>
        <v/>
      </c>
      <c r="AE34" s="209" t="str">
        <f t="shared" si="18"/>
        <v/>
      </c>
      <c r="AF34" s="210" t="str">
        <f t="shared" si="7"/>
        <v/>
      </c>
      <c r="AG34" s="219" t="str">
        <f t="shared" si="8"/>
        <v/>
      </c>
      <c r="AH34" s="207" t="str">
        <f t="shared" si="9"/>
        <v/>
      </c>
    </row>
    <row r="35" spans="1:34" s="167" customFormat="1" ht="12.75" customHeight="1">
      <c r="A35" s="181">
        <v>28</v>
      </c>
      <c r="B35" s="177"/>
      <c r="C35" s="182"/>
      <c r="D35" s="179"/>
      <c r="E35" s="180" t="str">
        <f t="shared" si="10"/>
        <v/>
      </c>
      <c r="F35" s="179"/>
      <c r="G35" s="180" t="str">
        <f t="shared" si="11"/>
        <v/>
      </c>
      <c r="H35" s="179"/>
      <c r="I35" s="180" t="str">
        <f t="shared" si="12"/>
        <v/>
      </c>
      <c r="J35" s="179"/>
      <c r="K35" s="180" t="str">
        <f t="shared" si="13"/>
        <v/>
      </c>
      <c r="L35" s="179"/>
      <c r="M35" s="180" t="str">
        <f t="shared" si="14"/>
        <v/>
      </c>
      <c r="N35" s="179"/>
      <c r="O35" s="180" t="str">
        <f t="shared" si="15"/>
        <v/>
      </c>
      <c r="P35" s="179"/>
      <c r="Q35" s="192" t="str">
        <f t="shared" si="0"/>
        <v/>
      </c>
      <c r="R35" s="193"/>
      <c r="S35" s="179"/>
      <c r="T35" s="192" t="str">
        <f t="shared" si="16"/>
        <v/>
      </c>
      <c r="U35" s="193"/>
      <c r="V35" s="179"/>
      <c r="W35" s="192" t="str">
        <f t="shared" si="17"/>
        <v/>
      </c>
      <c r="X35" s="194"/>
      <c r="Y35" s="205" t="str">
        <f t="shared" si="1"/>
        <v/>
      </c>
      <c r="Z35" s="206" t="str">
        <f t="shared" si="2"/>
        <v/>
      </c>
      <c r="AA35" s="206" t="str">
        <f t="shared" si="3"/>
        <v/>
      </c>
      <c r="AB35" s="206" t="str">
        <f t="shared" si="4"/>
        <v/>
      </c>
      <c r="AC35" s="207" t="str">
        <f t="shared" si="5"/>
        <v/>
      </c>
      <c r="AD35" s="208" t="str">
        <f t="shared" si="6"/>
        <v/>
      </c>
      <c r="AE35" s="209" t="str">
        <f t="shared" si="18"/>
        <v/>
      </c>
      <c r="AF35" s="210" t="str">
        <f t="shared" si="7"/>
        <v/>
      </c>
      <c r="AG35" s="219" t="str">
        <f t="shared" si="8"/>
        <v/>
      </c>
      <c r="AH35" s="207" t="str">
        <f t="shared" si="9"/>
        <v/>
      </c>
    </row>
    <row r="36" spans="1:34" s="167" customFormat="1" ht="12.75" customHeight="1">
      <c r="A36" s="181">
        <v>29</v>
      </c>
      <c r="B36" s="177"/>
      <c r="C36" s="182"/>
      <c r="D36" s="179"/>
      <c r="E36" s="180" t="str">
        <f t="shared" si="10"/>
        <v/>
      </c>
      <c r="F36" s="179"/>
      <c r="G36" s="180" t="str">
        <f t="shared" si="11"/>
        <v/>
      </c>
      <c r="H36" s="179"/>
      <c r="I36" s="180" t="str">
        <f t="shared" si="12"/>
        <v/>
      </c>
      <c r="J36" s="179"/>
      <c r="K36" s="180" t="str">
        <f t="shared" si="13"/>
        <v/>
      </c>
      <c r="L36" s="179"/>
      <c r="M36" s="180" t="str">
        <f t="shared" si="14"/>
        <v/>
      </c>
      <c r="N36" s="179"/>
      <c r="O36" s="180" t="str">
        <f t="shared" si="15"/>
        <v/>
      </c>
      <c r="P36" s="179"/>
      <c r="Q36" s="192" t="str">
        <f t="shared" si="0"/>
        <v/>
      </c>
      <c r="R36" s="193"/>
      <c r="S36" s="179"/>
      <c r="T36" s="192" t="str">
        <f t="shared" si="16"/>
        <v/>
      </c>
      <c r="U36" s="193"/>
      <c r="V36" s="179"/>
      <c r="W36" s="192" t="str">
        <f t="shared" si="17"/>
        <v/>
      </c>
      <c r="X36" s="194"/>
      <c r="Y36" s="205" t="str">
        <f t="shared" si="1"/>
        <v/>
      </c>
      <c r="Z36" s="206" t="str">
        <f t="shared" si="2"/>
        <v/>
      </c>
      <c r="AA36" s="206" t="str">
        <f t="shared" si="3"/>
        <v/>
      </c>
      <c r="AB36" s="206" t="str">
        <f t="shared" si="4"/>
        <v/>
      </c>
      <c r="AC36" s="207" t="str">
        <f t="shared" si="5"/>
        <v/>
      </c>
      <c r="AD36" s="208" t="str">
        <f t="shared" si="6"/>
        <v/>
      </c>
      <c r="AE36" s="209" t="str">
        <f t="shared" si="18"/>
        <v/>
      </c>
      <c r="AF36" s="210" t="str">
        <f t="shared" si="7"/>
        <v/>
      </c>
      <c r="AG36" s="219" t="str">
        <f t="shared" si="8"/>
        <v/>
      </c>
      <c r="AH36" s="207" t="str">
        <f t="shared" si="9"/>
        <v/>
      </c>
    </row>
    <row r="37" spans="1:34" s="167" customFormat="1" ht="12.75" customHeight="1">
      <c r="A37" s="181">
        <v>30</v>
      </c>
      <c r="B37" s="177"/>
      <c r="C37" s="182"/>
      <c r="D37" s="179"/>
      <c r="E37" s="180" t="str">
        <f t="shared" si="10"/>
        <v/>
      </c>
      <c r="F37" s="179"/>
      <c r="G37" s="180" t="str">
        <f t="shared" si="11"/>
        <v/>
      </c>
      <c r="H37" s="179"/>
      <c r="I37" s="180" t="str">
        <f t="shared" si="12"/>
        <v/>
      </c>
      <c r="J37" s="179"/>
      <c r="K37" s="180" t="str">
        <f t="shared" si="13"/>
        <v/>
      </c>
      <c r="L37" s="179"/>
      <c r="M37" s="180" t="str">
        <f t="shared" si="14"/>
        <v/>
      </c>
      <c r="N37" s="179"/>
      <c r="O37" s="180" t="str">
        <f t="shared" si="15"/>
        <v/>
      </c>
      <c r="P37" s="179"/>
      <c r="Q37" s="192" t="str">
        <f t="shared" si="0"/>
        <v/>
      </c>
      <c r="R37" s="193"/>
      <c r="S37" s="179"/>
      <c r="T37" s="192" t="str">
        <f t="shared" si="16"/>
        <v/>
      </c>
      <c r="U37" s="193"/>
      <c r="V37" s="179"/>
      <c r="W37" s="192" t="str">
        <f t="shared" si="17"/>
        <v/>
      </c>
      <c r="X37" s="194"/>
      <c r="Y37" s="205" t="str">
        <f t="shared" si="1"/>
        <v/>
      </c>
      <c r="Z37" s="206" t="str">
        <f t="shared" si="2"/>
        <v/>
      </c>
      <c r="AA37" s="206" t="str">
        <f t="shared" si="3"/>
        <v/>
      </c>
      <c r="AB37" s="206" t="str">
        <f t="shared" si="4"/>
        <v/>
      </c>
      <c r="AC37" s="207" t="str">
        <f t="shared" si="5"/>
        <v/>
      </c>
      <c r="AD37" s="208" t="str">
        <f t="shared" si="6"/>
        <v/>
      </c>
      <c r="AE37" s="209" t="str">
        <f t="shared" si="18"/>
        <v/>
      </c>
      <c r="AF37" s="210" t="str">
        <f t="shared" si="7"/>
        <v/>
      </c>
      <c r="AG37" s="219" t="str">
        <f t="shared" si="8"/>
        <v/>
      </c>
      <c r="AH37" s="207" t="str">
        <f t="shared" si="9"/>
        <v/>
      </c>
    </row>
    <row r="38" spans="1:34" s="167" customFormat="1" ht="12.75" customHeight="1">
      <c r="A38" s="181">
        <v>31</v>
      </c>
      <c r="B38" s="177"/>
      <c r="C38" s="182"/>
      <c r="D38" s="179"/>
      <c r="E38" s="180" t="str">
        <f t="shared" si="10"/>
        <v/>
      </c>
      <c r="F38" s="179"/>
      <c r="G38" s="180" t="str">
        <f t="shared" si="11"/>
        <v/>
      </c>
      <c r="H38" s="179"/>
      <c r="I38" s="180" t="str">
        <f t="shared" si="12"/>
        <v/>
      </c>
      <c r="J38" s="179"/>
      <c r="K38" s="180" t="str">
        <f t="shared" si="13"/>
        <v/>
      </c>
      <c r="L38" s="179"/>
      <c r="M38" s="180" t="str">
        <f t="shared" si="14"/>
        <v/>
      </c>
      <c r="N38" s="179"/>
      <c r="O38" s="180" t="str">
        <f t="shared" si="15"/>
        <v/>
      </c>
      <c r="P38" s="179"/>
      <c r="Q38" s="192" t="str">
        <f t="shared" si="0"/>
        <v/>
      </c>
      <c r="R38" s="193"/>
      <c r="S38" s="179"/>
      <c r="T38" s="192" t="str">
        <f t="shared" si="16"/>
        <v/>
      </c>
      <c r="U38" s="193"/>
      <c r="V38" s="179"/>
      <c r="W38" s="192" t="str">
        <f t="shared" si="17"/>
        <v/>
      </c>
      <c r="X38" s="194"/>
      <c r="Y38" s="205" t="str">
        <f t="shared" si="1"/>
        <v/>
      </c>
      <c r="Z38" s="206" t="str">
        <f t="shared" si="2"/>
        <v/>
      </c>
      <c r="AA38" s="206" t="str">
        <f t="shared" si="3"/>
        <v/>
      </c>
      <c r="AB38" s="206" t="str">
        <f t="shared" si="4"/>
        <v/>
      </c>
      <c r="AC38" s="207" t="str">
        <f t="shared" si="5"/>
        <v/>
      </c>
      <c r="AD38" s="208" t="str">
        <f t="shared" si="6"/>
        <v/>
      </c>
      <c r="AE38" s="209" t="str">
        <f t="shared" si="18"/>
        <v/>
      </c>
      <c r="AF38" s="210" t="str">
        <f t="shared" si="7"/>
        <v/>
      </c>
      <c r="AG38" s="219" t="str">
        <f t="shared" si="8"/>
        <v/>
      </c>
      <c r="AH38" s="207" t="str">
        <f t="shared" si="9"/>
        <v/>
      </c>
    </row>
    <row r="39" spans="1:34" s="167" customFormat="1" ht="12.75" customHeight="1">
      <c r="A39" s="181">
        <v>32</v>
      </c>
      <c r="B39" s="177"/>
      <c r="C39" s="182"/>
      <c r="D39" s="179"/>
      <c r="E39" s="180" t="str">
        <f t="shared" si="10"/>
        <v/>
      </c>
      <c r="F39" s="179"/>
      <c r="G39" s="180" t="str">
        <f t="shared" si="11"/>
        <v/>
      </c>
      <c r="H39" s="179"/>
      <c r="I39" s="180" t="str">
        <f t="shared" si="12"/>
        <v/>
      </c>
      <c r="J39" s="179"/>
      <c r="K39" s="180" t="str">
        <f t="shared" si="13"/>
        <v/>
      </c>
      <c r="L39" s="179"/>
      <c r="M39" s="180" t="str">
        <f t="shared" si="14"/>
        <v/>
      </c>
      <c r="N39" s="179"/>
      <c r="O39" s="180" t="str">
        <f t="shared" si="15"/>
        <v/>
      </c>
      <c r="P39" s="179"/>
      <c r="Q39" s="192" t="str">
        <f t="shared" si="0"/>
        <v/>
      </c>
      <c r="R39" s="193"/>
      <c r="S39" s="179"/>
      <c r="T39" s="192" t="str">
        <f t="shared" si="16"/>
        <v/>
      </c>
      <c r="U39" s="193"/>
      <c r="V39" s="179"/>
      <c r="W39" s="192" t="str">
        <f t="shared" si="17"/>
        <v/>
      </c>
      <c r="X39" s="194"/>
      <c r="Y39" s="205" t="str">
        <f t="shared" si="1"/>
        <v/>
      </c>
      <c r="Z39" s="206" t="str">
        <f t="shared" si="2"/>
        <v/>
      </c>
      <c r="AA39" s="206" t="str">
        <f t="shared" si="3"/>
        <v/>
      </c>
      <c r="AB39" s="206" t="str">
        <f t="shared" si="4"/>
        <v/>
      </c>
      <c r="AC39" s="207" t="str">
        <f t="shared" si="5"/>
        <v/>
      </c>
      <c r="AD39" s="208" t="str">
        <f t="shared" si="6"/>
        <v/>
      </c>
      <c r="AE39" s="209" t="str">
        <f t="shared" si="18"/>
        <v/>
      </c>
      <c r="AF39" s="210" t="str">
        <f t="shared" si="7"/>
        <v/>
      </c>
      <c r="AG39" s="219" t="str">
        <f t="shared" si="8"/>
        <v/>
      </c>
      <c r="AH39" s="207" t="str">
        <f t="shared" si="9"/>
        <v/>
      </c>
    </row>
    <row r="40" spans="1:34" s="167" customFormat="1" ht="12.75" customHeight="1">
      <c r="A40" s="181">
        <v>33</v>
      </c>
      <c r="B40" s="177"/>
      <c r="C40" s="182"/>
      <c r="D40" s="179"/>
      <c r="E40" s="180" t="str">
        <f t="shared" si="10"/>
        <v/>
      </c>
      <c r="F40" s="179"/>
      <c r="G40" s="180" t="str">
        <f t="shared" si="11"/>
        <v/>
      </c>
      <c r="H40" s="179"/>
      <c r="I40" s="180" t="str">
        <f t="shared" si="12"/>
        <v/>
      </c>
      <c r="J40" s="179"/>
      <c r="K40" s="180" t="str">
        <f t="shared" si="13"/>
        <v/>
      </c>
      <c r="L40" s="179"/>
      <c r="M40" s="180" t="str">
        <f t="shared" si="14"/>
        <v/>
      </c>
      <c r="N40" s="179"/>
      <c r="O40" s="180" t="str">
        <f t="shared" si="15"/>
        <v/>
      </c>
      <c r="P40" s="179"/>
      <c r="Q40" s="192" t="str">
        <f t="shared" si="0"/>
        <v/>
      </c>
      <c r="R40" s="193"/>
      <c r="S40" s="179"/>
      <c r="T40" s="192" t="str">
        <f t="shared" si="16"/>
        <v/>
      </c>
      <c r="U40" s="193"/>
      <c r="V40" s="179"/>
      <c r="W40" s="192" t="str">
        <f t="shared" si="17"/>
        <v/>
      </c>
      <c r="X40" s="194"/>
      <c r="Y40" s="205" t="str">
        <f t="shared" si="1"/>
        <v/>
      </c>
      <c r="Z40" s="206" t="str">
        <f t="shared" si="2"/>
        <v/>
      </c>
      <c r="AA40" s="206" t="str">
        <f t="shared" si="3"/>
        <v/>
      </c>
      <c r="AB40" s="206" t="str">
        <f t="shared" si="4"/>
        <v/>
      </c>
      <c r="AC40" s="207" t="str">
        <f t="shared" si="5"/>
        <v/>
      </c>
      <c r="AD40" s="208" t="str">
        <f t="shared" si="6"/>
        <v/>
      </c>
      <c r="AE40" s="209" t="str">
        <f t="shared" si="18"/>
        <v/>
      </c>
      <c r="AF40" s="210" t="str">
        <f t="shared" si="7"/>
        <v/>
      </c>
      <c r="AG40" s="219" t="str">
        <f t="shared" si="8"/>
        <v/>
      </c>
      <c r="AH40" s="207" t="str">
        <f t="shared" si="9"/>
        <v/>
      </c>
    </row>
    <row r="41" spans="1:34" s="167" customFormat="1" ht="12.75" customHeight="1">
      <c r="A41" s="181">
        <v>34</v>
      </c>
      <c r="B41" s="177"/>
      <c r="C41" s="182"/>
      <c r="D41" s="179"/>
      <c r="E41" s="180" t="str">
        <f t="shared" si="10"/>
        <v/>
      </c>
      <c r="F41" s="179"/>
      <c r="G41" s="180" t="str">
        <f t="shared" si="11"/>
        <v/>
      </c>
      <c r="H41" s="179"/>
      <c r="I41" s="180" t="str">
        <f t="shared" si="12"/>
        <v/>
      </c>
      <c r="J41" s="179"/>
      <c r="K41" s="180" t="str">
        <f t="shared" si="13"/>
        <v/>
      </c>
      <c r="L41" s="179"/>
      <c r="M41" s="180" t="str">
        <f t="shared" si="14"/>
        <v/>
      </c>
      <c r="N41" s="179"/>
      <c r="O41" s="180" t="str">
        <f t="shared" si="15"/>
        <v/>
      </c>
      <c r="P41" s="179"/>
      <c r="Q41" s="192" t="str">
        <f t="shared" si="0"/>
        <v/>
      </c>
      <c r="R41" s="193"/>
      <c r="S41" s="179"/>
      <c r="T41" s="192" t="str">
        <f t="shared" si="16"/>
        <v/>
      </c>
      <c r="U41" s="193"/>
      <c r="V41" s="179"/>
      <c r="W41" s="192" t="str">
        <f t="shared" si="17"/>
        <v/>
      </c>
      <c r="X41" s="194"/>
      <c r="Y41" s="205" t="str">
        <f t="shared" si="1"/>
        <v/>
      </c>
      <c r="Z41" s="206" t="str">
        <f t="shared" si="2"/>
        <v/>
      </c>
      <c r="AA41" s="206" t="str">
        <f t="shared" si="3"/>
        <v/>
      </c>
      <c r="AB41" s="206" t="str">
        <f t="shared" si="4"/>
        <v/>
      </c>
      <c r="AC41" s="207" t="str">
        <f t="shared" si="5"/>
        <v/>
      </c>
      <c r="AD41" s="208" t="str">
        <f t="shared" si="6"/>
        <v/>
      </c>
      <c r="AE41" s="209" t="str">
        <f t="shared" si="18"/>
        <v/>
      </c>
      <c r="AF41" s="210" t="str">
        <f t="shared" si="7"/>
        <v/>
      </c>
      <c r="AG41" s="219" t="str">
        <f t="shared" si="8"/>
        <v/>
      </c>
      <c r="AH41" s="207" t="str">
        <f t="shared" si="9"/>
        <v/>
      </c>
    </row>
    <row r="42" spans="1:34" s="167" customFormat="1" ht="12.75" customHeight="1">
      <c r="A42" s="181">
        <v>35</v>
      </c>
      <c r="B42" s="177"/>
      <c r="C42" s="182"/>
      <c r="D42" s="179"/>
      <c r="E42" s="180" t="str">
        <f t="shared" si="10"/>
        <v/>
      </c>
      <c r="F42" s="179"/>
      <c r="G42" s="180" t="str">
        <f t="shared" si="11"/>
        <v/>
      </c>
      <c r="H42" s="179"/>
      <c r="I42" s="180" t="str">
        <f t="shared" si="12"/>
        <v/>
      </c>
      <c r="J42" s="179"/>
      <c r="K42" s="180" t="str">
        <f t="shared" si="13"/>
        <v/>
      </c>
      <c r="L42" s="179"/>
      <c r="M42" s="180" t="str">
        <f t="shared" si="14"/>
        <v/>
      </c>
      <c r="N42" s="179"/>
      <c r="O42" s="180" t="str">
        <f t="shared" si="15"/>
        <v/>
      </c>
      <c r="P42" s="179"/>
      <c r="Q42" s="192" t="str">
        <f t="shared" si="0"/>
        <v/>
      </c>
      <c r="R42" s="193"/>
      <c r="S42" s="179"/>
      <c r="T42" s="192" t="str">
        <f t="shared" si="16"/>
        <v/>
      </c>
      <c r="U42" s="193"/>
      <c r="V42" s="179"/>
      <c r="W42" s="192" t="str">
        <f t="shared" si="17"/>
        <v/>
      </c>
      <c r="X42" s="194"/>
      <c r="Y42" s="205" t="str">
        <f t="shared" si="1"/>
        <v/>
      </c>
      <c r="Z42" s="206" t="str">
        <f t="shared" si="2"/>
        <v/>
      </c>
      <c r="AA42" s="206" t="str">
        <f t="shared" si="3"/>
        <v/>
      </c>
      <c r="AB42" s="206" t="str">
        <f t="shared" si="4"/>
        <v/>
      </c>
      <c r="AC42" s="207" t="str">
        <f t="shared" si="5"/>
        <v/>
      </c>
      <c r="AD42" s="208" t="str">
        <f t="shared" si="6"/>
        <v/>
      </c>
      <c r="AE42" s="209" t="str">
        <f t="shared" si="18"/>
        <v/>
      </c>
      <c r="AF42" s="210" t="str">
        <f t="shared" si="7"/>
        <v/>
      </c>
      <c r="AG42" s="219" t="str">
        <f t="shared" si="8"/>
        <v/>
      </c>
      <c r="AH42" s="207" t="str">
        <f t="shared" si="9"/>
        <v/>
      </c>
    </row>
    <row r="43" spans="1:34" s="167" customFormat="1" ht="12.75" customHeight="1">
      <c r="A43" s="181">
        <v>36</v>
      </c>
      <c r="B43" s="177"/>
      <c r="C43" s="182"/>
      <c r="D43" s="179"/>
      <c r="E43" s="180" t="str">
        <f t="shared" si="10"/>
        <v/>
      </c>
      <c r="F43" s="179"/>
      <c r="G43" s="180" t="str">
        <f t="shared" si="11"/>
        <v/>
      </c>
      <c r="H43" s="179"/>
      <c r="I43" s="180" t="str">
        <f t="shared" si="12"/>
        <v/>
      </c>
      <c r="J43" s="179"/>
      <c r="K43" s="180" t="str">
        <f t="shared" si="13"/>
        <v/>
      </c>
      <c r="L43" s="179"/>
      <c r="M43" s="180" t="str">
        <f t="shared" si="14"/>
        <v/>
      </c>
      <c r="N43" s="179"/>
      <c r="O43" s="180" t="str">
        <f t="shared" si="15"/>
        <v/>
      </c>
      <c r="P43" s="179"/>
      <c r="Q43" s="192" t="str">
        <f t="shared" si="0"/>
        <v/>
      </c>
      <c r="R43" s="193"/>
      <c r="S43" s="179"/>
      <c r="T43" s="192" t="str">
        <f t="shared" si="16"/>
        <v/>
      </c>
      <c r="U43" s="193"/>
      <c r="V43" s="179"/>
      <c r="W43" s="192" t="str">
        <f t="shared" si="17"/>
        <v/>
      </c>
      <c r="X43" s="194"/>
      <c r="Y43" s="205" t="str">
        <f t="shared" si="1"/>
        <v/>
      </c>
      <c r="Z43" s="206" t="str">
        <f t="shared" si="2"/>
        <v/>
      </c>
      <c r="AA43" s="206" t="str">
        <f t="shared" si="3"/>
        <v/>
      </c>
      <c r="AB43" s="206" t="str">
        <f t="shared" si="4"/>
        <v/>
      </c>
      <c r="AC43" s="207" t="str">
        <f t="shared" si="5"/>
        <v/>
      </c>
      <c r="AD43" s="208" t="str">
        <f t="shared" si="6"/>
        <v/>
      </c>
      <c r="AE43" s="209" t="str">
        <f t="shared" si="18"/>
        <v/>
      </c>
      <c r="AF43" s="210" t="str">
        <f t="shared" si="7"/>
        <v/>
      </c>
      <c r="AG43" s="219" t="str">
        <f t="shared" si="8"/>
        <v/>
      </c>
      <c r="AH43" s="207" t="str">
        <f t="shared" si="9"/>
        <v/>
      </c>
    </row>
    <row r="44" spans="1:34" s="167" customFormat="1" ht="12.75" customHeight="1">
      <c r="A44" s="181">
        <v>37</v>
      </c>
      <c r="B44" s="177"/>
      <c r="C44" s="182"/>
      <c r="D44" s="179"/>
      <c r="E44" s="180" t="str">
        <f t="shared" si="10"/>
        <v/>
      </c>
      <c r="F44" s="179"/>
      <c r="G44" s="180" t="str">
        <f t="shared" si="11"/>
        <v/>
      </c>
      <c r="H44" s="179"/>
      <c r="I44" s="180" t="str">
        <f t="shared" si="12"/>
        <v/>
      </c>
      <c r="J44" s="179"/>
      <c r="K44" s="180" t="str">
        <f t="shared" si="13"/>
        <v/>
      </c>
      <c r="L44" s="179"/>
      <c r="M44" s="180" t="str">
        <f t="shared" si="14"/>
        <v/>
      </c>
      <c r="N44" s="179"/>
      <c r="O44" s="180" t="str">
        <f t="shared" si="15"/>
        <v/>
      </c>
      <c r="P44" s="179"/>
      <c r="Q44" s="192" t="str">
        <f t="shared" si="0"/>
        <v/>
      </c>
      <c r="R44" s="193"/>
      <c r="S44" s="179"/>
      <c r="T44" s="192" t="str">
        <f t="shared" si="16"/>
        <v/>
      </c>
      <c r="U44" s="193"/>
      <c r="V44" s="179"/>
      <c r="W44" s="192" t="str">
        <f t="shared" si="17"/>
        <v/>
      </c>
      <c r="X44" s="194"/>
      <c r="Y44" s="205" t="str">
        <f t="shared" si="1"/>
        <v/>
      </c>
      <c r="Z44" s="206" t="str">
        <f t="shared" si="2"/>
        <v/>
      </c>
      <c r="AA44" s="206" t="str">
        <f t="shared" si="3"/>
        <v/>
      </c>
      <c r="AB44" s="206" t="str">
        <f t="shared" si="4"/>
        <v/>
      </c>
      <c r="AC44" s="207" t="str">
        <f t="shared" si="5"/>
        <v/>
      </c>
      <c r="AD44" s="208" t="str">
        <f t="shared" si="6"/>
        <v/>
      </c>
      <c r="AE44" s="209" t="str">
        <f t="shared" si="18"/>
        <v/>
      </c>
      <c r="AF44" s="210" t="str">
        <f t="shared" si="7"/>
        <v/>
      </c>
      <c r="AG44" s="219" t="str">
        <f t="shared" si="8"/>
        <v/>
      </c>
      <c r="AH44" s="207" t="str">
        <f t="shared" si="9"/>
        <v/>
      </c>
    </row>
    <row r="45" spans="1:34" s="167" customFormat="1" ht="12.75" customHeight="1">
      <c r="A45" s="181">
        <v>38</v>
      </c>
      <c r="B45" s="177"/>
      <c r="C45" s="182"/>
      <c r="D45" s="179"/>
      <c r="E45" s="180" t="str">
        <f t="shared" si="10"/>
        <v/>
      </c>
      <c r="F45" s="179"/>
      <c r="G45" s="180" t="str">
        <f t="shared" si="11"/>
        <v/>
      </c>
      <c r="H45" s="179"/>
      <c r="I45" s="180" t="str">
        <f t="shared" si="12"/>
        <v/>
      </c>
      <c r="J45" s="179"/>
      <c r="K45" s="180" t="str">
        <f t="shared" si="13"/>
        <v/>
      </c>
      <c r="L45" s="179"/>
      <c r="M45" s="180" t="str">
        <f t="shared" si="14"/>
        <v/>
      </c>
      <c r="N45" s="179"/>
      <c r="O45" s="180" t="str">
        <f t="shared" si="15"/>
        <v/>
      </c>
      <c r="P45" s="179"/>
      <c r="Q45" s="192" t="str">
        <f t="shared" si="0"/>
        <v/>
      </c>
      <c r="R45" s="193"/>
      <c r="S45" s="179"/>
      <c r="T45" s="192" t="str">
        <f t="shared" si="16"/>
        <v/>
      </c>
      <c r="U45" s="193"/>
      <c r="V45" s="179"/>
      <c r="W45" s="192" t="str">
        <f t="shared" si="17"/>
        <v/>
      </c>
      <c r="X45" s="194"/>
      <c r="Y45" s="205" t="str">
        <f t="shared" si="1"/>
        <v/>
      </c>
      <c r="Z45" s="206" t="str">
        <f t="shared" si="2"/>
        <v/>
      </c>
      <c r="AA45" s="206" t="str">
        <f t="shared" si="3"/>
        <v/>
      </c>
      <c r="AB45" s="206" t="str">
        <f t="shared" si="4"/>
        <v/>
      </c>
      <c r="AC45" s="207" t="str">
        <f t="shared" si="5"/>
        <v/>
      </c>
      <c r="AD45" s="208" t="str">
        <f t="shared" si="6"/>
        <v/>
      </c>
      <c r="AE45" s="209" t="str">
        <f t="shared" si="18"/>
        <v/>
      </c>
      <c r="AF45" s="210" t="str">
        <f t="shared" si="7"/>
        <v/>
      </c>
      <c r="AG45" s="219" t="str">
        <f t="shared" si="8"/>
        <v/>
      </c>
      <c r="AH45" s="207" t="str">
        <f t="shared" si="9"/>
        <v/>
      </c>
    </row>
    <row r="46" spans="1:34" s="167" customFormat="1" ht="12.75" customHeight="1">
      <c r="A46" s="181">
        <v>39</v>
      </c>
      <c r="B46" s="177"/>
      <c r="C46" s="182"/>
      <c r="D46" s="179"/>
      <c r="E46" s="180" t="str">
        <f t="shared" si="10"/>
        <v/>
      </c>
      <c r="F46" s="179"/>
      <c r="G46" s="180" t="str">
        <f t="shared" si="11"/>
        <v/>
      </c>
      <c r="H46" s="179"/>
      <c r="I46" s="180" t="str">
        <f t="shared" si="12"/>
        <v/>
      </c>
      <c r="J46" s="179"/>
      <c r="K46" s="180" t="str">
        <f t="shared" si="13"/>
        <v/>
      </c>
      <c r="L46" s="179"/>
      <c r="M46" s="180" t="str">
        <f t="shared" si="14"/>
        <v/>
      </c>
      <c r="N46" s="179"/>
      <c r="O46" s="180" t="str">
        <f t="shared" si="15"/>
        <v/>
      </c>
      <c r="P46" s="179"/>
      <c r="Q46" s="192" t="str">
        <f t="shared" si="0"/>
        <v/>
      </c>
      <c r="R46" s="193"/>
      <c r="S46" s="179"/>
      <c r="T46" s="192" t="str">
        <f t="shared" si="16"/>
        <v/>
      </c>
      <c r="U46" s="193"/>
      <c r="V46" s="179"/>
      <c r="W46" s="192" t="str">
        <f t="shared" si="17"/>
        <v/>
      </c>
      <c r="X46" s="194"/>
      <c r="Y46" s="205" t="str">
        <f t="shared" si="1"/>
        <v/>
      </c>
      <c r="Z46" s="206" t="str">
        <f t="shared" si="2"/>
        <v/>
      </c>
      <c r="AA46" s="206" t="str">
        <f t="shared" si="3"/>
        <v/>
      </c>
      <c r="AB46" s="206" t="str">
        <f t="shared" si="4"/>
        <v/>
      </c>
      <c r="AC46" s="207" t="str">
        <f t="shared" si="5"/>
        <v/>
      </c>
      <c r="AD46" s="208" t="str">
        <f t="shared" si="6"/>
        <v/>
      </c>
      <c r="AE46" s="209" t="str">
        <f t="shared" si="18"/>
        <v/>
      </c>
      <c r="AF46" s="210" t="str">
        <f t="shared" si="7"/>
        <v/>
      </c>
      <c r="AG46" s="219" t="str">
        <f t="shared" si="8"/>
        <v/>
      </c>
      <c r="AH46" s="207" t="str">
        <f t="shared" si="9"/>
        <v/>
      </c>
    </row>
    <row r="47" spans="1:34" s="167" customFormat="1" ht="12.75" customHeight="1">
      <c r="A47" s="181">
        <v>40</v>
      </c>
      <c r="B47" s="177"/>
      <c r="C47" s="182"/>
      <c r="D47" s="179"/>
      <c r="E47" s="180" t="str">
        <f t="shared" si="10"/>
        <v/>
      </c>
      <c r="F47" s="179"/>
      <c r="G47" s="180" t="str">
        <f t="shared" si="11"/>
        <v/>
      </c>
      <c r="H47" s="179"/>
      <c r="I47" s="180" t="str">
        <f t="shared" si="12"/>
        <v/>
      </c>
      <c r="J47" s="179"/>
      <c r="K47" s="180" t="str">
        <f t="shared" si="13"/>
        <v/>
      </c>
      <c r="L47" s="179"/>
      <c r="M47" s="180" t="str">
        <f t="shared" si="14"/>
        <v/>
      </c>
      <c r="N47" s="179"/>
      <c r="O47" s="180" t="str">
        <f t="shared" si="15"/>
        <v/>
      </c>
      <c r="P47" s="179"/>
      <c r="Q47" s="192" t="str">
        <f t="shared" si="0"/>
        <v/>
      </c>
      <c r="R47" s="193"/>
      <c r="S47" s="179"/>
      <c r="T47" s="192" t="str">
        <f t="shared" si="16"/>
        <v/>
      </c>
      <c r="U47" s="193"/>
      <c r="V47" s="179"/>
      <c r="W47" s="192" t="str">
        <f t="shared" si="17"/>
        <v/>
      </c>
      <c r="X47" s="194"/>
      <c r="Y47" s="205" t="str">
        <f t="shared" si="1"/>
        <v/>
      </c>
      <c r="Z47" s="206" t="str">
        <f t="shared" si="2"/>
        <v/>
      </c>
      <c r="AA47" s="206" t="str">
        <f t="shared" si="3"/>
        <v/>
      </c>
      <c r="AB47" s="206" t="str">
        <f t="shared" si="4"/>
        <v/>
      </c>
      <c r="AC47" s="207" t="str">
        <f t="shared" si="5"/>
        <v/>
      </c>
      <c r="AD47" s="208" t="str">
        <f t="shared" si="6"/>
        <v/>
      </c>
      <c r="AE47" s="209" t="str">
        <f t="shared" si="18"/>
        <v/>
      </c>
      <c r="AF47" s="210" t="str">
        <f t="shared" si="7"/>
        <v/>
      </c>
      <c r="AG47" s="219" t="str">
        <f t="shared" si="8"/>
        <v/>
      </c>
      <c r="AH47" s="207" t="str">
        <f t="shared" si="9"/>
        <v/>
      </c>
    </row>
    <row r="48" spans="1:34" s="167" customFormat="1" ht="12.75" customHeight="1">
      <c r="A48" s="181">
        <v>41</v>
      </c>
      <c r="B48" s="177"/>
      <c r="C48" s="182"/>
      <c r="D48" s="179"/>
      <c r="E48" s="180" t="str">
        <f t="shared" si="10"/>
        <v/>
      </c>
      <c r="F48" s="179"/>
      <c r="G48" s="180" t="str">
        <f t="shared" si="11"/>
        <v/>
      </c>
      <c r="H48" s="179"/>
      <c r="I48" s="180" t="str">
        <f t="shared" si="12"/>
        <v/>
      </c>
      <c r="J48" s="179"/>
      <c r="K48" s="180" t="str">
        <f t="shared" si="13"/>
        <v/>
      </c>
      <c r="L48" s="179"/>
      <c r="M48" s="180" t="str">
        <f t="shared" si="14"/>
        <v/>
      </c>
      <c r="N48" s="179"/>
      <c r="O48" s="180" t="str">
        <f t="shared" si="15"/>
        <v/>
      </c>
      <c r="P48" s="179"/>
      <c r="Q48" s="192" t="str">
        <f t="shared" si="0"/>
        <v/>
      </c>
      <c r="R48" s="193"/>
      <c r="S48" s="179"/>
      <c r="T48" s="192" t="str">
        <f t="shared" si="16"/>
        <v/>
      </c>
      <c r="U48" s="193"/>
      <c r="V48" s="179"/>
      <c r="W48" s="192" t="str">
        <f t="shared" si="17"/>
        <v/>
      </c>
      <c r="X48" s="194"/>
      <c r="Y48" s="205" t="str">
        <f t="shared" si="1"/>
        <v/>
      </c>
      <c r="Z48" s="206" t="str">
        <f t="shared" si="2"/>
        <v/>
      </c>
      <c r="AA48" s="206" t="str">
        <f t="shared" si="3"/>
        <v/>
      </c>
      <c r="AB48" s="206" t="str">
        <f t="shared" si="4"/>
        <v/>
      </c>
      <c r="AC48" s="207" t="str">
        <f t="shared" si="5"/>
        <v/>
      </c>
      <c r="AD48" s="208" t="str">
        <f t="shared" si="6"/>
        <v/>
      </c>
      <c r="AE48" s="209" t="str">
        <f t="shared" si="18"/>
        <v/>
      </c>
      <c r="AF48" s="210" t="str">
        <f t="shared" si="7"/>
        <v/>
      </c>
      <c r="AG48" s="219" t="str">
        <f t="shared" si="8"/>
        <v/>
      </c>
      <c r="AH48" s="207" t="str">
        <f t="shared" si="9"/>
        <v/>
      </c>
    </row>
    <row r="49" spans="1:36" s="167" customFormat="1" ht="12.75" customHeight="1">
      <c r="A49" s="181">
        <v>42</v>
      </c>
      <c r="B49" s="177"/>
      <c r="C49" s="182"/>
      <c r="D49" s="179"/>
      <c r="E49" s="180" t="str">
        <f t="shared" si="10"/>
        <v/>
      </c>
      <c r="F49" s="179"/>
      <c r="G49" s="180" t="str">
        <f t="shared" si="11"/>
        <v/>
      </c>
      <c r="H49" s="179"/>
      <c r="I49" s="180" t="str">
        <f t="shared" si="12"/>
        <v/>
      </c>
      <c r="J49" s="179"/>
      <c r="K49" s="180" t="str">
        <f t="shared" si="13"/>
        <v/>
      </c>
      <c r="L49" s="179"/>
      <c r="M49" s="180" t="str">
        <f t="shared" si="14"/>
        <v/>
      </c>
      <c r="N49" s="179"/>
      <c r="O49" s="180" t="str">
        <f t="shared" si="15"/>
        <v/>
      </c>
      <c r="P49" s="179"/>
      <c r="Q49" s="192" t="str">
        <f t="shared" si="0"/>
        <v/>
      </c>
      <c r="R49" s="193"/>
      <c r="S49" s="179"/>
      <c r="T49" s="192" t="str">
        <f t="shared" si="16"/>
        <v/>
      </c>
      <c r="U49" s="193"/>
      <c r="V49" s="179"/>
      <c r="W49" s="192" t="str">
        <f t="shared" si="17"/>
        <v/>
      </c>
      <c r="X49" s="194"/>
      <c r="Y49" s="205" t="str">
        <f t="shared" si="1"/>
        <v/>
      </c>
      <c r="Z49" s="206" t="str">
        <f t="shared" si="2"/>
        <v/>
      </c>
      <c r="AA49" s="206" t="str">
        <f t="shared" si="3"/>
        <v/>
      </c>
      <c r="AB49" s="206" t="str">
        <f t="shared" si="4"/>
        <v/>
      </c>
      <c r="AC49" s="207" t="str">
        <f t="shared" si="5"/>
        <v/>
      </c>
      <c r="AD49" s="208" t="str">
        <f t="shared" si="6"/>
        <v/>
      </c>
      <c r="AE49" s="209" t="str">
        <f t="shared" si="18"/>
        <v/>
      </c>
      <c r="AF49" s="210" t="str">
        <f t="shared" si="7"/>
        <v/>
      </c>
      <c r="AG49" s="219" t="str">
        <f t="shared" si="8"/>
        <v/>
      </c>
      <c r="AH49" s="207" t="str">
        <f t="shared" si="9"/>
        <v/>
      </c>
    </row>
    <row r="50" spans="1:36" s="167" customFormat="1" ht="12.75" customHeight="1">
      <c r="A50" s="181">
        <v>43</v>
      </c>
      <c r="B50" s="177"/>
      <c r="C50" s="182"/>
      <c r="D50" s="179"/>
      <c r="E50" s="180" t="str">
        <f t="shared" si="10"/>
        <v/>
      </c>
      <c r="F50" s="179"/>
      <c r="G50" s="180" t="str">
        <f t="shared" si="11"/>
        <v/>
      </c>
      <c r="H50" s="179"/>
      <c r="I50" s="180" t="str">
        <f t="shared" si="12"/>
        <v/>
      </c>
      <c r="J50" s="179"/>
      <c r="K50" s="180" t="str">
        <f t="shared" si="13"/>
        <v/>
      </c>
      <c r="L50" s="179"/>
      <c r="M50" s="180" t="str">
        <f t="shared" si="14"/>
        <v/>
      </c>
      <c r="N50" s="179"/>
      <c r="O50" s="180" t="str">
        <f t="shared" si="15"/>
        <v/>
      </c>
      <c r="P50" s="179"/>
      <c r="Q50" s="192" t="str">
        <f t="shared" si="0"/>
        <v/>
      </c>
      <c r="R50" s="193"/>
      <c r="S50" s="179"/>
      <c r="T50" s="192" t="str">
        <f t="shared" si="16"/>
        <v/>
      </c>
      <c r="U50" s="193"/>
      <c r="V50" s="179"/>
      <c r="W50" s="192" t="str">
        <f t="shared" si="17"/>
        <v/>
      </c>
      <c r="X50" s="194"/>
      <c r="Y50" s="205" t="str">
        <f t="shared" si="1"/>
        <v/>
      </c>
      <c r="Z50" s="206" t="str">
        <f t="shared" si="2"/>
        <v/>
      </c>
      <c r="AA50" s="206" t="str">
        <f t="shared" si="3"/>
        <v/>
      </c>
      <c r="AB50" s="206" t="str">
        <f t="shared" si="4"/>
        <v/>
      </c>
      <c r="AC50" s="207" t="str">
        <f t="shared" si="5"/>
        <v/>
      </c>
      <c r="AD50" s="208" t="str">
        <f t="shared" si="6"/>
        <v/>
      </c>
      <c r="AE50" s="209" t="str">
        <f t="shared" si="18"/>
        <v/>
      </c>
      <c r="AF50" s="210" t="str">
        <f t="shared" si="7"/>
        <v/>
      </c>
      <c r="AG50" s="219" t="str">
        <f t="shared" si="8"/>
        <v/>
      </c>
      <c r="AH50" s="207" t="str">
        <f t="shared" si="9"/>
        <v/>
      </c>
    </row>
    <row r="51" spans="1:36" s="167" customFormat="1" ht="12.75" customHeight="1">
      <c r="A51" s="181">
        <v>44</v>
      </c>
      <c r="B51" s="177"/>
      <c r="C51" s="182"/>
      <c r="D51" s="179"/>
      <c r="E51" s="180" t="str">
        <f t="shared" si="10"/>
        <v/>
      </c>
      <c r="F51" s="179"/>
      <c r="G51" s="180" t="str">
        <f t="shared" si="11"/>
        <v/>
      </c>
      <c r="H51" s="179"/>
      <c r="I51" s="180" t="str">
        <f t="shared" si="12"/>
        <v/>
      </c>
      <c r="J51" s="179"/>
      <c r="K51" s="180" t="str">
        <f t="shared" si="13"/>
        <v/>
      </c>
      <c r="L51" s="179"/>
      <c r="M51" s="180" t="str">
        <f t="shared" si="14"/>
        <v/>
      </c>
      <c r="N51" s="179"/>
      <c r="O51" s="180" t="str">
        <f t="shared" si="15"/>
        <v/>
      </c>
      <c r="P51" s="179"/>
      <c r="Q51" s="192" t="str">
        <f t="shared" si="0"/>
        <v/>
      </c>
      <c r="R51" s="193"/>
      <c r="S51" s="179"/>
      <c r="T51" s="192" t="str">
        <f t="shared" si="16"/>
        <v/>
      </c>
      <c r="U51" s="193"/>
      <c r="V51" s="179"/>
      <c r="W51" s="192" t="str">
        <f t="shared" si="17"/>
        <v/>
      </c>
      <c r="X51" s="194"/>
      <c r="Y51" s="205" t="str">
        <f t="shared" si="1"/>
        <v/>
      </c>
      <c r="Z51" s="206" t="str">
        <f t="shared" si="2"/>
        <v/>
      </c>
      <c r="AA51" s="206" t="str">
        <f t="shared" si="3"/>
        <v/>
      </c>
      <c r="AB51" s="206" t="str">
        <f t="shared" si="4"/>
        <v/>
      </c>
      <c r="AC51" s="207" t="str">
        <f t="shared" si="5"/>
        <v/>
      </c>
      <c r="AD51" s="208" t="str">
        <f t="shared" si="6"/>
        <v/>
      </c>
      <c r="AE51" s="209" t="str">
        <f t="shared" si="18"/>
        <v/>
      </c>
      <c r="AF51" s="210" t="str">
        <f t="shared" si="7"/>
        <v/>
      </c>
      <c r="AG51" s="219" t="str">
        <f t="shared" si="8"/>
        <v/>
      </c>
      <c r="AH51" s="207" t="str">
        <f t="shared" si="9"/>
        <v/>
      </c>
    </row>
    <row r="52" spans="1:36" s="167" customFormat="1" ht="12.75" customHeight="1">
      <c r="A52" s="181">
        <v>45</v>
      </c>
      <c r="B52" s="177"/>
      <c r="C52" s="182"/>
      <c r="D52" s="179"/>
      <c r="E52" s="180" t="str">
        <f t="shared" si="10"/>
        <v/>
      </c>
      <c r="F52" s="179"/>
      <c r="G52" s="180" t="str">
        <f t="shared" si="11"/>
        <v/>
      </c>
      <c r="H52" s="179"/>
      <c r="I52" s="180" t="str">
        <f t="shared" si="12"/>
        <v/>
      </c>
      <c r="J52" s="179"/>
      <c r="K52" s="180" t="str">
        <f t="shared" si="13"/>
        <v/>
      </c>
      <c r="L52" s="179"/>
      <c r="M52" s="180" t="str">
        <f t="shared" si="14"/>
        <v/>
      </c>
      <c r="N52" s="179"/>
      <c r="O52" s="180" t="str">
        <f t="shared" si="15"/>
        <v/>
      </c>
      <c r="P52" s="179"/>
      <c r="Q52" s="192" t="str">
        <f t="shared" si="0"/>
        <v/>
      </c>
      <c r="R52" s="193"/>
      <c r="S52" s="179"/>
      <c r="T52" s="192" t="str">
        <f t="shared" si="16"/>
        <v/>
      </c>
      <c r="U52" s="193"/>
      <c r="V52" s="179"/>
      <c r="W52" s="192" t="str">
        <f t="shared" si="17"/>
        <v/>
      </c>
      <c r="X52" s="194"/>
      <c r="Y52" s="205" t="str">
        <f t="shared" si="1"/>
        <v/>
      </c>
      <c r="Z52" s="206" t="str">
        <f t="shared" si="2"/>
        <v/>
      </c>
      <c r="AA52" s="206" t="str">
        <f t="shared" si="3"/>
        <v/>
      </c>
      <c r="AB52" s="206" t="str">
        <f t="shared" si="4"/>
        <v/>
      </c>
      <c r="AC52" s="207" t="str">
        <f t="shared" si="5"/>
        <v/>
      </c>
      <c r="AD52" s="208" t="str">
        <f t="shared" si="6"/>
        <v/>
      </c>
      <c r="AE52" s="209" t="str">
        <f t="shared" si="18"/>
        <v/>
      </c>
      <c r="AF52" s="210" t="str">
        <f t="shared" si="7"/>
        <v/>
      </c>
      <c r="AG52" s="219" t="str">
        <f t="shared" si="8"/>
        <v/>
      </c>
      <c r="AH52" s="207" t="str">
        <f t="shared" si="9"/>
        <v/>
      </c>
    </row>
    <row r="53" spans="1:36" s="167" customFormat="1" ht="12.75" customHeight="1">
      <c r="A53" s="181">
        <v>46</v>
      </c>
      <c r="B53" s="177"/>
      <c r="C53" s="182"/>
      <c r="D53" s="179"/>
      <c r="E53" s="180" t="str">
        <f t="shared" si="10"/>
        <v/>
      </c>
      <c r="F53" s="179"/>
      <c r="G53" s="180" t="str">
        <f t="shared" si="11"/>
        <v/>
      </c>
      <c r="H53" s="179"/>
      <c r="I53" s="180" t="str">
        <f t="shared" si="12"/>
        <v/>
      </c>
      <c r="J53" s="179"/>
      <c r="K53" s="180" t="str">
        <f t="shared" si="13"/>
        <v/>
      </c>
      <c r="L53" s="179"/>
      <c r="M53" s="180" t="str">
        <f t="shared" si="14"/>
        <v/>
      </c>
      <c r="N53" s="179"/>
      <c r="O53" s="180" t="str">
        <f t="shared" si="15"/>
        <v/>
      </c>
      <c r="P53" s="179"/>
      <c r="Q53" s="192" t="str">
        <f t="shared" si="0"/>
        <v/>
      </c>
      <c r="R53" s="193"/>
      <c r="S53" s="179"/>
      <c r="T53" s="192" t="str">
        <f t="shared" si="16"/>
        <v/>
      </c>
      <c r="U53" s="193"/>
      <c r="V53" s="179"/>
      <c r="W53" s="192" t="str">
        <f t="shared" si="17"/>
        <v/>
      </c>
      <c r="X53" s="194"/>
      <c r="Y53" s="205" t="str">
        <f t="shared" si="1"/>
        <v/>
      </c>
      <c r="Z53" s="206" t="str">
        <f t="shared" si="2"/>
        <v/>
      </c>
      <c r="AA53" s="206" t="str">
        <f t="shared" si="3"/>
        <v/>
      </c>
      <c r="AB53" s="206" t="str">
        <f t="shared" si="4"/>
        <v/>
      </c>
      <c r="AC53" s="207" t="str">
        <f t="shared" si="5"/>
        <v/>
      </c>
      <c r="AD53" s="208" t="str">
        <f t="shared" si="6"/>
        <v/>
      </c>
      <c r="AE53" s="209" t="str">
        <f t="shared" si="18"/>
        <v/>
      </c>
      <c r="AF53" s="210" t="str">
        <f t="shared" si="7"/>
        <v/>
      </c>
      <c r="AG53" s="219" t="str">
        <f t="shared" si="8"/>
        <v/>
      </c>
      <c r="AH53" s="207" t="str">
        <f t="shared" si="9"/>
        <v/>
      </c>
    </row>
    <row r="54" spans="1:36" s="167" customFormat="1" ht="12.75" customHeight="1">
      <c r="A54" s="181">
        <v>47</v>
      </c>
      <c r="B54" s="177"/>
      <c r="C54" s="182"/>
      <c r="D54" s="179"/>
      <c r="E54" s="180" t="str">
        <f t="shared" si="10"/>
        <v/>
      </c>
      <c r="F54" s="179"/>
      <c r="G54" s="180" t="str">
        <f t="shared" si="11"/>
        <v/>
      </c>
      <c r="H54" s="179"/>
      <c r="I54" s="180" t="str">
        <f t="shared" si="12"/>
        <v/>
      </c>
      <c r="J54" s="179"/>
      <c r="K54" s="180" t="str">
        <f t="shared" si="13"/>
        <v/>
      </c>
      <c r="L54" s="179"/>
      <c r="M54" s="180" t="str">
        <f t="shared" si="14"/>
        <v/>
      </c>
      <c r="N54" s="179"/>
      <c r="O54" s="180" t="str">
        <f t="shared" si="15"/>
        <v/>
      </c>
      <c r="P54" s="179"/>
      <c r="Q54" s="192" t="str">
        <f t="shared" si="0"/>
        <v/>
      </c>
      <c r="R54" s="193"/>
      <c r="S54" s="179"/>
      <c r="T54" s="192" t="str">
        <f t="shared" si="16"/>
        <v/>
      </c>
      <c r="U54" s="193"/>
      <c r="V54" s="179"/>
      <c r="W54" s="192" t="str">
        <f t="shared" si="17"/>
        <v/>
      </c>
      <c r="X54" s="194"/>
      <c r="Y54" s="205" t="str">
        <f t="shared" si="1"/>
        <v/>
      </c>
      <c r="Z54" s="206" t="str">
        <f t="shared" si="2"/>
        <v/>
      </c>
      <c r="AA54" s="206" t="str">
        <f t="shared" si="3"/>
        <v/>
      </c>
      <c r="AB54" s="206" t="str">
        <f t="shared" si="4"/>
        <v/>
      </c>
      <c r="AC54" s="207" t="str">
        <f t="shared" si="5"/>
        <v/>
      </c>
      <c r="AD54" s="208" t="str">
        <f t="shared" si="6"/>
        <v/>
      </c>
      <c r="AE54" s="209" t="str">
        <f t="shared" si="18"/>
        <v/>
      </c>
      <c r="AF54" s="210" t="str">
        <f t="shared" si="7"/>
        <v/>
      </c>
      <c r="AG54" s="219" t="str">
        <f t="shared" si="8"/>
        <v/>
      </c>
      <c r="AH54" s="207" t="str">
        <f t="shared" si="9"/>
        <v/>
      </c>
    </row>
    <row r="55" spans="1:36" s="167" customFormat="1" ht="12.75" customHeight="1">
      <c r="A55" s="181">
        <v>48</v>
      </c>
      <c r="B55" s="177"/>
      <c r="C55" s="182"/>
      <c r="D55" s="179"/>
      <c r="E55" s="180" t="str">
        <f t="shared" si="10"/>
        <v/>
      </c>
      <c r="F55" s="179"/>
      <c r="G55" s="180" t="str">
        <f t="shared" si="11"/>
        <v/>
      </c>
      <c r="H55" s="179"/>
      <c r="I55" s="180" t="str">
        <f t="shared" si="12"/>
        <v/>
      </c>
      <c r="J55" s="179"/>
      <c r="K55" s="180" t="str">
        <f t="shared" si="13"/>
        <v/>
      </c>
      <c r="L55" s="179"/>
      <c r="M55" s="180" t="str">
        <f t="shared" si="14"/>
        <v/>
      </c>
      <c r="N55" s="179"/>
      <c r="O55" s="180" t="str">
        <f t="shared" si="15"/>
        <v/>
      </c>
      <c r="P55" s="179"/>
      <c r="Q55" s="192" t="str">
        <f t="shared" si="0"/>
        <v/>
      </c>
      <c r="R55" s="193"/>
      <c r="S55" s="179"/>
      <c r="T55" s="192" t="str">
        <f t="shared" si="16"/>
        <v/>
      </c>
      <c r="U55" s="193"/>
      <c r="V55" s="179"/>
      <c r="W55" s="192" t="str">
        <f t="shared" si="17"/>
        <v/>
      </c>
      <c r="X55" s="194"/>
      <c r="Y55" s="205" t="str">
        <f t="shared" si="1"/>
        <v/>
      </c>
      <c r="Z55" s="206" t="str">
        <f t="shared" si="2"/>
        <v/>
      </c>
      <c r="AA55" s="206" t="str">
        <f t="shared" si="3"/>
        <v/>
      </c>
      <c r="AB55" s="206" t="str">
        <f t="shared" si="4"/>
        <v/>
      </c>
      <c r="AC55" s="207" t="str">
        <f t="shared" si="5"/>
        <v/>
      </c>
      <c r="AD55" s="208" t="str">
        <f t="shared" si="6"/>
        <v/>
      </c>
      <c r="AE55" s="209" t="str">
        <f t="shared" si="18"/>
        <v/>
      </c>
      <c r="AF55" s="210" t="str">
        <f t="shared" si="7"/>
        <v/>
      </c>
      <c r="AG55" s="219" t="str">
        <f t="shared" si="8"/>
        <v/>
      </c>
      <c r="AH55" s="207" t="str">
        <f t="shared" si="9"/>
        <v/>
      </c>
    </row>
    <row r="56" spans="1:36" s="167" customFormat="1" ht="12.75" customHeight="1">
      <c r="A56" s="181">
        <v>49</v>
      </c>
      <c r="B56" s="177"/>
      <c r="C56" s="182"/>
      <c r="D56" s="179"/>
      <c r="E56" s="180" t="str">
        <f t="shared" si="10"/>
        <v/>
      </c>
      <c r="F56" s="179"/>
      <c r="G56" s="180" t="str">
        <f t="shared" si="11"/>
        <v/>
      </c>
      <c r="H56" s="179"/>
      <c r="I56" s="180" t="str">
        <f t="shared" si="12"/>
        <v/>
      </c>
      <c r="J56" s="179"/>
      <c r="K56" s="180" t="str">
        <f t="shared" si="13"/>
        <v/>
      </c>
      <c r="L56" s="179"/>
      <c r="M56" s="180" t="str">
        <f t="shared" si="14"/>
        <v/>
      </c>
      <c r="N56" s="179"/>
      <c r="O56" s="180" t="str">
        <f t="shared" si="15"/>
        <v/>
      </c>
      <c r="P56" s="179"/>
      <c r="Q56" s="192" t="str">
        <f t="shared" si="0"/>
        <v/>
      </c>
      <c r="R56" s="193"/>
      <c r="S56" s="179"/>
      <c r="T56" s="192" t="str">
        <f t="shared" si="16"/>
        <v/>
      </c>
      <c r="U56" s="193"/>
      <c r="V56" s="179"/>
      <c r="W56" s="192" t="str">
        <f t="shared" si="17"/>
        <v/>
      </c>
      <c r="X56" s="194"/>
      <c r="Y56" s="205" t="str">
        <f t="shared" si="1"/>
        <v/>
      </c>
      <c r="Z56" s="206" t="str">
        <f t="shared" si="2"/>
        <v/>
      </c>
      <c r="AA56" s="206" t="str">
        <f t="shared" si="3"/>
        <v/>
      </c>
      <c r="AB56" s="206" t="str">
        <f t="shared" si="4"/>
        <v/>
      </c>
      <c r="AC56" s="207" t="str">
        <f t="shared" si="5"/>
        <v/>
      </c>
      <c r="AD56" s="208" t="str">
        <f t="shared" si="6"/>
        <v/>
      </c>
      <c r="AE56" s="209" t="str">
        <f t="shared" si="18"/>
        <v/>
      </c>
      <c r="AF56" s="210" t="str">
        <f t="shared" si="7"/>
        <v/>
      </c>
      <c r="AG56" s="219" t="str">
        <f t="shared" si="8"/>
        <v/>
      </c>
      <c r="AH56" s="207" t="str">
        <f t="shared" si="9"/>
        <v/>
      </c>
    </row>
    <row r="57" spans="1:36" s="167" customFormat="1" ht="12.75" customHeight="1">
      <c r="A57" s="181">
        <v>50</v>
      </c>
      <c r="B57" s="177"/>
      <c r="C57" s="182"/>
      <c r="D57" s="179"/>
      <c r="E57" s="180" t="str">
        <f t="shared" si="10"/>
        <v/>
      </c>
      <c r="F57" s="179"/>
      <c r="G57" s="180" t="str">
        <f t="shared" si="11"/>
        <v/>
      </c>
      <c r="H57" s="179"/>
      <c r="I57" s="180" t="str">
        <f t="shared" si="12"/>
        <v/>
      </c>
      <c r="J57" s="179"/>
      <c r="K57" s="180" t="str">
        <f t="shared" si="13"/>
        <v/>
      </c>
      <c r="L57" s="179"/>
      <c r="M57" s="180" t="str">
        <f t="shared" si="14"/>
        <v/>
      </c>
      <c r="N57" s="179"/>
      <c r="O57" s="180" t="str">
        <f t="shared" si="15"/>
        <v/>
      </c>
      <c r="P57" s="179"/>
      <c r="Q57" s="192" t="str">
        <f t="shared" si="0"/>
        <v/>
      </c>
      <c r="R57" s="193"/>
      <c r="S57" s="179"/>
      <c r="T57" s="192" t="str">
        <f t="shared" si="16"/>
        <v/>
      </c>
      <c r="U57" s="193"/>
      <c r="V57" s="179"/>
      <c r="W57" s="192" t="str">
        <f t="shared" si="17"/>
        <v/>
      </c>
      <c r="X57" s="194"/>
      <c r="Y57" s="205" t="str">
        <f t="shared" si="1"/>
        <v/>
      </c>
      <c r="Z57" s="206" t="str">
        <f t="shared" si="2"/>
        <v/>
      </c>
      <c r="AA57" s="206" t="str">
        <f t="shared" si="3"/>
        <v/>
      </c>
      <c r="AB57" s="206" t="str">
        <f t="shared" si="4"/>
        <v/>
      </c>
      <c r="AC57" s="207" t="str">
        <f t="shared" si="5"/>
        <v/>
      </c>
      <c r="AD57" s="208" t="str">
        <f t="shared" si="6"/>
        <v/>
      </c>
      <c r="AE57" s="209" t="str">
        <f t="shared" si="18"/>
        <v/>
      </c>
      <c r="AF57" s="210" t="str">
        <f t="shared" si="7"/>
        <v/>
      </c>
      <c r="AG57" s="219" t="str">
        <f t="shared" si="8"/>
        <v/>
      </c>
      <c r="AH57" s="207" t="str">
        <f t="shared" si="9"/>
        <v/>
      </c>
    </row>
    <row r="58" spans="1:36" s="167" customFormat="1" ht="12.75" customHeight="1">
      <c r="A58" s="181">
        <v>51</v>
      </c>
      <c r="B58" s="177"/>
      <c r="C58" s="182"/>
      <c r="D58" s="179"/>
      <c r="E58" s="180" t="str">
        <f t="shared" si="10"/>
        <v/>
      </c>
      <c r="F58" s="179"/>
      <c r="G58" s="180" t="str">
        <f t="shared" si="11"/>
        <v/>
      </c>
      <c r="H58" s="179"/>
      <c r="I58" s="180" t="str">
        <f t="shared" si="12"/>
        <v/>
      </c>
      <c r="J58" s="179"/>
      <c r="K58" s="180" t="str">
        <f t="shared" si="13"/>
        <v/>
      </c>
      <c r="L58" s="179"/>
      <c r="M58" s="180" t="str">
        <f t="shared" si="14"/>
        <v/>
      </c>
      <c r="N58" s="179"/>
      <c r="O58" s="180" t="str">
        <f t="shared" si="15"/>
        <v/>
      </c>
      <c r="P58" s="179"/>
      <c r="Q58" s="192" t="str">
        <f t="shared" si="0"/>
        <v/>
      </c>
      <c r="R58" s="193"/>
      <c r="S58" s="179"/>
      <c r="T58" s="192" t="str">
        <f t="shared" si="16"/>
        <v/>
      </c>
      <c r="U58" s="193"/>
      <c r="V58" s="179"/>
      <c r="W58" s="192" t="str">
        <f t="shared" si="17"/>
        <v/>
      </c>
      <c r="X58" s="194"/>
      <c r="Y58" s="205" t="str">
        <f t="shared" si="1"/>
        <v/>
      </c>
      <c r="Z58" s="206" t="str">
        <f t="shared" si="2"/>
        <v/>
      </c>
      <c r="AA58" s="206" t="str">
        <f t="shared" si="3"/>
        <v/>
      </c>
      <c r="AB58" s="206" t="str">
        <f t="shared" si="4"/>
        <v/>
      </c>
      <c r="AC58" s="207" t="str">
        <f t="shared" si="5"/>
        <v/>
      </c>
      <c r="AD58" s="208" t="str">
        <f t="shared" si="6"/>
        <v/>
      </c>
      <c r="AE58" s="209" t="str">
        <f t="shared" si="18"/>
        <v/>
      </c>
      <c r="AF58" s="210" t="str">
        <f t="shared" si="7"/>
        <v/>
      </c>
      <c r="AG58" s="219" t="str">
        <f t="shared" si="8"/>
        <v/>
      </c>
      <c r="AH58" s="207" t="str">
        <f t="shared" si="9"/>
        <v/>
      </c>
    </row>
    <row r="59" spans="1:36" s="167" customFormat="1" ht="12.75" customHeight="1">
      <c r="A59" s="181">
        <v>52</v>
      </c>
      <c r="B59" s="177"/>
      <c r="C59" s="182"/>
      <c r="D59" s="179"/>
      <c r="E59" s="180" t="str">
        <f t="shared" si="10"/>
        <v/>
      </c>
      <c r="F59" s="179"/>
      <c r="G59" s="180" t="str">
        <f t="shared" si="11"/>
        <v/>
      </c>
      <c r="H59" s="179"/>
      <c r="I59" s="180" t="str">
        <f t="shared" si="12"/>
        <v/>
      </c>
      <c r="J59" s="179"/>
      <c r="K59" s="180" t="str">
        <f t="shared" si="13"/>
        <v/>
      </c>
      <c r="L59" s="179"/>
      <c r="M59" s="180" t="str">
        <f t="shared" si="14"/>
        <v/>
      </c>
      <c r="N59" s="179"/>
      <c r="O59" s="180" t="str">
        <f t="shared" si="15"/>
        <v/>
      </c>
      <c r="P59" s="179"/>
      <c r="Q59" s="192" t="str">
        <f t="shared" si="0"/>
        <v/>
      </c>
      <c r="R59" s="193"/>
      <c r="S59" s="179"/>
      <c r="T59" s="192" t="str">
        <f t="shared" si="16"/>
        <v/>
      </c>
      <c r="U59" s="193"/>
      <c r="V59" s="179"/>
      <c r="W59" s="192" t="str">
        <f t="shared" si="17"/>
        <v/>
      </c>
      <c r="X59" s="194"/>
      <c r="Y59" s="205" t="str">
        <f t="shared" si="1"/>
        <v/>
      </c>
      <c r="Z59" s="206" t="str">
        <f t="shared" si="2"/>
        <v/>
      </c>
      <c r="AA59" s="206" t="str">
        <f t="shared" si="3"/>
        <v/>
      </c>
      <c r="AB59" s="206" t="str">
        <f t="shared" si="4"/>
        <v/>
      </c>
      <c r="AC59" s="207" t="str">
        <f t="shared" si="5"/>
        <v/>
      </c>
      <c r="AD59" s="208" t="str">
        <f t="shared" si="6"/>
        <v/>
      </c>
      <c r="AE59" s="209" t="str">
        <f t="shared" si="18"/>
        <v/>
      </c>
      <c r="AF59" s="210" t="str">
        <f t="shared" si="7"/>
        <v/>
      </c>
      <c r="AG59" s="219" t="str">
        <f t="shared" si="8"/>
        <v/>
      </c>
      <c r="AH59" s="207" t="str">
        <f t="shared" si="9"/>
        <v/>
      </c>
    </row>
    <row r="60" spans="1:36" s="167" customFormat="1" ht="12.75" customHeight="1">
      <c r="A60" s="181">
        <v>53</v>
      </c>
      <c r="B60" s="177"/>
      <c r="C60" s="182"/>
      <c r="D60" s="179"/>
      <c r="E60" s="180" t="str">
        <f t="shared" si="10"/>
        <v/>
      </c>
      <c r="F60" s="179"/>
      <c r="G60" s="180" t="str">
        <f t="shared" si="11"/>
        <v/>
      </c>
      <c r="H60" s="179"/>
      <c r="I60" s="180" t="str">
        <f t="shared" si="12"/>
        <v/>
      </c>
      <c r="J60" s="179"/>
      <c r="K60" s="180" t="str">
        <f t="shared" si="13"/>
        <v/>
      </c>
      <c r="L60" s="179"/>
      <c r="M60" s="180" t="str">
        <f t="shared" si="14"/>
        <v/>
      </c>
      <c r="N60" s="179"/>
      <c r="O60" s="180" t="str">
        <f t="shared" si="15"/>
        <v/>
      </c>
      <c r="P60" s="179"/>
      <c r="Q60" s="192" t="str">
        <f t="shared" si="0"/>
        <v/>
      </c>
      <c r="R60" s="193"/>
      <c r="S60" s="179"/>
      <c r="T60" s="192" t="str">
        <f t="shared" si="16"/>
        <v/>
      </c>
      <c r="U60" s="193"/>
      <c r="V60" s="179"/>
      <c r="W60" s="192" t="str">
        <f t="shared" si="17"/>
        <v/>
      </c>
      <c r="X60" s="194"/>
      <c r="Y60" s="205" t="str">
        <f t="shared" si="1"/>
        <v/>
      </c>
      <c r="Z60" s="206" t="str">
        <f t="shared" si="2"/>
        <v/>
      </c>
      <c r="AA60" s="206" t="str">
        <f t="shared" si="3"/>
        <v/>
      </c>
      <c r="AB60" s="206" t="str">
        <f t="shared" si="4"/>
        <v/>
      </c>
      <c r="AC60" s="207" t="str">
        <f t="shared" si="5"/>
        <v/>
      </c>
      <c r="AD60" s="208" t="str">
        <f t="shared" si="6"/>
        <v/>
      </c>
      <c r="AE60" s="209" t="str">
        <f t="shared" si="18"/>
        <v/>
      </c>
      <c r="AF60" s="210" t="str">
        <f t="shared" si="7"/>
        <v/>
      </c>
      <c r="AG60" s="219" t="str">
        <f t="shared" si="8"/>
        <v/>
      </c>
      <c r="AH60" s="207" t="str">
        <f t="shared" si="9"/>
        <v/>
      </c>
    </row>
    <row r="61" spans="1:36" s="167" customFormat="1" ht="12.75" customHeight="1">
      <c r="A61" s="181">
        <v>54</v>
      </c>
      <c r="B61" s="177"/>
      <c r="C61" s="182"/>
      <c r="D61" s="179"/>
      <c r="E61" s="180" t="str">
        <f t="shared" si="10"/>
        <v/>
      </c>
      <c r="F61" s="179"/>
      <c r="G61" s="180" t="str">
        <f t="shared" si="11"/>
        <v/>
      </c>
      <c r="H61" s="179"/>
      <c r="I61" s="180" t="str">
        <f t="shared" si="12"/>
        <v/>
      </c>
      <c r="J61" s="179"/>
      <c r="K61" s="180" t="str">
        <f t="shared" si="13"/>
        <v/>
      </c>
      <c r="L61" s="179"/>
      <c r="M61" s="180" t="str">
        <f t="shared" si="14"/>
        <v/>
      </c>
      <c r="N61" s="179"/>
      <c r="O61" s="180" t="str">
        <f t="shared" si="15"/>
        <v/>
      </c>
      <c r="P61" s="179"/>
      <c r="Q61" s="192" t="str">
        <f t="shared" si="0"/>
        <v/>
      </c>
      <c r="R61" s="193"/>
      <c r="S61" s="179"/>
      <c r="T61" s="192" t="str">
        <f t="shared" si="16"/>
        <v/>
      </c>
      <c r="U61" s="193"/>
      <c r="V61" s="179"/>
      <c r="W61" s="192" t="str">
        <f t="shared" si="17"/>
        <v/>
      </c>
      <c r="X61" s="194"/>
      <c r="Y61" s="205" t="str">
        <f t="shared" si="1"/>
        <v/>
      </c>
      <c r="Z61" s="206" t="str">
        <f t="shared" si="2"/>
        <v/>
      </c>
      <c r="AA61" s="206" t="str">
        <f t="shared" si="3"/>
        <v/>
      </c>
      <c r="AB61" s="206" t="str">
        <f t="shared" si="4"/>
        <v/>
      </c>
      <c r="AC61" s="207" t="str">
        <f t="shared" si="5"/>
        <v/>
      </c>
      <c r="AD61" s="208" t="str">
        <f t="shared" si="6"/>
        <v/>
      </c>
      <c r="AE61" s="209" t="str">
        <f t="shared" si="18"/>
        <v/>
      </c>
      <c r="AF61" s="210" t="str">
        <f t="shared" si="7"/>
        <v/>
      </c>
      <c r="AG61" s="219" t="str">
        <f t="shared" si="8"/>
        <v/>
      </c>
      <c r="AH61" s="207" t="str">
        <f t="shared" si="9"/>
        <v/>
      </c>
    </row>
    <row r="62" spans="1:36" s="167" customFormat="1" ht="12.75" customHeight="1">
      <c r="A62" s="181">
        <v>55</v>
      </c>
      <c r="B62" s="177"/>
      <c r="C62" s="182"/>
      <c r="D62" s="179"/>
      <c r="E62" s="180" t="str">
        <f t="shared" si="10"/>
        <v/>
      </c>
      <c r="F62" s="179"/>
      <c r="G62" s="180" t="str">
        <f t="shared" si="11"/>
        <v/>
      </c>
      <c r="H62" s="179"/>
      <c r="I62" s="180" t="str">
        <f t="shared" si="12"/>
        <v/>
      </c>
      <c r="J62" s="179"/>
      <c r="K62" s="180" t="str">
        <f t="shared" si="13"/>
        <v/>
      </c>
      <c r="L62" s="179"/>
      <c r="M62" s="180" t="str">
        <f t="shared" si="14"/>
        <v/>
      </c>
      <c r="N62" s="179"/>
      <c r="O62" s="185" t="str">
        <f t="shared" si="15"/>
        <v/>
      </c>
      <c r="P62" s="179"/>
      <c r="Q62" s="195" t="str">
        <f t="shared" si="0"/>
        <v/>
      </c>
      <c r="R62" s="196"/>
      <c r="S62" s="179"/>
      <c r="T62" s="195" t="str">
        <f t="shared" si="16"/>
        <v/>
      </c>
      <c r="U62" s="196"/>
      <c r="V62" s="179"/>
      <c r="W62" s="195" t="str">
        <f t="shared" si="17"/>
        <v/>
      </c>
      <c r="X62" s="197"/>
      <c r="Y62" s="211" t="str">
        <f t="shared" si="1"/>
        <v/>
      </c>
      <c r="Z62" s="212" t="str">
        <f t="shared" si="2"/>
        <v/>
      </c>
      <c r="AA62" s="212" t="str">
        <f t="shared" si="3"/>
        <v/>
      </c>
      <c r="AB62" s="212" t="str">
        <f t="shared" si="4"/>
        <v/>
      </c>
      <c r="AC62" s="213" t="str">
        <f t="shared" si="5"/>
        <v/>
      </c>
      <c r="AD62" s="214" t="str">
        <f t="shared" si="6"/>
        <v/>
      </c>
      <c r="AE62" s="215" t="str">
        <f t="shared" si="18"/>
        <v/>
      </c>
      <c r="AF62" s="216" t="str">
        <f t="shared" si="7"/>
        <v/>
      </c>
      <c r="AG62" s="220" t="str">
        <f t="shared" si="8"/>
        <v/>
      </c>
      <c r="AH62" s="213" t="str">
        <f t="shared" si="9"/>
        <v/>
      </c>
    </row>
    <row r="63" spans="1:36" s="167" customFormat="1" ht="12.75" customHeight="1">
      <c r="A63" s="342" t="s">
        <v>33</v>
      </c>
      <c r="B63" s="343"/>
      <c r="C63" s="344"/>
      <c r="D63" s="345" t="str">
        <f>IF(COUNTA(D8:D62)=0,"",(SUM(D8:D62)))</f>
        <v/>
      </c>
      <c r="E63" s="346"/>
      <c r="F63" s="345" t="str">
        <f>IF(COUNTA(F8:F62)=0,"",(SUM(F8:F62)))</f>
        <v/>
      </c>
      <c r="G63" s="346"/>
      <c r="H63" s="345" t="str">
        <f t="shared" ref="H63" si="19">IF(COUNTA(H8:H62)=0,"",(SUM(H8:H62)))</f>
        <v/>
      </c>
      <c r="I63" s="346"/>
      <c r="J63" s="345" t="str">
        <f t="shared" ref="J63" si="20">IF(COUNTA(J8:J62)=0,"",(SUM(J8:J62)))</f>
        <v/>
      </c>
      <c r="K63" s="346"/>
      <c r="L63" s="345" t="str">
        <f t="shared" ref="L63" si="21">IF(COUNTA(L8:L62)=0,"",(SUM(L8:L62)))</f>
        <v/>
      </c>
      <c r="M63" s="346"/>
      <c r="N63" s="345" t="str">
        <f t="shared" ref="N63" si="22">IF(COUNTA(N8:N62)=0,"",(SUM(N8:N62)))</f>
        <v/>
      </c>
      <c r="O63" s="346"/>
      <c r="P63" s="345" t="str">
        <f t="shared" ref="P63" si="23">IF(COUNTA(P8:P62)=0,"",(SUM(P8:P62)))</f>
        <v/>
      </c>
      <c r="Q63" s="346"/>
      <c r="R63" s="198"/>
      <c r="S63" s="345" t="str">
        <f t="shared" ref="S63" si="24">IF(COUNTA(S8:S62)=0,"",(SUM(S8:S62)))</f>
        <v/>
      </c>
      <c r="T63" s="346"/>
      <c r="U63" s="199"/>
      <c r="V63" s="345" t="str">
        <f t="shared" ref="V63" si="25">IF(COUNTA(V8:V62)=0,"",(SUM(V8:V62)))</f>
        <v/>
      </c>
      <c r="W63" s="346"/>
      <c r="X63" s="199"/>
      <c r="Y63" s="342" t="s">
        <v>34</v>
      </c>
      <c r="Z63" s="343"/>
      <c r="AA63" s="343"/>
      <c r="AB63" s="343"/>
      <c r="AC63" s="347"/>
      <c r="AD63" s="217" t="str">
        <f>IF(OR(COUNTIF(AD8:AD62,"P")&lt;&gt;0,COUNTIF(AD8:AD62,"F")&lt;&gt;0,COUNTIF(AD8:AD62,"ab")&lt;&gt;0),(COUNTIF(AD8:AD62,"ab")),"")</f>
        <v/>
      </c>
      <c r="AE63" s="217" t="str">
        <f>IF(OR(COUNTIF(AE8:AE62,"P")&lt;&gt;0,COUNTIF(AE8:AE62,"F")&lt;&gt;0,COUNTIF(AE8:AE62,"ab")&lt;&gt;0,COUNTIF(AE8:AE62,"Q1")&lt;&gt;0,COUNTIF(AE8:AE62,"Q2")&lt;&gt;0,COUNTIF(AE8:AE62,"R1")&lt;&gt;0,COUNTIF(AE8:AE62,"R2")&lt;&gt;0),(COUNTIF(AE8:AE62,"ab")),"")</f>
        <v/>
      </c>
      <c r="AF63" s="348" t="s">
        <v>34</v>
      </c>
      <c r="AG63" s="349"/>
      <c r="AH63" s="350"/>
      <c r="AI63" s="221"/>
      <c r="AJ63" s="221"/>
    </row>
    <row r="64" spans="1:36" s="167" customFormat="1" ht="12.75" customHeight="1">
      <c r="A64" s="351" t="s">
        <v>35</v>
      </c>
      <c r="B64" s="352"/>
      <c r="C64" s="353"/>
      <c r="D64" s="354" t="str">
        <f>IF(D63="","",IF(D63=0,0,AVERAGE(D8:D62)))</f>
        <v/>
      </c>
      <c r="E64" s="355"/>
      <c r="F64" s="354" t="str">
        <f>IF(F63="","",IF(F63=0,0,AVERAGE(F8:F62)))</f>
        <v/>
      </c>
      <c r="G64" s="355"/>
      <c r="H64" s="354" t="str">
        <f t="shared" ref="H64" si="26">IF(H63="","",IF(H63=0,0,AVERAGE(H8:H62)))</f>
        <v/>
      </c>
      <c r="I64" s="355"/>
      <c r="J64" s="354" t="str">
        <f t="shared" ref="J64" si="27">IF(J63="","",IF(J63=0,0,AVERAGE(J8:J62)))</f>
        <v/>
      </c>
      <c r="K64" s="355"/>
      <c r="L64" s="354" t="str">
        <f t="shared" ref="L64" si="28">IF(L63="","",IF(L63=0,0,AVERAGE(L8:L62)))</f>
        <v/>
      </c>
      <c r="M64" s="355"/>
      <c r="N64" s="354" t="str">
        <f t="shared" ref="N64" si="29">IF(N63="","",IF(N63=0,0,AVERAGE(N8:N62)))</f>
        <v/>
      </c>
      <c r="O64" s="355"/>
      <c r="P64" s="354" t="str">
        <f t="shared" ref="P64" si="30">IF(P63="","",IF(P63=0,0,AVERAGE(P8:P62)))</f>
        <v/>
      </c>
      <c r="Q64" s="355"/>
      <c r="R64" s="200"/>
      <c r="S64" s="354" t="str">
        <f t="shared" ref="S64" si="31">IF(S63="","",IF(S63=0,0,AVERAGE(S8:S62)))</f>
        <v/>
      </c>
      <c r="T64" s="355"/>
      <c r="U64" s="201"/>
      <c r="V64" s="354" t="str">
        <f t="shared" ref="V64" si="32">IF(V63="","",IF(V63=0,0,AVERAGE(V8:V62)))</f>
        <v/>
      </c>
      <c r="W64" s="355"/>
      <c r="X64" s="201"/>
      <c r="Y64" s="356" t="s">
        <v>36</v>
      </c>
      <c r="Z64" s="357"/>
      <c r="AA64" s="357"/>
      <c r="AB64" s="357"/>
      <c r="AC64" s="358"/>
      <c r="AD64" s="218" t="str">
        <f>IF(OR(COUNTIF(AD8:AD62,"P")&lt;&gt;0,COUNTIF(AD8:AD62,"F")&lt;&gt;0,COUNTIF(AD8:AD62,"ab")&lt;&gt;0),(COUNTIF(AD8:AD62,"P")),"")</f>
        <v/>
      </c>
      <c r="AE64" s="218" t="str">
        <f>IF(OR(COUNTIF(AE8:AE62,"P")&lt;&gt;0,COUNTIF(AE8:AE62,"F")&lt;&gt;0,COUNTIF(AE8:AE62,"ab")&lt;&gt;0,COUNTIF(AE8:AE62,"Q1")&lt;&gt;0,COUNTIF(AE8:AE62,"Q2")&lt;&gt;0,COUNTIF(AE8:AE62,"R1")&lt;&gt;0,COUNTIF(AE8:AE62,"R2")&lt;&gt;0),(COUNTIF(AE8:AE62,"P")),"")</f>
        <v/>
      </c>
      <c r="AF64" s="356" t="s">
        <v>36</v>
      </c>
      <c r="AG64" s="357"/>
      <c r="AH64" s="359"/>
    </row>
    <row r="65" spans="1:66" s="167" customFormat="1" ht="13.2">
      <c r="A65" s="222"/>
      <c r="B65" s="223"/>
      <c r="C65" s="224"/>
      <c r="D65" s="225"/>
      <c r="E65" s="226"/>
      <c r="F65" s="227"/>
      <c r="G65" s="226"/>
      <c r="H65" s="227"/>
      <c r="I65" s="226"/>
      <c r="J65" s="227"/>
      <c r="K65" s="226"/>
      <c r="L65" s="227"/>
      <c r="M65" s="226"/>
      <c r="N65" s="227"/>
      <c r="O65" s="226"/>
      <c r="P65" s="227"/>
      <c r="Q65" s="256"/>
      <c r="R65" s="226"/>
      <c r="S65" s="227"/>
      <c r="T65" s="226"/>
      <c r="U65" s="257"/>
      <c r="V65" s="227"/>
      <c r="W65" s="226"/>
      <c r="X65" s="257"/>
      <c r="Y65" s="351" t="s">
        <v>37</v>
      </c>
      <c r="Z65" s="352"/>
      <c r="AA65" s="352"/>
      <c r="AB65" s="352"/>
      <c r="AC65" s="360"/>
      <c r="AD65" s="283" t="str">
        <f>IF(OR(COUNTIF(AD8:AD62,"P")&lt;&gt;0,COUNTIF(AD8:AD62,"F")&lt;&gt;0,COUNTIF(AD8:AD62,"ab")&lt;&gt;0),(COUNTIF(AD8:AD62,"F")),"")</f>
        <v/>
      </c>
      <c r="AE65" s="218" t="str">
        <f>IF(OR(COUNTIF(AE8:AE62,"P")&lt;&gt;0,COUNTIF(AE8:AE62,"F")&lt;&gt;0,COUNTIF(AE8:AE62,"ab")&lt;&gt;0,COUNTIF(AE8:AE62,"Q1")&lt;&gt;0,COUNTIF(AE8:AE62,"Q2")&lt;&gt;0,COUNTIF(AE8:AE62,"R1")&lt;&gt;0,COUNTIF(AE8:AE62,"R2")&lt;&gt;0),(COUNTIF(AE8:AE62,"Q1")),"")</f>
        <v/>
      </c>
      <c r="AF65" s="356" t="s">
        <v>38</v>
      </c>
      <c r="AG65" s="357"/>
      <c r="AH65" s="359"/>
    </row>
    <row r="66" spans="1:66" s="167" customFormat="1" ht="12" customHeight="1">
      <c r="A66" s="418" t="s">
        <v>39</v>
      </c>
      <c r="B66" s="418"/>
      <c r="C66" s="228" t="s">
        <v>40</v>
      </c>
      <c r="D66" s="229"/>
      <c r="E66" s="192" t="str">
        <f>IF(D$63="","",(COUNTIF(E$8:E$62,"A")))</f>
        <v/>
      </c>
      <c r="F66" s="229"/>
      <c r="G66" s="192" t="str">
        <f>IF(F$63="","",(COUNTIF(G$8:G$62,"A")))</f>
        <v/>
      </c>
      <c r="H66" s="229"/>
      <c r="I66" s="192" t="str">
        <f>IF(H$63="","",(COUNTIF(I$8:I$62,"A")))</f>
        <v/>
      </c>
      <c r="J66" s="229"/>
      <c r="K66" s="192" t="str">
        <f>IF(J$63="","",(COUNTIF(K$8:K$62,"A")))</f>
        <v/>
      </c>
      <c r="L66" s="229"/>
      <c r="M66" s="192" t="str">
        <f>IF(L$63="","",(COUNTIF(M$8:M$62,"A")))</f>
        <v/>
      </c>
      <c r="N66" s="229"/>
      <c r="O66" s="192" t="str">
        <f>IF(N$63="","",(COUNTIF(O$8:O$62,"A")))</f>
        <v/>
      </c>
      <c r="P66" s="229"/>
      <c r="Q66" s="192" t="str">
        <f>IF(P$63="","",(COUNTIF(Q$8:Q$62,"A")))</f>
        <v/>
      </c>
      <c r="R66" s="229"/>
      <c r="S66" s="229"/>
      <c r="T66" s="192" t="str">
        <f>IF(S$63="","",(COUNTIF(T$8:T$62,"A")))</f>
        <v/>
      </c>
      <c r="U66" s="261"/>
      <c r="V66" s="306"/>
      <c r="W66" s="189" t="str">
        <f>IF(V$63="","",(COUNTIF(W$8:W$62,"A")))</f>
        <v/>
      </c>
      <c r="X66" s="307"/>
      <c r="Y66" s="205" t="str">
        <f>IF((COUNT($D66:$W66)=0),"",(SUM($D66:$W66)))</f>
        <v/>
      </c>
      <c r="Z66" s="284"/>
      <c r="AA66" s="284"/>
      <c r="AB66" s="284"/>
      <c r="AC66" s="284"/>
      <c r="AD66" s="285"/>
      <c r="AE66" s="218" t="str">
        <f>IF(OR(COUNTIF(AE8:AE62,"P")&lt;&gt;0,COUNTIF(AE8:AE62,"F")&lt;&gt;0,COUNTIF(AE8:AE62,"ab")&lt;&gt;0,COUNTIF(AE8:AE62,"Q1")&lt;&gt;0,COUNTIF(AE8:AE62,"Q2")&lt;&gt;0,COUNTIF(AE8:AE62,"R1")&lt;&gt;0,COUNTIF(AE8:AE62,"R2")&lt;&gt;0),(COUNTIF(AE8:AE62,"Q2")),"")</f>
        <v/>
      </c>
      <c r="AF66" s="356" t="s">
        <v>41</v>
      </c>
      <c r="AG66" s="357"/>
      <c r="AH66" s="359"/>
    </row>
    <row r="67" spans="1:66" s="167" customFormat="1" ht="12" customHeight="1">
      <c r="A67" s="418"/>
      <c r="B67" s="418"/>
      <c r="C67" s="228" t="s">
        <v>42</v>
      </c>
      <c r="D67" s="229"/>
      <c r="E67" s="192" t="str">
        <f>IF(D$63="","",(COUNTIF(E$8:E$62,"B")))</f>
        <v/>
      </c>
      <c r="F67" s="229"/>
      <c r="G67" s="192" t="str">
        <f>IF(F$63="","",(COUNTIF(G$8:G$62,"B")))</f>
        <v/>
      </c>
      <c r="H67" s="229"/>
      <c r="I67" s="192" t="str">
        <f>IF(H$63="","",(COUNTIF(I$8:I$62,"B")))</f>
        <v/>
      </c>
      <c r="J67" s="229"/>
      <c r="K67" s="192" t="str">
        <f>IF(J$63="","",(COUNTIF(K$8:K$62,"B")))</f>
        <v/>
      </c>
      <c r="L67" s="229"/>
      <c r="M67" s="192" t="str">
        <f>IF(L$63="","",(COUNTIF(M$8:M$62,"B")))</f>
        <v/>
      </c>
      <c r="N67" s="229"/>
      <c r="O67" s="192" t="str">
        <f>IF(N$63="","",(COUNTIF(O$8:O$62,"B")))</f>
        <v/>
      </c>
      <c r="P67" s="229"/>
      <c r="Q67" s="192" t="str">
        <f>IF(P$63="","",(COUNTIF(Q$8:Q$62,"B")))</f>
        <v/>
      </c>
      <c r="R67" s="229"/>
      <c r="S67" s="229"/>
      <c r="T67" s="192" t="str">
        <f>IF(S$63="","",(COUNTIF(T$8:T$62,"B")))</f>
        <v/>
      </c>
      <c r="U67" s="261"/>
      <c r="V67" s="262"/>
      <c r="W67" s="192" t="str">
        <f>IF(V$63="","",(COUNTIF(W$8:W$62,"B")))</f>
        <v/>
      </c>
      <c r="X67" s="264"/>
      <c r="Y67" s="286"/>
      <c r="Z67" s="240" t="str">
        <f>IF((COUNT($D67:$W67)=0),"",SUM($D67:$W67))</f>
        <v/>
      </c>
      <c r="AA67" s="229"/>
      <c r="AB67" s="229"/>
      <c r="AC67" s="229"/>
      <c r="AD67" s="287"/>
      <c r="AE67" s="218" t="str">
        <f>IF(OR(COUNTIF(AE8:AE62,"P")&lt;&gt;0,COUNTIF(AE8:AE62,"F")&lt;&gt;0,COUNTIF(AE8:AE62,"ab")&lt;&gt;0,COUNTIF(AE8:AE62,"Q1")&lt;&gt;0,COUNTIF(AE8:AE62,"Q2")&lt;&gt;0,COUNTIF(AE8:AE62,"R1")&lt;&gt;0,COUNTIF(AE8:AE62,"R2")&lt;&gt;0),(COUNTIF(AE8:AE62,"R1")),"")</f>
        <v/>
      </c>
      <c r="AF67" s="356" t="s">
        <v>43</v>
      </c>
      <c r="AG67" s="357"/>
      <c r="AH67" s="359"/>
    </row>
    <row r="68" spans="1:66" s="167" customFormat="1" ht="12" customHeight="1">
      <c r="A68" s="418"/>
      <c r="B68" s="418"/>
      <c r="C68" s="228" t="s">
        <v>44</v>
      </c>
      <c r="D68" s="229"/>
      <c r="E68" s="192" t="str">
        <f>IF(D$63="","",(COUNTIF(E$8:E$62,"C")))</f>
        <v/>
      </c>
      <c r="F68" s="229"/>
      <c r="G68" s="192" t="str">
        <f>IF(F$63="","",(COUNTIF(G$8:G$62,"C")))</f>
        <v/>
      </c>
      <c r="H68" s="229"/>
      <c r="I68" s="192" t="str">
        <f>IF(H$63="","",(COUNTIF(I$8:I$62,"C")))</f>
        <v/>
      </c>
      <c r="J68" s="229"/>
      <c r="K68" s="192" t="str">
        <f>IF(J$63="","",(COUNTIF(K$8:K$62,"C")))</f>
        <v/>
      </c>
      <c r="L68" s="229"/>
      <c r="M68" s="192" t="str">
        <f>IF(L$63="","",(COUNTIF(M$8:M$62,"C")))</f>
        <v/>
      </c>
      <c r="N68" s="229"/>
      <c r="O68" s="192" t="str">
        <f>IF(N$63="","",(COUNTIF(O$8:O$62,"C")))</f>
        <v/>
      </c>
      <c r="P68" s="229"/>
      <c r="Q68" s="192" t="str">
        <f>IF(P$63="","",(COUNTIF(Q$8:Q$62,"C")))</f>
        <v/>
      </c>
      <c r="R68" s="229"/>
      <c r="S68" s="229"/>
      <c r="T68" s="192" t="str">
        <f>IF(S$63="","",(COUNTIF(T$8:T$62,"C")))</f>
        <v/>
      </c>
      <c r="U68" s="261"/>
      <c r="V68" s="262"/>
      <c r="W68" s="192" t="str">
        <f>IF(V$63="","",(COUNTIF(W$8:W$62,"C")))</f>
        <v/>
      </c>
      <c r="X68" s="264"/>
      <c r="Y68" s="286"/>
      <c r="Z68" s="229"/>
      <c r="AA68" s="240" t="str">
        <f>IF((COUNT($D68:$W68)=0),"",SUM($D68:$W68))</f>
        <v/>
      </c>
      <c r="AB68" s="229"/>
      <c r="AC68" s="229"/>
      <c r="AD68" s="287"/>
      <c r="AE68" s="218" t="str">
        <f>IF(OR(COUNTIF(AE8:AE62,"P")&lt;&gt;0,COUNTIF(AE8:AE62,"F")&lt;&gt;0,COUNTIF(AE8:AE62,"ab")&lt;&gt;0,COUNTIF(AE8:AE62,"Q1")&lt;&gt;0,COUNTIF(AE8:AE62,"Q2")&lt;&gt;0,COUNTIF(AE8:AE62,"R1")&lt;&gt;0,COUNTIF(AE8:AE62,"R2")&lt;&gt;0),(COUNTIF(AE8:AE62,"R2")),"")</f>
        <v/>
      </c>
      <c r="AF68" s="356" t="s">
        <v>45</v>
      </c>
      <c r="AG68" s="357"/>
      <c r="AH68" s="359"/>
    </row>
    <row r="69" spans="1:66" s="167" customFormat="1" ht="12" customHeight="1">
      <c r="A69" s="418"/>
      <c r="B69" s="418"/>
      <c r="C69" s="228" t="s">
        <v>46</v>
      </c>
      <c r="D69" s="229"/>
      <c r="E69" s="192" t="str">
        <f>IF(D$63="","",(COUNTIF(E$8:E$62,"S")))</f>
        <v/>
      </c>
      <c r="F69" s="229"/>
      <c r="G69" s="192" t="str">
        <f>IF(F$63="","",(COUNTIF(G$8:G$62,"S")))</f>
        <v/>
      </c>
      <c r="H69" s="229"/>
      <c r="I69" s="192" t="str">
        <f>IF(H$63="","",(COUNTIF(I$8:I$62,"S")))</f>
        <v/>
      </c>
      <c r="J69" s="229"/>
      <c r="K69" s="192" t="str">
        <f>IF(J$63="","",(COUNTIF(K$8:K$62,"S")))</f>
        <v/>
      </c>
      <c r="L69" s="229"/>
      <c r="M69" s="192" t="str">
        <f>IF(L$63="","",(COUNTIF(M$8:M$62,"S")))</f>
        <v/>
      </c>
      <c r="N69" s="229"/>
      <c r="O69" s="192" t="str">
        <f>IF(N$63="","",(COUNTIF(O$8:O$62,"S")))</f>
        <v/>
      </c>
      <c r="P69" s="229"/>
      <c r="Q69" s="192" t="str">
        <f>IF(P$63="","",(COUNTIF(Q$8:Q$62,"S")))</f>
        <v/>
      </c>
      <c r="R69" s="229"/>
      <c r="S69" s="229"/>
      <c r="T69" s="192" t="str">
        <f>IF(S$63="","",(COUNTIF(T$8:T$62,"S")))</f>
        <v/>
      </c>
      <c r="U69" s="261"/>
      <c r="V69" s="262"/>
      <c r="W69" s="192" t="str">
        <f>IF(V$63="","",(COUNTIF(W$8:W$62,"S")))</f>
        <v/>
      </c>
      <c r="X69" s="264"/>
      <c r="Y69" s="286"/>
      <c r="Z69" s="229"/>
      <c r="AA69" s="229"/>
      <c r="AB69" s="240" t="str">
        <f>IF((COUNT($D69:$W69)=0),"",SUM($D69:$W69))</f>
        <v/>
      </c>
      <c r="AC69" s="229"/>
      <c r="AD69" s="287"/>
      <c r="AE69" s="218" t="str">
        <f>IF(OR(COUNTIF(AE8:AE62,"P")&lt;&gt;0,COUNTIF(AE8:AE62,"F")&lt;&gt;0,COUNTIF(AE8:AE62,"ab")&lt;&gt;0,COUNTIF(AE8:AE62,"Q1")&lt;&gt;0,COUNTIF(AE8:AE62,"Q2")&lt;&gt;0,COUNTIF(AE8:AE62,"R1")&lt;&gt;0,COUNTIF(AE8:AE62,"R2")&lt;&gt;0),(COUNTIF(AE8:AE62,"F")),"")</f>
        <v/>
      </c>
      <c r="AF69" s="356" t="s">
        <v>37</v>
      </c>
      <c r="AG69" s="357"/>
      <c r="AH69" s="359"/>
    </row>
    <row r="70" spans="1:66" s="167" customFormat="1" ht="12" customHeight="1">
      <c r="A70" s="418"/>
      <c r="B70" s="418"/>
      <c r="C70" s="228" t="s">
        <v>32</v>
      </c>
      <c r="D70" s="229"/>
      <c r="E70" s="192" t="str">
        <f>IF(D$63="","",(COUNTIF(E$8:E$62,"W")))</f>
        <v/>
      </c>
      <c r="F70" s="229"/>
      <c r="G70" s="192" t="str">
        <f>IF(F$63="","",(COUNTIF(G$8:G$62,"W")))</f>
        <v/>
      </c>
      <c r="H70" s="229"/>
      <c r="I70" s="192" t="str">
        <f>IF(H$63="","",(COUNTIF(I$8:I$62,"W")))</f>
        <v/>
      </c>
      <c r="J70" s="229"/>
      <c r="K70" s="192" t="str">
        <f>IF(J$63="","",(COUNTIF(K$8:K$62,"W")))</f>
        <v/>
      </c>
      <c r="L70" s="229"/>
      <c r="M70" s="192" t="str">
        <f>IF(L$63="","",(COUNTIF(M$8:M$62,"W")))</f>
        <v/>
      </c>
      <c r="N70" s="229"/>
      <c r="O70" s="192" t="str">
        <f>IF(N$63="","",(COUNTIF(O$8:O$62,"W")))</f>
        <v/>
      </c>
      <c r="P70" s="229"/>
      <c r="Q70" s="192" t="str">
        <f>IF(P$63="","",(COUNTIF(Q$8:Q$62,"W")))</f>
        <v/>
      </c>
      <c r="R70" s="229"/>
      <c r="S70" s="229"/>
      <c r="T70" s="192" t="str">
        <f>IF(S$63="","",(COUNTIF(T$8:T$62,"W")))</f>
        <v/>
      </c>
      <c r="U70" s="261"/>
      <c r="V70" s="265"/>
      <c r="W70" s="192" t="str">
        <f>IF(V$63="","",(COUNTIF(W$8:W$62,"W")))</f>
        <v/>
      </c>
      <c r="X70" s="266"/>
      <c r="Y70" s="286"/>
      <c r="Z70" s="229"/>
      <c r="AA70" s="229"/>
      <c r="AB70" s="229"/>
      <c r="AC70" s="240" t="str">
        <f>IF((COUNT($D70:$W70)=0),"",SUM($D70:$W70))</f>
        <v/>
      </c>
      <c r="AD70" s="287"/>
      <c r="AE70" s="283" t="str">
        <f>IF(AND(AE63="",AE64="",AE65="",AE66="",AE67="",AE68="",AE69=""),"",SUM(AE63:AE69))</f>
        <v/>
      </c>
      <c r="AF70" s="351" t="s">
        <v>33</v>
      </c>
      <c r="AG70" s="352"/>
      <c r="AH70" s="353"/>
    </row>
    <row r="71" spans="1:66" s="167" customFormat="1" ht="12" customHeight="1">
      <c r="A71" s="419"/>
      <c r="B71" s="419"/>
      <c r="C71" s="230" t="s">
        <v>47</v>
      </c>
      <c r="D71" s="231"/>
      <c r="E71" s="232" t="str">
        <f>IF(D$63="","",(COUNTIF(E$8:E$62,"ab")))</f>
        <v/>
      </c>
      <c r="F71" s="231"/>
      <c r="G71" s="232" t="str">
        <f>IF(F$63="","",(COUNTIF(G$8:G$62,"ab")))</f>
        <v/>
      </c>
      <c r="H71" s="231"/>
      <c r="I71" s="232" t="str">
        <f>IF(H$63="","",(COUNTIF(I$8:I$62,"ab")))</f>
        <v/>
      </c>
      <c r="J71" s="231"/>
      <c r="K71" s="232" t="str">
        <f>IF(J$63="","",(COUNTIF(K$8:K$62,"ab")))</f>
        <v/>
      </c>
      <c r="L71" s="231"/>
      <c r="M71" s="232" t="str">
        <f>IF(L$63="","",(COUNTIF(M$8:M$62,"ab")))</f>
        <v/>
      </c>
      <c r="N71" s="231"/>
      <c r="O71" s="232" t="str">
        <f>IF(N$63="","",(COUNTIF(O$8:O$62,"ab")))</f>
        <v/>
      </c>
      <c r="P71" s="231"/>
      <c r="Q71" s="232" t="str">
        <f>IF(P$63="","",(COUNTIF(Q$8:Q$62,"ab")))</f>
        <v/>
      </c>
      <c r="R71" s="231"/>
      <c r="S71" s="231"/>
      <c r="T71" s="232" t="str">
        <f>IF(S$63="","",(COUNTIF(T$8:T$62,"ab")))</f>
        <v/>
      </c>
      <c r="U71" s="267"/>
      <c r="V71" s="268"/>
      <c r="W71" s="269" t="str">
        <f>IF(V$63="","",(COUNTIF(W$8:W$62,"ab")))</f>
        <v/>
      </c>
      <c r="X71" s="270"/>
      <c r="Y71" s="288"/>
      <c r="Z71" s="288"/>
      <c r="AA71" s="288"/>
      <c r="AB71" s="288"/>
      <c r="AC71" s="288"/>
      <c r="AD71" s="289" t="str">
        <f>IF((COUNT($D71:$W71)=0),"",SUM($D71:$W71))</f>
        <v/>
      </c>
      <c r="AE71" s="290"/>
      <c r="AF71" s="257"/>
      <c r="AG71" s="257"/>
      <c r="AH71" s="288"/>
    </row>
    <row r="72" spans="1:66" s="167" customFormat="1" ht="12" customHeight="1">
      <c r="A72" s="361" t="s">
        <v>33</v>
      </c>
      <c r="B72" s="362"/>
      <c r="C72" s="362"/>
      <c r="D72" s="233"/>
      <c r="E72" s="234" t="str">
        <f>IF(D$63="","",(SUM(E$66:E$71)))</f>
        <v/>
      </c>
      <c r="F72" s="233"/>
      <c r="G72" s="234" t="str">
        <f>IF(F$63="","",(SUM(G$66:G$71)))</f>
        <v/>
      </c>
      <c r="H72" s="233"/>
      <c r="I72" s="234" t="str">
        <f>IF(H$63="","",(SUM(I$66:I$71)))</f>
        <v/>
      </c>
      <c r="J72" s="233"/>
      <c r="K72" s="234" t="str">
        <f>IF(J$63="","",(SUM(K$66:K$71)))</f>
        <v/>
      </c>
      <c r="L72" s="233"/>
      <c r="M72" s="234" t="str">
        <f>IF(L$63="","",(SUM(M$66:M$71)))</f>
        <v/>
      </c>
      <c r="N72" s="233"/>
      <c r="O72" s="234" t="str">
        <f>IF(N$63="","",(SUM(O$66:O$71)))</f>
        <v/>
      </c>
      <c r="P72" s="233"/>
      <c r="Q72" s="234" t="str">
        <f>IF(P$63="","",(SUM(Q$66:Q$71)))</f>
        <v/>
      </c>
      <c r="R72" s="233"/>
      <c r="S72" s="233"/>
      <c r="T72" s="234" t="str">
        <f>IF(S$63="","",(SUM(T$66:T$71)))</f>
        <v/>
      </c>
      <c r="U72" s="271"/>
      <c r="V72" s="272"/>
      <c r="W72" s="273" t="str">
        <f>IF(V$63="","",(SUM(W$66:W$71)))</f>
        <v/>
      </c>
      <c r="X72" s="274"/>
      <c r="Y72" s="274"/>
      <c r="Z72" s="288"/>
      <c r="AA72" s="288"/>
      <c r="AB72" s="288"/>
      <c r="AC72" s="288"/>
      <c r="AD72" s="290"/>
      <c r="AE72" s="290"/>
      <c r="AF72" s="257"/>
      <c r="AG72" s="257"/>
      <c r="AH72" s="288"/>
    </row>
    <row r="73" spans="1:66" s="167" customFormat="1" ht="9.75" customHeight="1">
      <c r="A73" s="221"/>
      <c r="B73" s="221"/>
      <c r="C73" s="221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89"/>
      <c r="AE73" s="289"/>
      <c r="AF73" s="291"/>
      <c r="AG73" s="291"/>
      <c r="AH73" s="235"/>
    </row>
    <row r="74" spans="1:66" s="167" customFormat="1" ht="15" customHeight="1">
      <c r="A74" s="221"/>
      <c r="B74" s="221"/>
      <c r="C74" s="236" t="s">
        <v>48</v>
      </c>
      <c r="D74" s="237" t="str">
        <f>IF(D$63="","",(COUNTIFS(D$8:D$62,"&lt;=39",D$8:D$62,"&gt;=30")))</f>
        <v/>
      </c>
      <c r="E74" s="238"/>
      <c r="F74" s="237" t="str">
        <f>IF(F$63="","",(COUNTIFS(F$8:F$62,"&lt;=39",F$8:F$62,"&gt;=30")))</f>
        <v/>
      </c>
      <c r="G74" s="238"/>
      <c r="H74" s="237" t="str">
        <f>IF(H$63="","",(COUNTIFS(H$8:H$62,"&lt;=39",H$8:H$62,"&gt;=30")))</f>
        <v/>
      </c>
      <c r="I74" s="238"/>
      <c r="J74" s="237" t="str">
        <f>IF(J$63="","",(COUNTIFS(J$8:J$62,"&lt;=39",J$8:J$62,"&gt;=30")))</f>
        <v/>
      </c>
      <c r="K74" s="238"/>
      <c r="L74" s="237" t="str">
        <f>IF(L$63="","",(COUNTIFS(L$8:L$62,"&lt;=39",L$8:L$62,"&gt;=30")))</f>
        <v/>
      </c>
      <c r="M74" s="238"/>
      <c r="N74" s="237" t="str">
        <f>IF(N$63="","",(COUNTIFS(N$8:N$62,"&lt;=39",N$8:N$62,"&gt;=30")))</f>
        <v/>
      </c>
      <c r="O74" s="238"/>
      <c r="P74" s="237" t="str">
        <f>IF(P$63="","",(COUNTIFS(P$8:P$62,"&lt;=39",P$8:P$62,"&gt;=30")))</f>
        <v/>
      </c>
      <c r="Q74" s="238"/>
      <c r="R74" s="238"/>
      <c r="S74" s="237" t="str">
        <f>IF(S$63="","",(COUNTIFS(S$8:S$62,"&lt;=39",S$8:S$62,"&gt;=30")))</f>
        <v/>
      </c>
      <c r="T74" s="238"/>
      <c r="U74" s="238"/>
      <c r="V74" s="275" t="str">
        <f>IF(V$63="","",(COUNTIFS(V$8:V$62,"&lt;=39",V$8:V$62,"&gt;=30")))</f>
        <v/>
      </c>
      <c r="W74" s="276"/>
      <c r="X74" s="277"/>
      <c r="Y74" s="235"/>
      <c r="Z74" s="363" t="s">
        <v>49</v>
      </c>
      <c r="AA74" s="364"/>
      <c r="AB74" s="364"/>
      <c r="AC74" s="364"/>
      <c r="AD74" s="365"/>
      <c r="AE74" s="366" t="s">
        <v>50</v>
      </c>
      <c r="AF74" s="367"/>
      <c r="AG74" s="367"/>
      <c r="AH74" s="368"/>
    </row>
    <row r="75" spans="1:66" s="167" customFormat="1" ht="13.2">
      <c r="A75" s="221"/>
      <c r="B75" s="221"/>
      <c r="C75" s="239" t="s">
        <v>51</v>
      </c>
      <c r="D75" s="240" t="str">
        <f>IF(D$63="","",(COUNTIFS(D$8:D$62,"&lt;=29",D$8:D$62,"&gt;=20")))</f>
        <v/>
      </c>
      <c r="E75" s="229"/>
      <c r="F75" s="240" t="str">
        <f>IF(F$63="","",(COUNTIFS(F$8:F$62,"&lt;=29",F$8:F$62,"&gt;=20")))</f>
        <v/>
      </c>
      <c r="G75" s="229"/>
      <c r="H75" s="240" t="str">
        <f>IF(H$63="","",(COUNTIFS(H$8:H$62,"&lt;=29",H$8:H$62,"&gt;=20")))</f>
        <v/>
      </c>
      <c r="I75" s="229"/>
      <c r="J75" s="240" t="str">
        <f>IF(J$63="","",(COUNTIFS(J$8:J$62,"&lt;=29",J$8:J$62,"&gt;=20")))</f>
        <v/>
      </c>
      <c r="K75" s="229"/>
      <c r="L75" s="240" t="str">
        <f>IF(L$63="","",(COUNTIFS(L$8:L$62,"&lt;=29",L$8:L$62,"&gt;=20")))</f>
        <v/>
      </c>
      <c r="M75" s="229"/>
      <c r="N75" s="240" t="str">
        <f>IF(N$63="","",(COUNTIFS(N$8:N$62,"&lt;=29",N$8:N$62,"&gt;=20")))</f>
        <v/>
      </c>
      <c r="O75" s="229"/>
      <c r="P75" s="240" t="str">
        <f>IF(P$63="","",(COUNTIFS(P$8:P$62,"&lt;=29",P$8:P$62,"&gt;=20")))</f>
        <v/>
      </c>
      <c r="Q75" s="229"/>
      <c r="R75" s="229"/>
      <c r="S75" s="240" t="str">
        <f>IF(S$63="","",(COUNTIFS(S$8:S$62,"&lt;=29",S$8:S$62,"&gt;=20")))</f>
        <v/>
      </c>
      <c r="T75" s="229"/>
      <c r="U75" s="229"/>
      <c r="V75" s="278" t="str">
        <f>IF(V$63="","",(COUNTIFS(V$8:V$62,"&lt;=29",V$8:V$62,"&gt;=20")))</f>
        <v/>
      </c>
      <c r="W75" s="279"/>
      <c r="X75" s="270"/>
      <c r="Y75" s="235"/>
      <c r="Z75" s="363" t="s">
        <v>20</v>
      </c>
      <c r="AA75" s="364"/>
      <c r="AB75" s="364"/>
      <c r="AC75" s="364"/>
      <c r="AD75" s="364"/>
      <c r="AE75" s="364"/>
      <c r="AF75" s="364"/>
      <c r="AG75" s="364"/>
      <c r="AH75" s="365"/>
    </row>
    <row r="76" spans="1:66" s="167" customFormat="1" ht="13.2">
      <c r="A76" s="221"/>
      <c r="B76" s="221"/>
      <c r="C76" s="241" t="s">
        <v>52</v>
      </c>
      <c r="D76" s="240" t="str">
        <f>IF(D$63="","",(COUNTIFS(D$8:D$62,"&gt;=10",D$8:D$62,"&lt;=19")))</f>
        <v/>
      </c>
      <c r="E76" s="229"/>
      <c r="F76" s="240" t="str">
        <f>IF(F$63="","",(COUNTIFS(F$8:F$62,"&gt;=10",F$8:F$62,"&lt;=19")))</f>
        <v/>
      </c>
      <c r="G76" s="229"/>
      <c r="H76" s="240" t="str">
        <f>IF(H$63="","",(COUNTIFS(H$8:H$62,"&gt;=10",H$8:H$62,"&lt;=19")))</f>
        <v/>
      </c>
      <c r="I76" s="229"/>
      <c r="J76" s="240" t="str">
        <f>IF(J$63="","",(COUNTIFS(J$8:J$62,"&gt;=10",J$8:J$62,"&lt;=19")))</f>
        <v/>
      </c>
      <c r="K76" s="229"/>
      <c r="L76" s="240" t="str">
        <f>IF(L$63="","",(COUNTIFS(L$8:L$62,"&gt;=10",L$8:L$62,"&lt;=19")))</f>
        <v/>
      </c>
      <c r="M76" s="229"/>
      <c r="N76" s="240" t="str">
        <f>IF(N$63="","",(COUNTIFS(N$8:N$62,"&gt;=10",N$8:N$62,"&lt;=19")))</f>
        <v/>
      </c>
      <c r="O76" s="229"/>
      <c r="P76" s="240" t="str">
        <f>IF(P$63="","",(COUNTIFS(P$8:P$62,"&gt;=10",P$8:P$62,"&lt;=19")))</f>
        <v/>
      </c>
      <c r="Q76" s="229"/>
      <c r="R76" s="229"/>
      <c r="S76" s="240" t="str">
        <f>IF(S$63="","",(COUNTIFS(S$8:S$62,"&gt;=10",S$8:S$62,"&lt;=19")))</f>
        <v/>
      </c>
      <c r="T76" s="229"/>
      <c r="U76" s="229"/>
      <c r="V76" s="278" t="str">
        <f>IF(V$63="","",(COUNTIFS(V$8:V$62,"&gt;=10",V$8:V$62,"&lt;=19")))</f>
        <v/>
      </c>
      <c r="W76" s="279"/>
      <c r="X76" s="270"/>
      <c r="Z76" s="292" t="s">
        <v>53</v>
      </c>
      <c r="AA76" s="369" t="s">
        <v>54</v>
      </c>
      <c r="AB76" s="370"/>
      <c r="AC76" s="370"/>
      <c r="AD76" s="370"/>
      <c r="AE76" s="370"/>
      <c r="AF76" s="370"/>
      <c r="AG76" s="370"/>
      <c r="AH76" s="371"/>
    </row>
    <row r="77" spans="1:66" s="167" customFormat="1" ht="13.2">
      <c r="A77" s="221"/>
      <c r="B77" s="221"/>
      <c r="C77" s="242" t="s">
        <v>55</v>
      </c>
      <c r="D77" s="243" t="str">
        <f>IF(D$63="","",(COUNTIFS(D$8:D$62,"&gt;=0",D$8:D$62,"&lt;=9")))</f>
        <v/>
      </c>
      <c r="E77" s="244"/>
      <c r="F77" s="243" t="str">
        <f>IF(F$63="","",(COUNTIFS(F$8:F$62,"&gt;=0",F$8:F$62,"&lt;=9")))</f>
        <v/>
      </c>
      <c r="G77" s="244"/>
      <c r="H77" s="243" t="str">
        <f>IF(H$63="","",(COUNTIFS(H$8:H$62,"&gt;=0",H$8:H$62,"&lt;=9")))</f>
        <v/>
      </c>
      <c r="I77" s="244"/>
      <c r="J77" s="243" t="str">
        <f>IF(J$63="","",(COUNTIFS(J$8:J$62,"&gt;=0",J$8:J$62,"&lt;=9")))</f>
        <v/>
      </c>
      <c r="K77" s="244"/>
      <c r="L77" s="243" t="str">
        <f>IF(L$63="","",(COUNTIFS(L$8:L$62,"&gt;=0",L$8:L$62,"&lt;=9")))</f>
        <v/>
      </c>
      <c r="M77" s="244"/>
      <c r="N77" s="243" t="str">
        <f>IF(N$63="","",(COUNTIFS(N$8:N$62,"&gt;=0",N$8:N$62,"&lt;=9")))</f>
        <v/>
      </c>
      <c r="O77" s="244"/>
      <c r="P77" s="243" t="str">
        <f>IF(P$63="","",(COUNTIFS(P$8:P$62,"&gt;=0",P$8:P$62,"&lt;=9")))</f>
        <v/>
      </c>
      <c r="Q77" s="244"/>
      <c r="R77" s="244"/>
      <c r="S77" s="243" t="str">
        <f>IF(S$63="","",(COUNTIFS(S$8:S$62,"&gt;=0",S$8:S$62,"&lt;=9")))</f>
        <v/>
      </c>
      <c r="T77" s="244"/>
      <c r="U77" s="244"/>
      <c r="V77" s="280" t="str">
        <f>IF(V$63="","",(COUNTIFS(V$8:V$62,"&gt;=0",V$8:V$62,"&lt;=9")))</f>
        <v/>
      </c>
      <c r="W77" s="281"/>
      <c r="X77" s="282"/>
      <c r="Y77" s="235"/>
      <c r="Z77" s="293" t="s">
        <v>56</v>
      </c>
      <c r="AA77" s="372" t="s">
        <v>57</v>
      </c>
      <c r="AB77" s="373"/>
      <c r="AC77" s="373"/>
      <c r="AD77" s="373"/>
      <c r="AE77" s="373"/>
      <c r="AF77" s="373"/>
      <c r="AG77" s="373"/>
      <c r="AH77" s="374"/>
    </row>
    <row r="78" spans="1:66" ht="13.5" customHeight="1">
      <c r="A78" s="70"/>
      <c r="B78" s="70"/>
      <c r="C78" s="245"/>
      <c r="D78" s="70"/>
      <c r="E78" s="246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246"/>
      <c r="Z78" s="294" t="s">
        <v>58</v>
      </c>
      <c r="AA78" s="372" t="s">
        <v>59</v>
      </c>
      <c r="AB78" s="373"/>
      <c r="AC78" s="373"/>
      <c r="AD78" s="373"/>
      <c r="AE78" s="373"/>
      <c r="AF78" s="373"/>
      <c r="AG78" s="373"/>
      <c r="AH78" s="374"/>
    </row>
    <row r="79" spans="1:66" s="167" customFormat="1" ht="14.25" customHeight="1">
      <c r="A79" s="221"/>
      <c r="B79" s="247" t="s">
        <v>27</v>
      </c>
      <c r="C79" s="375" t="s">
        <v>60</v>
      </c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76"/>
      <c r="W79" s="377"/>
      <c r="X79" s="221"/>
      <c r="Y79" s="235"/>
      <c r="Z79" s="295" t="s">
        <v>61</v>
      </c>
      <c r="AA79" s="372" t="s">
        <v>62</v>
      </c>
      <c r="AB79" s="373"/>
      <c r="AC79" s="373"/>
      <c r="AD79" s="373"/>
      <c r="AE79" s="373"/>
      <c r="AF79" s="373"/>
      <c r="AG79" s="373"/>
      <c r="AH79" s="374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/>
      <c r="AX79" s="221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  <c r="BM79" s="221"/>
      <c r="BN79" s="221"/>
    </row>
    <row r="80" spans="1:66" s="167" customFormat="1" ht="12" customHeight="1">
      <c r="A80" s="221"/>
      <c r="B80" s="378" t="s">
        <v>15</v>
      </c>
      <c r="C80" s="379"/>
      <c r="D80" s="380" t="s">
        <v>16</v>
      </c>
      <c r="E80" s="381"/>
      <c r="F80" s="381"/>
      <c r="G80" s="381"/>
      <c r="H80" s="381"/>
      <c r="I80" s="381"/>
      <c r="J80" s="381"/>
      <c r="K80" s="381"/>
      <c r="L80" s="381"/>
      <c r="M80" s="382"/>
      <c r="N80" s="380" t="s">
        <v>17</v>
      </c>
      <c r="O80" s="381"/>
      <c r="P80" s="381"/>
      <c r="Q80" s="381"/>
      <c r="R80" s="381"/>
      <c r="S80" s="381"/>
      <c r="T80" s="381"/>
      <c r="U80" s="381"/>
      <c r="V80" s="381"/>
      <c r="W80" s="382"/>
      <c r="X80" s="221"/>
      <c r="Y80" s="235"/>
      <c r="Z80" s="296" t="s">
        <v>63</v>
      </c>
      <c r="AA80" s="372" t="s">
        <v>64</v>
      </c>
      <c r="AB80" s="373"/>
      <c r="AC80" s="373"/>
      <c r="AD80" s="373"/>
      <c r="AE80" s="373"/>
      <c r="AF80" s="373"/>
      <c r="AG80" s="373"/>
      <c r="AH80" s="374"/>
      <c r="AJ80" s="221"/>
      <c r="AK80" s="221"/>
      <c r="AL80" s="221"/>
      <c r="AM80" s="221"/>
      <c r="AN80" s="221"/>
      <c r="AO80" s="221"/>
      <c r="AP80" s="221"/>
      <c r="AQ80" s="221"/>
      <c r="AR80" s="221"/>
      <c r="AS80" s="221"/>
      <c r="AT80" s="221"/>
      <c r="AU80" s="221"/>
      <c r="AV80" s="221"/>
      <c r="AW80" s="221"/>
      <c r="AX80" s="221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</row>
    <row r="81" spans="1:66" s="167" customFormat="1" ht="12" customHeight="1">
      <c r="A81" s="221"/>
      <c r="B81" s="248" t="s">
        <v>65</v>
      </c>
      <c r="C81" s="249" t="s">
        <v>66</v>
      </c>
      <c r="D81" s="383" t="s">
        <v>67</v>
      </c>
      <c r="E81" s="384"/>
      <c r="F81" s="385" t="s">
        <v>68</v>
      </c>
      <c r="G81" s="386"/>
      <c r="H81" s="386"/>
      <c r="I81" s="386"/>
      <c r="J81" s="386"/>
      <c r="K81" s="386"/>
      <c r="L81" s="386"/>
      <c r="M81" s="387"/>
      <c r="N81" s="383" t="s">
        <v>69</v>
      </c>
      <c r="O81" s="384"/>
      <c r="P81" s="386" t="s">
        <v>70</v>
      </c>
      <c r="Q81" s="386"/>
      <c r="R81" s="386"/>
      <c r="S81" s="386"/>
      <c r="T81" s="386"/>
      <c r="U81" s="386"/>
      <c r="V81" s="386"/>
      <c r="W81" s="387"/>
      <c r="X81" s="221"/>
      <c r="Y81" s="235"/>
      <c r="Z81" s="297" t="s">
        <v>71</v>
      </c>
      <c r="AA81" s="372" t="s">
        <v>72</v>
      </c>
      <c r="AB81" s="373"/>
      <c r="AC81" s="373"/>
      <c r="AD81" s="373"/>
      <c r="AE81" s="373"/>
      <c r="AF81" s="373"/>
      <c r="AG81" s="373"/>
      <c r="AH81" s="374"/>
      <c r="AI81" s="221"/>
      <c r="AJ81" s="298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221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</row>
    <row r="82" spans="1:66" s="167" customFormat="1" ht="12" customHeight="1">
      <c r="A82" s="221"/>
      <c r="B82" s="250" t="s">
        <v>73</v>
      </c>
      <c r="C82" s="251" t="s">
        <v>74</v>
      </c>
      <c r="D82" s="388" t="s">
        <v>75</v>
      </c>
      <c r="E82" s="389"/>
      <c r="F82" s="390" t="s">
        <v>76</v>
      </c>
      <c r="G82" s="391"/>
      <c r="H82" s="391"/>
      <c r="I82" s="391"/>
      <c r="J82" s="391"/>
      <c r="K82" s="391"/>
      <c r="L82" s="391"/>
      <c r="M82" s="392"/>
      <c r="N82" s="388" t="s">
        <v>77</v>
      </c>
      <c r="O82" s="389"/>
      <c r="P82" s="391" t="s">
        <v>78</v>
      </c>
      <c r="Q82" s="391"/>
      <c r="R82" s="391"/>
      <c r="S82" s="391"/>
      <c r="T82" s="391"/>
      <c r="U82" s="391"/>
      <c r="V82" s="391"/>
      <c r="W82" s="392"/>
      <c r="X82" s="221"/>
      <c r="Y82" s="416" t="s">
        <v>79</v>
      </c>
      <c r="Z82" s="416"/>
      <c r="AA82" s="416"/>
      <c r="AB82" s="417" t="s">
        <v>80</v>
      </c>
      <c r="AC82" s="417"/>
      <c r="AD82" s="417"/>
      <c r="AE82" s="417"/>
      <c r="AF82" s="417"/>
      <c r="AG82" s="417"/>
      <c r="AH82" s="417"/>
      <c r="AI82" s="221"/>
      <c r="AJ82" s="298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</row>
    <row r="83" spans="1:66" s="167" customFormat="1" ht="12" customHeight="1">
      <c r="A83" s="221"/>
      <c r="B83" s="250" t="s">
        <v>81</v>
      </c>
      <c r="C83" s="251" t="s">
        <v>82</v>
      </c>
      <c r="D83" s="388" t="s">
        <v>83</v>
      </c>
      <c r="E83" s="389"/>
      <c r="F83" s="390" t="s">
        <v>84</v>
      </c>
      <c r="G83" s="391"/>
      <c r="H83" s="391"/>
      <c r="I83" s="391"/>
      <c r="J83" s="391"/>
      <c r="K83" s="391"/>
      <c r="L83" s="391"/>
      <c r="M83" s="392"/>
      <c r="N83" s="388" t="s">
        <v>85</v>
      </c>
      <c r="O83" s="389"/>
      <c r="P83" s="391" t="s">
        <v>86</v>
      </c>
      <c r="Q83" s="391"/>
      <c r="R83" s="391"/>
      <c r="S83" s="391"/>
      <c r="T83" s="391"/>
      <c r="U83" s="391"/>
      <c r="V83" s="391"/>
      <c r="W83" s="392"/>
      <c r="X83" s="221"/>
      <c r="Y83" s="416"/>
      <c r="Z83" s="416"/>
      <c r="AA83" s="416"/>
      <c r="AB83" s="416"/>
      <c r="AC83" s="416"/>
      <c r="AD83" s="416"/>
      <c r="AE83" s="416"/>
      <c r="AF83" s="416"/>
      <c r="AG83" s="416"/>
      <c r="AH83" s="416"/>
      <c r="AI83" s="221"/>
      <c r="AJ83" s="298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</row>
    <row r="84" spans="1:66" s="167" customFormat="1" ht="12" customHeight="1">
      <c r="A84" s="221"/>
      <c r="B84" s="250" t="s">
        <v>87</v>
      </c>
      <c r="C84" s="251" t="s">
        <v>88</v>
      </c>
      <c r="D84" s="388" t="s">
        <v>89</v>
      </c>
      <c r="E84" s="389"/>
      <c r="F84" s="390" t="s">
        <v>90</v>
      </c>
      <c r="G84" s="391"/>
      <c r="H84" s="391"/>
      <c r="I84" s="391"/>
      <c r="J84" s="391"/>
      <c r="K84" s="391"/>
      <c r="L84" s="391"/>
      <c r="M84" s="392"/>
      <c r="N84" s="388" t="s">
        <v>91</v>
      </c>
      <c r="O84" s="389"/>
      <c r="P84" s="391" t="s">
        <v>92</v>
      </c>
      <c r="Q84" s="391"/>
      <c r="R84" s="391"/>
      <c r="S84" s="391"/>
      <c r="T84" s="391"/>
      <c r="U84" s="391"/>
      <c r="V84" s="391"/>
      <c r="W84" s="392"/>
      <c r="X84" s="221"/>
      <c r="Y84" s="415" t="s">
        <v>93</v>
      </c>
      <c r="Z84" s="415"/>
      <c r="AA84" s="415"/>
      <c r="AB84" s="415"/>
      <c r="AC84" s="416" t="s">
        <v>80</v>
      </c>
      <c r="AD84" s="416"/>
      <c r="AE84" s="416"/>
      <c r="AF84" s="416"/>
      <c r="AG84" s="416"/>
      <c r="AH84" s="416"/>
      <c r="AI84" s="221"/>
      <c r="AJ84" s="298"/>
      <c r="AK84" s="221"/>
      <c r="AL84" s="221"/>
      <c r="AM84" s="221"/>
      <c r="AN84" s="221"/>
      <c r="AO84" s="221"/>
      <c r="AP84" s="221"/>
      <c r="AQ84" s="221"/>
      <c r="AR84" s="221"/>
      <c r="AS84" s="221"/>
      <c r="AT84" s="221"/>
      <c r="AU84" s="221"/>
      <c r="AV84" s="221"/>
      <c r="AW84" s="221"/>
      <c r="AX84" s="221"/>
      <c r="AY84" s="221"/>
      <c r="AZ84" s="221"/>
      <c r="BA84" s="221"/>
      <c r="BB84" s="221"/>
      <c r="BC84" s="221"/>
      <c r="BD84" s="221"/>
      <c r="BE84" s="221"/>
      <c r="BF84" s="221"/>
      <c r="BG84" s="221"/>
      <c r="BH84" s="221"/>
      <c r="BI84" s="221"/>
      <c r="BJ84" s="221"/>
      <c r="BK84" s="221"/>
      <c r="BL84" s="221"/>
      <c r="BM84" s="221"/>
      <c r="BN84" s="221"/>
    </row>
    <row r="85" spans="1:66" s="167" customFormat="1" ht="12" customHeight="1">
      <c r="A85" s="221"/>
      <c r="B85" s="250" t="s">
        <v>94</v>
      </c>
      <c r="C85" s="252"/>
      <c r="D85" s="388" t="s">
        <v>95</v>
      </c>
      <c r="E85" s="389"/>
      <c r="F85" s="390" t="s">
        <v>96</v>
      </c>
      <c r="G85" s="391"/>
      <c r="H85" s="391"/>
      <c r="I85" s="391"/>
      <c r="J85" s="391"/>
      <c r="K85" s="391"/>
      <c r="L85" s="391"/>
      <c r="M85" s="392"/>
      <c r="N85" s="388" t="s">
        <v>97</v>
      </c>
      <c r="O85" s="389"/>
      <c r="P85" s="391" t="s">
        <v>98</v>
      </c>
      <c r="Q85" s="391"/>
      <c r="R85" s="391"/>
      <c r="S85" s="391"/>
      <c r="T85" s="391"/>
      <c r="U85" s="391"/>
      <c r="V85" s="391"/>
      <c r="W85" s="392"/>
      <c r="X85" s="221"/>
      <c r="Y85" s="415"/>
      <c r="Z85" s="415"/>
      <c r="AA85" s="415"/>
      <c r="AB85" s="415"/>
      <c r="AC85" s="416"/>
      <c r="AD85" s="416"/>
      <c r="AE85" s="416"/>
      <c r="AF85" s="416"/>
      <c r="AG85" s="416"/>
      <c r="AH85" s="416"/>
      <c r="AI85" s="221"/>
    </row>
    <row r="86" spans="1:66" s="167" customFormat="1" ht="12" customHeight="1">
      <c r="A86" s="221"/>
      <c r="B86" s="250" t="s">
        <v>99</v>
      </c>
      <c r="C86" s="253"/>
      <c r="D86" s="388" t="s">
        <v>100</v>
      </c>
      <c r="E86" s="389"/>
      <c r="F86" s="390" t="s">
        <v>101</v>
      </c>
      <c r="G86" s="391"/>
      <c r="H86" s="391"/>
      <c r="I86" s="391"/>
      <c r="J86" s="391"/>
      <c r="K86" s="391"/>
      <c r="L86" s="391"/>
      <c r="M86" s="392"/>
      <c r="N86" s="388" t="s">
        <v>102</v>
      </c>
      <c r="O86" s="389"/>
      <c r="P86" s="391" t="s">
        <v>103</v>
      </c>
      <c r="Q86" s="391"/>
      <c r="R86" s="391"/>
      <c r="S86" s="391"/>
      <c r="T86" s="391"/>
      <c r="U86" s="391"/>
      <c r="V86" s="391"/>
      <c r="W86" s="392"/>
      <c r="X86" s="221"/>
      <c r="Y86" s="413" t="s">
        <v>104</v>
      </c>
      <c r="Z86" s="413"/>
      <c r="AA86" s="413"/>
      <c r="AB86" s="413"/>
      <c r="AC86" s="413"/>
      <c r="AD86" s="414" t="s">
        <v>80</v>
      </c>
      <c r="AE86" s="414"/>
      <c r="AF86" s="414"/>
      <c r="AG86" s="414"/>
      <c r="AH86" s="414"/>
    </row>
    <row r="87" spans="1:66" s="167" customFormat="1" ht="12" customHeight="1">
      <c r="A87" s="221"/>
      <c r="B87" s="250" t="s">
        <v>105</v>
      </c>
      <c r="C87" s="253"/>
      <c r="D87" s="388" t="s">
        <v>106</v>
      </c>
      <c r="E87" s="389"/>
      <c r="F87" s="393"/>
      <c r="G87" s="394"/>
      <c r="H87" s="394"/>
      <c r="I87" s="394"/>
      <c r="J87" s="394"/>
      <c r="K87" s="394"/>
      <c r="L87" s="394"/>
      <c r="M87" s="395"/>
      <c r="N87" s="388" t="s">
        <v>107</v>
      </c>
      <c r="O87" s="389"/>
      <c r="P87" s="391" t="s">
        <v>108</v>
      </c>
      <c r="Q87" s="391"/>
      <c r="R87" s="391"/>
      <c r="S87" s="391"/>
      <c r="T87" s="391"/>
      <c r="U87" s="391"/>
      <c r="V87" s="391"/>
      <c r="W87" s="392"/>
      <c r="X87" s="221"/>
      <c r="Y87" s="413"/>
      <c r="Z87" s="413"/>
      <c r="AA87" s="413"/>
      <c r="AB87" s="413"/>
      <c r="AC87" s="413"/>
      <c r="AD87" s="414"/>
      <c r="AE87" s="414"/>
      <c r="AF87" s="414"/>
      <c r="AG87" s="414"/>
      <c r="AH87" s="414"/>
      <c r="AI87" s="299"/>
      <c r="AJ87" s="300"/>
      <c r="AK87" s="301"/>
    </row>
    <row r="88" spans="1:66" s="167" customFormat="1" ht="12" customHeight="1">
      <c r="A88" s="221"/>
      <c r="B88" s="254" t="s">
        <v>109</v>
      </c>
      <c r="C88" s="255"/>
      <c r="D88" s="396" t="s">
        <v>110</v>
      </c>
      <c r="E88" s="397"/>
      <c r="F88" s="398"/>
      <c r="G88" s="399"/>
      <c r="H88" s="399"/>
      <c r="I88" s="399"/>
      <c r="J88" s="399"/>
      <c r="K88" s="399"/>
      <c r="L88" s="399"/>
      <c r="M88" s="400"/>
      <c r="N88" s="396" t="s">
        <v>111</v>
      </c>
      <c r="O88" s="397"/>
      <c r="P88" s="399"/>
      <c r="Q88" s="399"/>
      <c r="R88" s="399"/>
      <c r="S88" s="399"/>
      <c r="T88" s="399"/>
      <c r="U88" s="399"/>
      <c r="V88" s="399"/>
      <c r="W88" s="400"/>
      <c r="X88" s="221"/>
      <c r="Y88" s="413"/>
      <c r="Z88" s="413"/>
      <c r="AA88" s="413"/>
      <c r="AB88" s="413"/>
      <c r="AC88" s="413"/>
      <c r="AD88" s="414"/>
      <c r="AE88" s="414"/>
      <c r="AF88" s="414"/>
      <c r="AG88" s="414"/>
      <c r="AH88" s="414"/>
      <c r="AI88" s="299"/>
      <c r="AJ88" s="300"/>
      <c r="AK88" s="301"/>
    </row>
    <row r="89" spans="1:66">
      <c r="A89" s="401" t="s">
        <v>112</v>
      </c>
      <c r="B89" s="401"/>
      <c r="C89" s="401"/>
      <c r="D89" s="401"/>
      <c r="E89" s="401"/>
      <c r="F89" s="401"/>
      <c r="G89" s="401"/>
      <c r="H89" s="401"/>
      <c r="I89" s="401"/>
      <c r="J89" s="401"/>
      <c r="K89" s="401"/>
      <c r="L89" s="401"/>
      <c r="M89" s="401"/>
      <c r="N89" s="401"/>
      <c r="O89" s="401"/>
      <c r="P89" s="401"/>
      <c r="Q89" s="401"/>
      <c r="R89" s="401"/>
      <c r="S89" s="401"/>
      <c r="T89" s="401"/>
      <c r="U89" s="401"/>
      <c r="V89" s="401"/>
      <c r="W89" s="401"/>
      <c r="X89" s="401"/>
      <c r="Y89" s="401"/>
      <c r="Z89" s="401"/>
      <c r="AA89" s="401"/>
      <c r="AB89" s="401"/>
      <c r="AC89" s="401"/>
      <c r="AD89" s="401"/>
      <c r="AE89" s="401"/>
      <c r="AF89" s="401"/>
      <c r="AG89" s="401"/>
      <c r="AH89" s="401"/>
    </row>
  </sheetData>
  <sheetProtection algorithmName="SHA-512" hashValue="sxaDeRoDcUo8sxl3GopbCzpbdlgkeTZeX7/zegF1gEbaxQZKZ5DZmUYZeHDzDum97X2bsM2IrBF0iILmdFL5Qg==" saltValue="Aiqn9gmktz3yeUG4pAouNQ==" spinCount="100000" sheet="1" objects="1" scenarios="1"/>
  <mergeCells count="115">
    <mergeCell ref="A89:AH89"/>
    <mergeCell ref="A6:A7"/>
    <mergeCell ref="B6:B7"/>
    <mergeCell ref="AD6:AD7"/>
    <mergeCell ref="AE6:AE7"/>
    <mergeCell ref="AF6:AF7"/>
    <mergeCell ref="AG6:AG7"/>
    <mergeCell ref="AH6:AH7"/>
    <mergeCell ref="Y86:AC88"/>
    <mergeCell ref="AD86:AH88"/>
    <mergeCell ref="Y82:AA83"/>
    <mergeCell ref="AB82:AH83"/>
    <mergeCell ref="Y84:AB85"/>
    <mergeCell ref="AC84:AH85"/>
    <mergeCell ref="A66:B71"/>
    <mergeCell ref="D86:E86"/>
    <mergeCell ref="F86:M86"/>
    <mergeCell ref="N86:O86"/>
    <mergeCell ref="P86:W86"/>
    <mergeCell ref="D87:E87"/>
    <mergeCell ref="F87:M87"/>
    <mergeCell ref="N87:O87"/>
    <mergeCell ref="P87:W87"/>
    <mergeCell ref="D88:E88"/>
    <mergeCell ref="F88:M88"/>
    <mergeCell ref="N88:O88"/>
    <mergeCell ref="P88:W88"/>
    <mergeCell ref="D83:E83"/>
    <mergeCell ref="F83:M83"/>
    <mergeCell ref="N83:O83"/>
    <mergeCell ref="P83:W83"/>
    <mergeCell ref="D84:E84"/>
    <mergeCell ref="F84:M84"/>
    <mergeCell ref="N84:O84"/>
    <mergeCell ref="P84:W84"/>
    <mergeCell ref="D85:E85"/>
    <mergeCell ref="F85:M85"/>
    <mergeCell ref="N85:O85"/>
    <mergeCell ref="P85:W85"/>
    <mergeCell ref="D81:E81"/>
    <mergeCell ref="F81:M81"/>
    <mergeCell ref="N81:O81"/>
    <mergeCell ref="P81:W81"/>
    <mergeCell ref="AA81:AH81"/>
    <mergeCell ref="D82:E82"/>
    <mergeCell ref="F82:M82"/>
    <mergeCell ref="N82:O82"/>
    <mergeCell ref="P82:W82"/>
    <mergeCell ref="Z75:AH75"/>
    <mergeCell ref="AA76:AH76"/>
    <mergeCell ref="AA77:AH77"/>
    <mergeCell ref="AA78:AH78"/>
    <mergeCell ref="C79:W79"/>
    <mergeCell ref="AA79:AH79"/>
    <mergeCell ref="B80:C80"/>
    <mergeCell ref="D80:M80"/>
    <mergeCell ref="N80:W80"/>
    <mergeCell ref="AA80:AH80"/>
    <mergeCell ref="Y65:AC65"/>
    <mergeCell ref="AF65:AH65"/>
    <mergeCell ref="AF66:AH66"/>
    <mergeCell ref="AF67:AH67"/>
    <mergeCell ref="AF68:AH68"/>
    <mergeCell ref="AF69:AH69"/>
    <mergeCell ref="AF70:AH70"/>
    <mergeCell ref="A72:C72"/>
    <mergeCell ref="Z74:AD74"/>
    <mergeCell ref="AE74:AH74"/>
    <mergeCell ref="AF63:AH63"/>
    <mergeCell ref="A64:C64"/>
    <mergeCell ref="D64:E64"/>
    <mergeCell ref="F64:G64"/>
    <mergeCell ref="H64:I64"/>
    <mergeCell ref="J64:K64"/>
    <mergeCell ref="L64:M64"/>
    <mergeCell ref="N64:O64"/>
    <mergeCell ref="P64:Q64"/>
    <mergeCell ref="S64:T64"/>
    <mergeCell ref="V64:W64"/>
    <mergeCell ref="Y64:AC64"/>
    <mergeCell ref="AF64:AH64"/>
    <mergeCell ref="Y6:AC6"/>
    <mergeCell ref="A63:C63"/>
    <mergeCell ref="D63:E63"/>
    <mergeCell ref="F63:G63"/>
    <mergeCell ref="H63:I63"/>
    <mergeCell ref="J63:K63"/>
    <mergeCell ref="L63:M63"/>
    <mergeCell ref="N63:O63"/>
    <mergeCell ref="P63:Q63"/>
    <mergeCell ref="S63:T63"/>
    <mergeCell ref="V63:W63"/>
    <mergeCell ref="Y63:AC63"/>
    <mergeCell ref="D6:E6"/>
    <mergeCell ref="F6:G6"/>
    <mergeCell ref="H6:I6"/>
    <mergeCell ref="J6:K6"/>
    <mergeCell ref="L6:M6"/>
    <mergeCell ref="N6:O6"/>
    <mergeCell ref="P6:R6"/>
    <mergeCell ref="S6:U6"/>
    <mergeCell ref="V6:X6"/>
    <mergeCell ref="A3:AH3"/>
    <mergeCell ref="A4:C4"/>
    <mergeCell ref="D4:R4"/>
    <mergeCell ref="S4:V4"/>
    <mergeCell ref="W4:AB4"/>
    <mergeCell ref="AC4:AF4"/>
    <mergeCell ref="AG4:AH4"/>
    <mergeCell ref="A5:C5"/>
    <mergeCell ref="D5:I5"/>
    <mergeCell ref="J5:M5"/>
    <mergeCell ref="N5:R5"/>
    <mergeCell ref="S5:V5"/>
    <mergeCell ref="W5:AH5"/>
  </mergeCells>
  <conditionalFormatting sqref="B8:B62">
    <cfRule type="expression" dxfId="254" priority="1">
      <formula>$AE8="F"</formula>
    </cfRule>
    <cfRule type="expression" dxfId="253" priority="2">
      <formula>$AE8="R2"</formula>
    </cfRule>
    <cfRule type="expression" dxfId="252" priority="3">
      <formula>$AE8="R1"</formula>
    </cfRule>
    <cfRule type="expression" dxfId="251" priority="4">
      <formula>$AE8="Q2"</formula>
    </cfRule>
    <cfRule type="expression" dxfId="250" priority="5">
      <formula>$AE8="Q1"</formula>
    </cfRule>
    <cfRule type="expression" dxfId="249" priority="21">
      <formula>$AE$8="P"</formula>
    </cfRule>
  </conditionalFormatting>
  <conditionalFormatting sqref="D8:D62">
    <cfRule type="cellIs" dxfId="248" priority="64" operator="between">
      <formula>10</formula>
      <formula>19</formula>
    </cfRule>
    <cfRule type="cellIs" dxfId="247" priority="63" operator="between">
      <formula>20</formula>
      <formula>29</formula>
    </cfRule>
    <cfRule type="cellIs" dxfId="246" priority="62" operator="between">
      <formula>30</formula>
      <formula>39</formula>
    </cfRule>
    <cfRule type="cellIs" dxfId="245" priority="66" operator="between">
      <formula>0</formula>
      <formula>9</formula>
    </cfRule>
    <cfRule type="containsBlanks" dxfId="244" priority="65">
      <formula>LEN(TRIM(D8))=0</formula>
    </cfRule>
  </conditionalFormatting>
  <conditionalFormatting sqref="F8:F62">
    <cfRule type="cellIs" dxfId="243" priority="16" operator="between">
      <formula>30</formula>
      <formula>39</formula>
    </cfRule>
    <cfRule type="cellIs" dxfId="242" priority="17" operator="between">
      <formula>20</formula>
      <formula>29</formula>
    </cfRule>
    <cfRule type="cellIs" dxfId="241" priority="18" operator="between">
      <formula>10</formula>
      <formula>19</formula>
    </cfRule>
    <cfRule type="containsBlanks" dxfId="240" priority="19">
      <formula>LEN(TRIM(F8))=0</formula>
    </cfRule>
    <cfRule type="cellIs" dxfId="239" priority="20" operator="between">
      <formula>0</formula>
      <formula>9</formula>
    </cfRule>
  </conditionalFormatting>
  <conditionalFormatting sqref="H8:H62">
    <cfRule type="cellIs" dxfId="238" priority="13" operator="between">
      <formula>10</formula>
      <formula>19</formula>
    </cfRule>
    <cfRule type="cellIs" dxfId="237" priority="11" operator="between">
      <formula>30</formula>
      <formula>39</formula>
    </cfRule>
    <cfRule type="cellIs" dxfId="236" priority="12" operator="between">
      <formula>20</formula>
      <formula>29</formula>
    </cfRule>
    <cfRule type="containsBlanks" dxfId="235" priority="14">
      <formula>LEN(TRIM(H8))=0</formula>
    </cfRule>
    <cfRule type="cellIs" dxfId="234" priority="15" operator="between">
      <formula>0</formula>
      <formula>9</formula>
    </cfRule>
  </conditionalFormatting>
  <conditionalFormatting sqref="J8:J62">
    <cfRule type="cellIs" dxfId="233" priority="6" operator="between">
      <formula>30</formula>
      <formula>39</formula>
    </cfRule>
    <cfRule type="cellIs" dxfId="232" priority="8" operator="between">
      <formula>10</formula>
      <formula>19</formula>
    </cfRule>
    <cfRule type="containsBlanks" dxfId="231" priority="9">
      <formula>LEN(TRIM(J8))=0</formula>
    </cfRule>
    <cfRule type="cellIs" dxfId="230" priority="10" operator="between">
      <formula>0</formula>
      <formula>9</formula>
    </cfRule>
    <cfRule type="cellIs" dxfId="229" priority="7" operator="between">
      <formula>20</formula>
      <formula>29</formula>
    </cfRule>
  </conditionalFormatting>
  <conditionalFormatting sqref="L8:L62">
    <cfRule type="cellIs" dxfId="228" priority="42" operator="between">
      <formula>30</formula>
      <formula>39</formula>
    </cfRule>
    <cfRule type="cellIs" dxfId="227" priority="43" operator="between">
      <formula>20</formula>
      <formula>29</formula>
    </cfRule>
    <cfRule type="cellIs" dxfId="226" priority="44" operator="between">
      <formula>10</formula>
      <formula>19</formula>
    </cfRule>
    <cfRule type="cellIs" dxfId="225" priority="46" operator="between">
      <formula>0</formula>
      <formula>9</formula>
    </cfRule>
    <cfRule type="containsBlanks" dxfId="224" priority="45">
      <formula>LEN(TRIM(L8))=0</formula>
    </cfRule>
  </conditionalFormatting>
  <conditionalFormatting sqref="N8:N62">
    <cfRule type="cellIs" dxfId="223" priority="37" operator="between">
      <formula>30</formula>
      <formula>39</formula>
    </cfRule>
    <cfRule type="cellIs" dxfId="222" priority="38" operator="between">
      <formula>20</formula>
      <formula>29</formula>
    </cfRule>
    <cfRule type="containsBlanks" dxfId="221" priority="40">
      <formula>LEN(TRIM(N8))=0</formula>
    </cfRule>
    <cfRule type="cellIs" dxfId="220" priority="41" operator="between">
      <formula>0</formula>
      <formula>9</formula>
    </cfRule>
    <cfRule type="cellIs" dxfId="219" priority="39" operator="between">
      <formula>10</formula>
      <formula>19</formula>
    </cfRule>
  </conditionalFormatting>
  <conditionalFormatting sqref="P8:P62">
    <cfRule type="cellIs" dxfId="218" priority="33" operator="between">
      <formula>20</formula>
      <formula>29</formula>
    </cfRule>
    <cfRule type="cellIs" dxfId="217" priority="34" operator="between">
      <formula>10</formula>
      <formula>19</formula>
    </cfRule>
    <cfRule type="containsBlanks" dxfId="216" priority="35">
      <formula>LEN(TRIM(P8))=0</formula>
    </cfRule>
    <cfRule type="cellIs" dxfId="215" priority="36" operator="between">
      <formula>0</formula>
      <formula>9</formula>
    </cfRule>
    <cfRule type="cellIs" dxfId="214" priority="32" operator="between">
      <formula>30</formula>
      <formula>39</formula>
    </cfRule>
  </conditionalFormatting>
  <conditionalFormatting sqref="S8:S62">
    <cfRule type="cellIs" dxfId="213" priority="26" operator="between">
      <formula>0</formula>
      <formula>9</formula>
    </cfRule>
    <cfRule type="containsBlanks" dxfId="212" priority="25">
      <formula>LEN(TRIM(S8))=0</formula>
    </cfRule>
    <cfRule type="cellIs" dxfId="211" priority="24" operator="between">
      <formula>10</formula>
      <formula>19</formula>
    </cfRule>
    <cfRule type="cellIs" dxfId="210" priority="23" operator="between">
      <formula>20</formula>
      <formula>29</formula>
    </cfRule>
    <cfRule type="cellIs" dxfId="209" priority="22" operator="between">
      <formula>30</formula>
      <formula>39</formula>
    </cfRule>
  </conditionalFormatting>
  <conditionalFormatting sqref="V8:V62">
    <cfRule type="cellIs" dxfId="208" priority="27" operator="between">
      <formula>30</formula>
      <formula>39</formula>
    </cfRule>
    <cfRule type="cellIs" dxfId="207" priority="28" operator="between">
      <formula>20</formula>
      <formula>29</formula>
    </cfRule>
    <cfRule type="cellIs" dxfId="206" priority="29" operator="between">
      <formula>10</formula>
      <formula>19</formula>
    </cfRule>
    <cfRule type="containsBlanks" dxfId="205" priority="30">
      <formula>LEN(TRIM(V8))=0</formula>
    </cfRule>
    <cfRule type="cellIs" dxfId="204" priority="31" operator="between">
      <formula>0</formula>
      <formula>9</formula>
    </cfRule>
  </conditionalFormatting>
  <dataValidations count="9">
    <dataValidation type="custom" allowBlank="1" showInputMessage="1" showErrorMessage="1" sqref="AK6" xr:uid="{00000000-0002-0000-0500-000000000000}">
      <formula1>EXACT(AK6,LOWER(AK10))</formula1>
    </dataValidation>
    <dataValidation type="custom" allowBlank="1" showInputMessage="1" showErrorMessage="1" sqref="AI74" xr:uid="{00000000-0002-0000-0500-000001000000}">
      <formula1>OR(AND(AI74&gt;=0,AI74&lt;=100),AI74="ab")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8:D10 F8:F10 H8:H10 J8:J10 L8:L10 N8:N10 P8:P10 S8:S10 V8:V10" xr:uid="{00000000-0002-0000-0500-000002000000}">
      <formula1>OR(AND(D8:D62&gt;=0,D8:D62&lt;=100),D8:D62="ab")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11:D23 F11:F23 H11:H23 J11:J23 L11:L23 N11:N23 P11:P23 S11:S23 V11:V23" xr:uid="{00000000-0002-0000-0500-000003000000}">
      <formula1>OR(AND(D11:D66&gt;=0,D11:D66&lt;=100),D11:D66="ab")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24:D53 F24:F53 H24:H53 J24:J53 L24:L53 N24:N53 P24:P53 S24:S53 V24:V53" xr:uid="{00000000-0002-0000-0500-000004000000}">
      <formula1>OR(AND(D24:D83&gt;=0,D24:D83&lt;=100),D24:D83="ab")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54:D62 F54:F62 H54:H62 J54:J62 L54:L62 N54:N62 P54:P62 S54:S62 V54:V62" xr:uid="{00000000-0002-0000-0500-000005000000}">
      <formula1>OR(AND(D54:D114&gt;=0,D54:D114&lt;=100),D54:D114="ab")</formula1>
    </dataValidation>
    <dataValidation type="list" allowBlank="1" showInputMessage="1" showErrorMessage="1" sqref="R8:R62" xr:uid="{00000000-0002-0000-0500-000006000000}">
      <formula1>$B$81:$B$88</formula1>
    </dataValidation>
    <dataValidation type="list" allowBlank="1" showInputMessage="1" showErrorMessage="1" sqref="U8:U62" xr:uid="{00000000-0002-0000-0500-000007000000}">
      <formula1>$D$81:$D$88</formula1>
    </dataValidation>
    <dataValidation type="list" allowBlank="1" showInputMessage="1" showErrorMessage="1" sqref="X8:X62" xr:uid="{00000000-0002-0000-0500-000008000000}">
      <formula1>$N$81:$N$88</formula1>
    </dataValidation>
  </dataValidations>
  <pageMargins left="0.196850393700787" right="0.196850393700787" top="0.23622047244094499" bottom="0" header="0.31496062992126" footer="0.31496062992126"/>
  <pageSetup paperSize="8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N89"/>
  <sheetViews>
    <sheetView tabSelected="1" zoomScale="118" zoomScaleNormal="118" zoomScalePageLayoutView="86" workbookViewId="0">
      <selection activeCell="L53" sqref="L53"/>
    </sheetView>
  </sheetViews>
  <sheetFormatPr defaultColWidth="9.109375" defaultRowHeight="13.8"/>
  <cols>
    <col min="1" max="1" width="3.33203125" style="168" customWidth="1"/>
    <col min="2" max="2" width="5.88671875" style="168" customWidth="1"/>
    <col min="3" max="3" width="25.33203125" style="168" customWidth="1"/>
    <col min="4" max="4" width="3.6640625" style="168" customWidth="1"/>
    <col min="5" max="5" width="3" style="168" customWidth="1"/>
    <col min="6" max="6" width="3.6640625" style="168" customWidth="1"/>
    <col min="7" max="7" width="3" style="168" customWidth="1"/>
    <col min="8" max="8" width="3.6640625" style="168" customWidth="1"/>
    <col min="9" max="9" width="3" style="168" customWidth="1"/>
    <col min="10" max="10" width="3.6640625" style="168" customWidth="1"/>
    <col min="11" max="11" width="3" style="168" customWidth="1"/>
    <col min="12" max="12" width="3.6640625" style="168" customWidth="1"/>
    <col min="13" max="13" width="3" style="168" customWidth="1"/>
    <col min="14" max="14" width="3.6640625" style="168" customWidth="1"/>
    <col min="15" max="15" width="3" style="168" customWidth="1"/>
    <col min="16" max="16" width="3.6640625" style="168" customWidth="1"/>
    <col min="17" max="17" width="3" style="168" customWidth="1"/>
    <col min="18" max="18" width="3.33203125" style="168" customWidth="1"/>
    <col min="19" max="19" width="3.6640625" style="168" customWidth="1"/>
    <col min="20" max="20" width="3" style="168" customWidth="1"/>
    <col min="21" max="21" width="3.33203125" style="168" customWidth="1"/>
    <col min="22" max="22" width="3.6640625" style="168" customWidth="1"/>
    <col min="23" max="23" width="3" style="168" customWidth="1"/>
    <col min="24" max="24" width="3.33203125" style="168" customWidth="1"/>
    <col min="25" max="29" width="3.5546875" style="169" customWidth="1"/>
    <col min="30" max="30" width="3" style="170" customWidth="1"/>
    <col min="31" max="31" width="3.5546875" style="170" customWidth="1"/>
    <col min="32" max="32" width="4.88671875" style="171" customWidth="1"/>
    <col min="33" max="33" width="5.88671875" style="171" customWidth="1"/>
    <col min="34" max="34" width="3.88671875" style="169" customWidth="1"/>
    <col min="35" max="16384" width="9.109375" style="168"/>
  </cols>
  <sheetData>
    <row r="2" spans="1:34" ht="7.5" customHeight="1"/>
    <row r="3" spans="1:34" ht="19.5" customHeight="1">
      <c r="A3" s="308" t="s">
        <v>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</row>
    <row r="4" spans="1:34" s="166" customFormat="1" ht="15.75" customHeight="1">
      <c r="A4" s="310" t="s">
        <v>1</v>
      </c>
      <c r="B4" s="310"/>
      <c r="C4" s="310"/>
      <c r="D4" s="311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3" t="s">
        <v>2</v>
      </c>
      <c r="T4" s="314"/>
      <c r="U4" s="314"/>
      <c r="V4" s="315"/>
      <c r="W4" s="316"/>
      <c r="X4" s="317"/>
      <c r="Y4" s="317"/>
      <c r="Z4" s="317"/>
      <c r="AA4" s="317"/>
      <c r="AB4" s="318"/>
      <c r="AC4" s="319" t="s">
        <v>3</v>
      </c>
      <c r="AD4" s="320"/>
      <c r="AE4" s="321"/>
      <c r="AF4" s="321"/>
      <c r="AG4" s="316"/>
      <c r="AH4" s="318"/>
    </row>
    <row r="5" spans="1:34" s="166" customFormat="1" ht="15.75" customHeight="1">
      <c r="A5" s="310" t="s">
        <v>4</v>
      </c>
      <c r="B5" s="310"/>
      <c r="C5" s="310"/>
      <c r="D5" s="322" t="s">
        <v>113</v>
      </c>
      <c r="E5" s="322"/>
      <c r="F5" s="322"/>
      <c r="G5" s="322"/>
      <c r="H5" s="322"/>
      <c r="I5" s="322"/>
      <c r="J5" s="323" t="s">
        <v>5</v>
      </c>
      <c r="K5" s="323"/>
      <c r="L5" s="323"/>
      <c r="M5" s="323"/>
      <c r="N5" s="311">
        <v>2023</v>
      </c>
      <c r="O5" s="312"/>
      <c r="P5" s="312"/>
      <c r="Q5" s="312"/>
      <c r="R5" s="312"/>
      <c r="S5" s="324" t="s">
        <v>6</v>
      </c>
      <c r="T5" s="325"/>
      <c r="U5" s="325"/>
      <c r="V5" s="326"/>
      <c r="W5" s="327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9"/>
    </row>
    <row r="6" spans="1:34" ht="76.5" customHeight="1">
      <c r="A6" s="402"/>
      <c r="B6" s="404" t="s">
        <v>7</v>
      </c>
      <c r="C6" s="172" t="s">
        <v>8</v>
      </c>
      <c r="D6" s="330" t="s">
        <v>9</v>
      </c>
      <c r="E6" s="331"/>
      <c r="F6" s="330" t="s">
        <v>10</v>
      </c>
      <c r="G6" s="331"/>
      <c r="H6" s="332" t="s">
        <v>11</v>
      </c>
      <c r="I6" s="333"/>
      <c r="J6" s="330" t="s">
        <v>12</v>
      </c>
      <c r="K6" s="331"/>
      <c r="L6" s="330" t="s">
        <v>13</v>
      </c>
      <c r="M6" s="331"/>
      <c r="N6" s="330" t="s">
        <v>14</v>
      </c>
      <c r="O6" s="334"/>
      <c r="P6" s="335" t="s">
        <v>15</v>
      </c>
      <c r="Q6" s="336"/>
      <c r="R6" s="337"/>
      <c r="S6" s="332" t="s">
        <v>16</v>
      </c>
      <c r="T6" s="338"/>
      <c r="U6" s="333"/>
      <c r="V6" s="332" t="s">
        <v>17</v>
      </c>
      <c r="W6" s="338"/>
      <c r="X6" s="333"/>
      <c r="Y6" s="339" t="s">
        <v>18</v>
      </c>
      <c r="Z6" s="340"/>
      <c r="AA6" s="340"/>
      <c r="AB6" s="340"/>
      <c r="AC6" s="341"/>
      <c r="AD6" s="406" t="s">
        <v>19</v>
      </c>
      <c r="AE6" s="408" t="s">
        <v>20</v>
      </c>
      <c r="AF6" s="332" t="s">
        <v>21</v>
      </c>
      <c r="AG6" s="338" t="s">
        <v>22</v>
      </c>
      <c r="AH6" s="333" t="s">
        <v>23</v>
      </c>
    </row>
    <row r="7" spans="1:34" ht="18" customHeight="1">
      <c r="A7" s="403"/>
      <c r="B7" s="405"/>
      <c r="C7" s="173" t="s">
        <v>24</v>
      </c>
      <c r="D7" s="174" t="s">
        <v>25</v>
      </c>
      <c r="E7" s="175" t="s">
        <v>26</v>
      </c>
      <c r="F7" s="174" t="s">
        <v>25</v>
      </c>
      <c r="G7" s="175" t="s">
        <v>26</v>
      </c>
      <c r="H7" s="174" t="s">
        <v>25</v>
      </c>
      <c r="I7" s="175" t="s">
        <v>26</v>
      </c>
      <c r="J7" s="174" t="s">
        <v>25</v>
      </c>
      <c r="K7" s="175" t="s">
        <v>26</v>
      </c>
      <c r="L7" s="174" t="s">
        <v>25</v>
      </c>
      <c r="M7" s="175" t="s">
        <v>26</v>
      </c>
      <c r="N7" s="174" t="s">
        <v>25</v>
      </c>
      <c r="O7" s="183" t="s">
        <v>26</v>
      </c>
      <c r="P7" s="174" t="s">
        <v>25</v>
      </c>
      <c r="Q7" s="186" t="s">
        <v>26</v>
      </c>
      <c r="R7" s="187" t="s">
        <v>27</v>
      </c>
      <c r="S7" s="174" t="s">
        <v>25</v>
      </c>
      <c r="T7" s="186" t="s">
        <v>26</v>
      </c>
      <c r="U7" s="188" t="s">
        <v>27</v>
      </c>
      <c r="V7" s="174" t="s">
        <v>25</v>
      </c>
      <c r="W7" s="186" t="s">
        <v>26</v>
      </c>
      <c r="X7" s="188" t="s">
        <v>27</v>
      </c>
      <c r="Y7" s="202" t="s">
        <v>28</v>
      </c>
      <c r="Z7" s="203" t="s">
        <v>29</v>
      </c>
      <c r="AA7" s="203" t="s">
        <v>30</v>
      </c>
      <c r="AB7" s="203" t="s">
        <v>31</v>
      </c>
      <c r="AC7" s="204" t="s">
        <v>32</v>
      </c>
      <c r="AD7" s="407"/>
      <c r="AE7" s="409"/>
      <c r="AF7" s="410"/>
      <c r="AG7" s="411"/>
      <c r="AH7" s="412"/>
    </row>
    <row r="8" spans="1:34" s="167" customFormat="1" ht="12.75" customHeight="1">
      <c r="A8" s="176">
        <v>1</v>
      </c>
      <c r="B8" s="177"/>
      <c r="C8" s="178" t="s">
        <v>114</v>
      </c>
      <c r="D8" s="179">
        <v>54</v>
      </c>
      <c r="E8" s="180" t="str">
        <f>IF(D8="","",IF(D8="ab","ab",IF(D8&gt;=75,"A",(IF(D8&gt;=65,"B",IF(D8&gt;=50,"C",IF(D8&gt;=40,"S","W")))))))</f>
        <v>C</v>
      </c>
      <c r="F8" s="179">
        <v>49</v>
      </c>
      <c r="G8" s="180" t="str">
        <f>IF(F8="","",IF(F8="ab","ab",IF(F8&gt;=75,"A",(IF(F8&gt;=65,"B",IF(F8&gt;=50,"C",IF(F8&gt;=40,"S","W")))))))</f>
        <v>S</v>
      </c>
      <c r="H8" s="179">
        <v>56</v>
      </c>
      <c r="I8" s="180" t="str">
        <f>IF(H8="","",IF(H8="ab","ab",IF(H8&gt;=75,"A",(IF(H8&gt;=65,"B",IF(H8&gt;=50,"C",IF(H8&gt;=40,"S","W")))))))</f>
        <v>C</v>
      </c>
      <c r="J8" s="179">
        <v>46</v>
      </c>
      <c r="K8" s="180" t="str">
        <f>IF(J8="","",IF(J8="ab","ab",IF(J8&gt;=75,"A",(IF(J8&gt;=65,"B",IF(J8&gt;=50,"C",IF(J8&gt;=40,"S","W")))))))</f>
        <v>S</v>
      </c>
      <c r="L8" s="179">
        <v>59</v>
      </c>
      <c r="M8" s="180" t="str">
        <f>IF(L8="","",IF(L8="ab","ab",IF(L8&gt;=75,"A",(IF(L8&gt;=65,"B",IF(L8&gt;=50,"C",IF(L8&gt;=40,"S","W")))))))</f>
        <v>C</v>
      </c>
      <c r="N8" s="179">
        <v>58</v>
      </c>
      <c r="O8" s="184" t="str">
        <f>IF(N8="","",IF(N8="ab","ab",IF(N8&gt;=75,"A",(IF(N8&gt;=65,"B",IF(N8&gt;=50,"C",IF(N8&gt;=40,"S","W")))))))</f>
        <v>C</v>
      </c>
      <c r="P8" s="179">
        <v>49</v>
      </c>
      <c r="Q8" s="189" t="str">
        <f t="shared" ref="Q8:Q62" si="0">IF(P8="","",IF(P8="ab","ab",IF(P8&gt;=75,"A",(IF(P8&gt;=65,"B",IF(P8&gt;=50,"C",IF(P8&gt;=40,"S","W")))))))</f>
        <v>S</v>
      </c>
      <c r="R8" s="190" t="s">
        <v>87</v>
      </c>
      <c r="S8" s="179">
        <v>46</v>
      </c>
      <c r="T8" s="189" t="str">
        <f>IF(S8="","",IF(S8="ab","ab",IF(S8&gt;=75,"A",(IF(S8&gt;=65,"B",IF(S8&gt;=50,"C",IF(S8&gt;=40,"S","W")))))))</f>
        <v>S</v>
      </c>
      <c r="U8" s="190" t="s">
        <v>95</v>
      </c>
      <c r="V8" s="179">
        <v>65</v>
      </c>
      <c r="W8" s="189" t="str">
        <f>IF(V8="","",IF(V8="ab","ab",IF(V8&gt;=75,"A",(IF(V8&gt;=65,"B",IF(V8&gt;=50,"C",IF(V8&gt;=40,"S","W")))))))</f>
        <v>B</v>
      </c>
      <c r="X8" s="191" t="s">
        <v>77</v>
      </c>
      <c r="Y8" s="205">
        <f t="shared" ref="Y8:Y62" si="1">IF(AND($D8="ab",$F8="ab",$H8="ab",$J8="ab",$L8="ab",$N8="ab",$P8="ab",$S8="ab",$V8="ab"),"-",IF(COUNT($D8:$W8)=0,"",(COUNTIF($D8:$W8,"A"))))</f>
        <v>0</v>
      </c>
      <c r="Z8" s="206">
        <f t="shared" ref="Z8:Z62" si="2">IF(AND($D8="ab",$F8="ab",$H8="ab",$J8="ab",$L8="ab",$N8="ab",$P8="ab",$S8="ab",$V8="ab"),"-",IF(COUNT($D8:$W8)=0,"",(COUNTIF($D8:$W8,"B"))))</f>
        <v>1</v>
      </c>
      <c r="AA8" s="206">
        <f t="shared" ref="AA8:AA62" si="3">IF(AND($D8="ab",$F8="ab",$H8="ab",$J8="ab",$L8="ab",$N8="ab",$P8="ab",$S8="ab",$V8="ab"),"-",IF(COUNT($D8:$W8)=0,"",(COUNTIF($D8:$W8,"C"))))</f>
        <v>4</v>
      </c>
      <c r="AB8" s="206">
        <f t="shared" ref="AB8:AB62" si="4">IF(AND($D8="ab",$F8="ab",$H8="ab",$J8="ab",$L8="ab",$N8="ab",$P8="ab",$S8="ab",$V8="ab"),"-",IF(COUNT($D8:$W8)=0,"",(COUNTIF($D8:$W8,"S"))))</f>
        <v>4</v>
      </c>
      <c r="AC8" s="207">
        <f t="shared" ref="AC8:AC62" si="5">IF(AND($D8="ab",$F8="ab",$H8="ab",$J8="ab",$L8="ab",$N8="ab",$P8="ab",$S8="ab",$V8="ab"),"-",IF(COUNT($D8:$W8)=0,"",(COUNTIF($D8:$W8,"W"))))</f>
        <v>0</v>
      </c>
      <c r="AD8" s="208" t="str">
        <f t="shared" ref="AD8:AD62" si="6">IF(AND(D8="ab",F8="ab",H8="ab",J8="ab",L8="ab",N8="ab",P8="ab",S8="ab",V8="ab"),"ab",IF(AND(Y8="",Z8="",AA8="",AB8="",AC8=""),"",IF(AND((D8&gt;=40),(H8&gt;=40),(Y8+Z8+AA8+AB8)&gt;=6,(Y8+Z8+AA8)&gt;=3),"P","F")))</f>
        <v>P</v>
      </c>
      <c r="AE8" s="209" t="str">
        <f>IF(AD8="","",IF(AD8="P","P",IF(AND(AD8="F",H8&gt;=40,D8&gt;=40,(Y8+Z8+AA8+AB8)&gt;=6,(Y8+Z8+AA8)=2),"Q1",IF(AND(AD8="F",(OR(H8&gt;=40,D8&gt;=40)),(Y8+Z8+AA8+AB8)&gt;=5,(Y8+Z8+AA8)&gt;=3),"Q2",IF((COUNTIF(D8:X8,"&gt;=40"))&gt;=5,"R1",IF((COUNTIF(D8:X8,"&gt;=20"))&gt;=5,"R2","F"))))))</f>
        <v>P</v>
      </c>
      <c r="AF8" s="210">
        <f t="shared" ref="AF8:AF62" si="7">IF(AND(D8="",F8="",H8="",J8="",L8="",N8="",P8="",S8="",V8=""),"",IF(AND(D8="ab",F8="ab",H8="ab",J8="ab",L8="ab",N8="ab",P8="ab",S8="ab",V8="ab"),"ab",IF(COUNT(D8:W8)=0,"",(SUM(D8:V8)))))</f>
        <v>482</v>
      </c>
      <c r="AG8" s="219">
        <f t="shared" ref="AG8:AG62" si="8">IF(AF8="","",IF(AF8="ab","ab",IF(AF8=0,0,(AVERAGE(D8:V8)))))</f>
        <v>53.5555555555556</v>
      </c>
      <c r="AH8" s="207">
        <f t="shared" ref="AH8:AH62" si="9">IF(AF8="","",IF(AF8="ab","ab",(RANK(AF8,$AF$8:$AF$62))))</f>
        <v>36</v>
      </c>
    </row>
    <row r="9" spans="1:34" s="167" customFormat="1" ht="12.75" customHeight="1">
      <c r="A9" s="181">
        <v>2</v>
      </c>
      <c r="B9" s="177"/>
      <c r="C9" s="182" t="s">
        <v>115</v>
      </c>
      <c r="D9" s="179">
        <v>59</v>
      </c>
      <c r="E9" s="180" t="str">
        <f t="shared" ref="E9:E62" si="10">IF(D9="","",IF(D9="ab","ab",IF(D9&gt;=75,"A",(IF(D9&gt;=65,"B",IF(D9&gt;=50,"C",IF(D9&gt;=40,"S","W")))))))</f>
        <v>C</v>
      </c>
      <c r="F9" s="179">
        <v>50</v>
      </c>
      <c r="G9" s="180" t="str">
        <f t="shared" ref="G9:G62" si="11">IF(F9="","",IF(F9="ab","ab",IF(F9&gt;=75,"A",(IF(F9&gt;=65,"B",IF(F9&gt;=50,"C",IF(F9&gt;=40,"S","W")))))))</f>
        <v>C</v>
      </c>
      <c r="H9" s="179">
        <v>60</v>
      </c>
      <c r="I9" s="180" t="str">
        <f t="shared" ref="I9:I62" si="12">IF(H9="","",IF(H9="ab","ab",IF(H9&gt;=75,"A",(IF(H9&gt;=65,"B",IF(H9&gt;=50,"C",IF(H9&gt;=40,"S","W")))))))</f>
        <v>C</v>
      </c>
      <c r="J9" s="179">
        <v>50</v>
      </c>
      <c r="K9" s="180" t="str">
        <f t="shared" ref="K9:K62" si="13">IF(J9="","",IF(J9="ab","ab",IF(J9&gt;=75,"A",(IF(J9&gt;=65,"B",IF(J9&gt;=50,"C",IF(J9&gt;=40,"S","W")))))))</f>
        <v>C</v>
      </c>
      <c r="L9" s="179">
        <v>64</v>
      </c>
      <c r="M9" s="180" t="str">
        <f t="shared" ref="M9:M62" si="14">IF(L9="","",IF(L9="ab","ab",IF(L9&gt;=75,"A",(IF(L9&gt;=65,"B",IF(L9&gt;=50,"C",IF(L9&gt;=40,"S","W")))))))</f>
        <v>C</v>
      </c>
      <c r="N9" s="179">
        <v>59</v>
      </c>
      <c r="O9" s="180" t="str">
        <f t="shared" ref="O9:O62" si="15">IF(N9="","",IF(N9="ab","ab",IF(N9&gt;=75,"A",(IF(N9&gt;=65,"B",IF(N9&gt;=50,"C",IF(N9&gt;=40,"S","W")))))))</f>
        <v>C</v>
      </c>
      <c r="P9" s="179">
        <v>65</v>
      </c>
      <c r="Q9" s="192" t="str">
        <f t="shared" si="0"/>
        <v>B</v>
      </c>
      <c r="R9" s="193" t="s">
        <v>87</v>
      </c>
      <c r="S9" s="179">
        <v>62</v>
      </c>
      <c r="T9" s="192" t="str">
        <f t="shared" ref="T9:T62" si="16">IF(S9="","",IF(S9="ab","ab",IF(S9&gt;=75,"A",(IF(S9&gt;=65,"B",IF(S9&gt;=50,"C",IF(S9&gt;=40,"S","W")))))))</f>
        <v>C</v>
      </c>
      <c r="U9" s="193" t="s">
        <v>67</v>
      </c>
      <c r="V9" s="179">
        <v>65</v>
      </c>
      <c r="W9" s="192" t="str">
        <f t="shared" ref="W9:W62" si="17">IF(V9="","",IF(V9="ab","ab",IF(V9&gt;=75,"A",(IF(V9&gt;=65,"B",IF(V9&gt;=50,"C",IF(V9&gt;=40,"S","W")))))))</f>
        <v>B</v>
      </c>
      <c r="X9" s="194" t="s">
        <v>77</v>
      </c>
      <c r="Y9" s="205">
        <f t="shared" si="1"/>
        <v>0</v>
      </c>
      <c r="Z9" s="206">
        <f t="shared" si="2"/>
        <v>2</v>
      </c>
      <c r="AA9" s="206">
        <f t="shared" si="3"/>
        <v>7</v>
      </c>
      <c r="AB9" s="206">
        <f t="shared" si="4"/>
        <v>0</v>
      </c>
      <c r="AC9" s="207">
        <f t="shared" si="5"/>
        <v>0</v>
      </c>
      <c r="AD9" s="208" t="str">
        <f t="shared" si="6"/>
        <v>P</v>
      </c>
      <c r="AE9" s="209" t="str">
        <f t="shared" ref="AE9:AE62" si="18">IF(AD9="","",IF(AD9="P","P",IF(AND(AD9="F",H9&gt;=40,D9&gt;=40,(Y9+Z9+AA9+AB9)&gt;=6,(Y9+Z9+AA9)=2),"Q1",IF(AND(AD9="F",(OR(H9&gt;=40,D9&gt;=40)),(Y9+Z9+AA9+AB9)&gt;=5,(Y9+Z9+AA9)&gt;=3),"Q2",IF((COUNTIF(D9:X9,"&gt;=40"))&gt;=5,"R1",IF((COUNTIF(D9:X9,"&gt;=20"))&gt;=5,"R2","F"))))))</f>
        <v>P</v>
      </c>
      <c r="AF9" s="210">
        <f t="shared" si="7"/>
        <v>534</v>
      </c>
      <c r="AG9" s="219">
        <f t="shared" si="8"/>
        <v>59.3333333333333</v>
      </c>
      <c r="AH9" s="207">
        <f t="shared" si="9"/>
        <v>28</v>
      </c>
    </row>
    <row r="10" spans="1:34" s="167" customFormat="1" ht="12.75" customHeight="1">
      <c r="A10" s="181">
        <v>3</v>
      </c>
      <c r="B10" s="177"/>
      <c r="C10" s="182" t="s">
        <v>116</v>
      </c>
      <c r="D10" s="179">
        <v>75</v>
      </c>
      <c r="E10" s="180" t="str">
        <f t="shared" si="10"/>
        <v>A</v>
      </c>
      <c r="F10" s="179">
        <v>60</v>
      </c>
      <c r="G10" s="180" t="str">
        <f t="shared" si="11"/>
        <v>C</v>
      </c>
      <c r="H10" s="179">
        <v>74</v>
      </c>
      <c r="I10" s="180" t="str">
        <f t="shared" si="12"/>
        <v>B</v>
      </c>
      <c r="J10" s="179">
        <v>70</v>
      </c>
      <c r="K10" s="180" t="str">
        <f t="shared" si="13"/>
        <v>B</v>
      </c>
      <c r="L10" s="179">
        <v>87</v>
      </c>
      <c r="M10" s="180" t="str">
        <f t="shared" si="14"/>
        <v>A</v>
      </c>
      <c r="N10" s="179">
        <v>76</v>
      </c>
      <c r="O10" s="180" t="str">
        <f t="shared" si="15"/>
        <v>A</v>
      </c>
      <c r="P10" s="179">
        <v>80</v>
      </c>
      <c r="Q10" s="192" t="str">
        <f t="shared" si="0"/>
        <v>A</v>
      </c>
      <c r="R10" s="193" t="s">
        <v>87</v>
      </c>
      <c r="S10" s="179">
        <v>78</v>
      </c>
      <c r="T10" s="192" t="str">
        <f t="shared" si="16"/>
        <v>A</v>
      </c>
      <c r="U10" s="193"/>
      <c r="V10" s="179">
        <v>80</v>
      </c>
      <c r="W10" s="192" t="str">
        <f t="shared" si="17"/>
        <v>A</v>
      </c>
      <c r="X10" s="194" t="s">
        <v>77</v>
      </c>
      <c r="Y10" s="205">
        <f t="shared" si="1"/>
        <v>6</v>
      </c>
      <c r="Z10" s="206">
        <f t="shared" si="2"/>
        <v>2</v>
      </c>
      <c r="AA10" s="206">
        <f t="shared" si="3"/>
        <v>1</v>
      </c>
      <c r="AB10" s="206">
        <f t="shared" si="4"/>
        <v>0</v>
      </c>
      <c r="AC10" s="207">
        <f t="shared" si="5"/>
        <v>0</v>
      </c>
      <c r="AD10" s="208" t="str">
        <f t="shared" si="6"/>
        <v>P</v>
      </c>
      <c r="AE10" s="209" t="str">
        <f t="shared" si="18"/>
        <v>P</v>
      </c>
      <c r="AF10" s="210">
        <f t="shared" si="7"/>
        <v>680</v>
      </c>
      <c r="AG10" s="219">
        <f t="shared" si="8"/>
        <v>75.5555555555556</v>
      </c>
      <c r="AH10" s="207">
        <f t="shared" si="9"/>
        <v>6</v>
      </c>
    </row>
    <row r="11" spans="1:34" s="167" customFormat="1" ht="12.75" customHeight="1">
      <c r="A11" s="181">
        <v>4</v>
      </c>
      <c r="B11" s="177"/>
      <c r="C11" s="182" t="s">
        <v>117</v>
      </c>
      <c r="D11" s="179">
        <v>88</v>
      </c>
      <c r="E11" s="180" t="str">
        <f t="shared" si="10"/>
        <v>A</v>
      </c>
      <c r="F11" s="179">
        <v>66</v>
      </c>
      <c r="G11" s="180" t="str">
        <f t="shared" si="11"/>
        <v>B</v>
      </c>
      <c r="H11" s="179">
        <v>64</v>
      </c>
      <c r="I11" s="180" t="str">
        <f t="shared" si="12"/>
        <v>C</v>
      </c>
      <c r="J11" s="179">
        <v>66</v>
      </c>
      <c r="K11" s="180" t="str">
        <f t="shared" si="13"/>
        <v>B</v>
      </c>
      <c r="L11" s="179">
        <v>68</v>
      </c>
      <c r="M11" s="180" t="str">
        <f t="shared" si="14"/>
        <v>B</v>
      </c>
      <c r="N11" s="179">
        <v>79</v>
      </c>
      <c r="O11" s="180" t="str">
        <f t="shared" si="15"/>
        <v>A</v>
      </c>
      <c r="P11" s="179">
        <v>61</v>
      </c>
      <c r="Q11" s="192" t="str">
        <f t="shared" si="0"/>
        <v>C</v>
      </c>
      <c r="R11" s="193" t="s">
        <v>87</v>
      </c>
      <c r="S11" s="179">
        <v>65</v>
      </c>
      <c r="T11" s="192" t="str">
        <f t="shared" si="16"/>
        <v>B</v>
      </c>
      <c r="U11" s="193" t="s">
        <v>83</v>
      </c>
      <c r="V11" s="179" t="s">
        <v>47</v>
      </c>
      <c r="W11" s="192" t="str">
        <f t="shared" si="17"/>
        <v>ab</v>
      </c>
      <c r="X11" s="194"/>
      <c r="Y11" s="205">
        <f t="shared" si="1"/>
        <v>2</v>
      </c>
      <c r="Z11" s="206">
        <f t="shared" si="2"/>
        <v>4</v>
      </c>
      <c r="AA11" s="206">
        <f t="shared" si="3"/>
        <v>2</v>
      </c>
      <c r="AB11" s="206">
        <f t="shared" si="4"/>
        <v>0</v>
      </c>
      <c r="AC11" s="207">
        <f t="shared" si="5"/>
        <v>0</v>
      </c>
      <c r="AD11" s="208" t="str">
        <f t="shared" si="6"/>
        <v>P</v>
      </c>
      <c r="AE11" s="209" t="str">
        <f t="shared" si="18"/>
        <v>P</v>
      </c>
      <c r="AF11" s="210">
        <f t="shared" si="7"/>
        <v>557</v>
      </c>
      <c r="AG11" s="219">
        <f t="shared" si="8"/>
        <v>69.625</v>
      </c>
      <c r="AH11" s="207">
        <f t="shared" si="9"/>
        <v>21</v>
      </c>
    </row>
    <row r="12" spans="1:34" s="167" customFormat="1" ht="12.75" customHeight="1">
      <c r="A12" s="181">
        <v>5</v>
      </c>
      <c r="B12" s="177"/>
      <c r="C12" s="182" t="s">
        <v>118</v>
      </c>
      <c r="D12" s="179" t="s">
        <v>47</v>
      </c>
      <c r="E12" s="180" t="str">
        <f t="shared" si="10"/>
        <v>ab</v>
      </c>
      <c r="F12" s="179" t="s">
        <v>47</v>
      </c>
      <c r="G12" s="180" t="str">
        <f t="shared" si="11"/>
        <v>ab</v>
      </c>
      <c r="H12" s="179">
        <v>50</v>
      </c>
      <c r="I12" s="180" t="str">
        <f t="shared" si="12"/>
        <v>C</v>
      </c>
      <c r="J12" s="179">
        <v>54</v>
      </c>
      <c r="K12" s="180" t="str">
        <f t="shared" si="13"/>
        <v>C</v>
      </c>
      <c r="L12" s="179">
        <v>60</v>
      </c>
      <c r="M12" s="180" t="str">
        <f t="shared" si="14"/>
        <v>C</v>
      </c>
      <c r="N12" s="179">
        <v>36</v>
      </c>
      <c r="O12" s="180" t="str">
        <f t="shared" si="15"/>
        <v>W</v>
      </c>
      <c r="P12" s="179">
        <v>39</v>
      </c>
      <c r="Q12" s="192" t="str">
        <f t="shared" si="0"/>
        <v>W</v>
      </c>
      <c r="R12" s="193" t="s">
        <v>87</v>
      </c>
      <c r="S12" s="179">
        <v>9</v>
      </c>
      <c r="T12" s="192" t="str">
        <f t="shared" si="16"/>
        <v>W</v>
      </c>
      <c r="U12" s="193"/>
      <c r="V12" s="179">
        <v>62</v>
      </c>
      <c r="W12" s="192" t="str">
        <f t="shared" si="17"/>
        <v>C</v>
      </c>
      <c r="X12" s="194" t="s">
        <v>77</v>
      </c>
      <c r="Y12" s="205">
        <f t="shared" si="1"/>
        <v>0</v>
      </c>
      <c r="Z12" s="206">
        <f t="shared" si="2"/>
        <v>0</v>
      </c>
      <c r="AA12" s="206">
        <f t="shared" si="3"/>
        <v>4</v>
      </c>
      <c r="AB12" s="206">
        <f t="shared" si="4"/>
        <v>0</v>
      </c>
      <c r="AC12" s="207">
        <f t="shared" si="5"/>
        <v>3</v>
      </c>
      <c r="AD12" s="208" t="str">
        <f t="shared" si="6"/>
        <v>F</v>
      </c>
      <c r="AE12" s="209" t="str">
        <f t="shared" si="18"/>
        <v>R2</v>
      </c>
      <c r="AF12" s="210">
        <f t="shared" si="7"/>
        <v>310</v>
      </c>
      <c r="AG12" s="219">
        <f t="shared" si="8"/>
        <v>44.285714285714299</v>
      </c>
      <c r="AH12" s="207">
        <f t="shared" si="9"/>
        <v>43</v>
      </c>
    </row>
    <row r="13" spans="1:34" s="167" customFormat="1" ht="12.75" customHeight="1">
      <c r="A13" s="181">
        <v>6</v>
      </c>
      <c r="B13" s="177"/>
      <c r="C13" s="182" t="s">
        <v>119</v>
      </c>
      <c r="D13" s="179">
        <v>68</v>
      </c>
      <c r="E13" s="180" t="str">
        <f t="shared" si="10"/>
        <v>B</v>
      </c>
      <c r="F13" s="179">
        <v>45</v>
      </c>
      <c r="G13" s="180" t="str">
        <f t="shared" si="11"/>
        <v>S</v>
      </c>
      <c r="H13" s="179">
        <v>70</v>
      </c>
      <c r="I13" s="180" t="str">
        <f t="shared" si="12"/>
        <v>B</v>
      </c>
      <c r="J13" s="179">
        <v>46</v>
      </c>
      <c r="K13" s="180" t="str">
        <f t="shared" si="13"/>
        <v>S</v>
      </c>
      <c r="L13" s="179">
        <v>58</v>
      </c>
      <c r="M13" s="180" t="str">
        <f t="shared" si="14"/>
        <v>C</v>
      </c>
      <c r="N13" s="179">
        <v>55</v>
      </c>
      <c r="O13" s="180" t="str">
        <f t="shared" si="15"/>
        <v>C</v>
      </c>
      <c r="P13" s="179">
        <v>69</v>
      </c>
      <c r="Q13" s="192" t="str">
        <f t="shared" si="0"/>
        <v>B</v>
      </c>
      <c r="R13" s="193" t="s">
        <v>87</v>
      </c>
      <c r="S13" s="179">
        <v>74</v>
      </c>
      <c r="T13" s="192" t="str">
        <f t="shared" si="16"/>
        <v>B</v>
      </c>
      <c r="U13" s="193"/>
      <c r="V13" s="179">
        <v>65</v>
      </c>
      <c r="W13" s="192" t="str">
        <f t="shared" si="17"/>
        <v>B</v>
      </c>
      <c r="X13" s="194" t="s">
        <v>77</v>
      </c>
      <c r="Y13" s="205">
        <f t="shared" si="1"/>
        <v>0</v>
      </c>
      <c r="Z13" s="206">
        <f t="shared" si="2"/>
        <v>5</v>
      </c>
      <c r="AA13" s="206">
        <f t="shared" si="3"/>
        <v>2</v>
      </c>
      <c r="AB13" s="206">
        <f t="shared" si="4"/>
        <v>2</v>
      </c>
      <c r="AC13" s="207">
        <f t="shared" si="5"/>
        <v>0</v>
      </c>
      <c r="AD13" s="208" t="str">
        <f t="shared" si="6"/>
        <v>P</v>
      </c>
      <c r="AE13" s="209" t="str">
        <f t="shared" si="18"/>
        <v>P</v>
      </c>
      <c r="AF13" s="210">
        <f t="shared" si="7"/>
        <v>550</v>
      </c>
      <c r="AG13" s="219">
        <f t="shared" si="8"/>
        <v>61.1111111111111</v>
      </c>
      <c r="AH13" s="207">
        <f t="shared" si="9"/>
        <v>24</v>
      </c>
    </row>
    <row r="14" spans="1:34" s="167" customFormat="1" ht="12.75" customHeight="1">
      <c r="A14" s="181">
        <v>7</v>
      </c>
      <c r="B14" s="177"/>
      <c r="C14" s="182" t="s">
        <v>120</v>
      </c>
      <c r="D14" s="179">
        <v>19</v>
      </c>
      <c r="E14" s="180" t="str">
        <f t="shared" si="10"/>
        <v>W</v>
      </c>
      <c r="F14" s="179" t="s">
        <v>47</v>
      </c>
      <c r="G14" s="180" t="str">
        <f t="shared" si="11"/>
        <v>ab</v>
      </c>
      <c r="H14" s="179">
        <v>42</v>
      </c>
      <c r="I14" s="180" t="str">
        <f t="shared" si="12"/>
        <v>S</v>
      </c>
      <c r="J14" s="179">
        <v>34</v>
      </c>
      <c r="K14" s="180" t="str">
        <f t="shared" si="13"/>
        <v>W</v>
      </c>
      <c r="L14" s="179">
        <v>41</v>
      </c>
      <c r="M14" s="180" t="str">
        <f t="shared" si="14"/>
        <v>S</v>
      </c>
      <c r="N14" s="179">
        <v>44</v>
      </c>
      <c r="O14" s="180" t="str">
        <f t="shared" si="15"/>
        <v>S</v>
      </c>
      <c r="P14" s="179">
        <v>45</v>
      </c>
      <c r="Q14" s="192" t="str">
        <f t="shared" si="0"/>
        <v>S</v>
      </c>
      <c r="R14" s="193" t="s">
        <v>87</v>
      </c>
      <c r="S14" s="179" t="s">
        <v>47</v>
      </c>
      <c r="T14" s="192" t="str">
        <f t="shared" si="16"/>
        <v>ab</v>
      </c>
      <c r="U14" s="193"/>
      <c r="V14" s="179">
        <v>23</v>
      </c>
      <c r="W14" s="192" t="str">
        <f t="shared" si="17"/>
        <v>W</v>
      </c>
      <c r="X14" s="194" t="s">
        <v>69</v>
      </c>
      <c r="Y14" s="205">
        <f t="shared" si="1"/>
        <v>0</v>
      </c>
      <c r="Z14" s="206">
        <f t="shared" si="2"/>
        <v>0</v>
      </c>
      <c r="AA14" s="206">
        <f t="shared" si="3"/>
        <v>0</v>
      </c>
      <c r="AB14" s="206">
        <f t="shared" si="4"/>
        <v>4</v>
      </c>
      <c r="AC14" s="207">
        <f t="shared" si="5"/>
        <v>3</v>
      </c>
      <c r="AD14" s="208" t="str">
        <f t="shared" si="6"/>
        <v>F</v>
      </c>
      <c r="AE14" s="209" t="str">
        <f t="shared" si="18"/>
        <v>R2</v>
      </c>
      <c r="AF14" s="210">
        <f t="shared" si="7"/>
        <v>248</v>
      </c>
      <c r="AG14" s="219">
        <f t="shared" si="8"/>
        <v>35.428571428571402</v>
      </c>
      <c r="AH14" s="207">
        <f t="shared" si="9"/>
        <v>44</v>
      </c>
    </row>
    <row r="15" spans="1:34" s="167" customFormat="1" ht="12.75" customHeight="1">
      <c r="A15" s="181">
        <v>8</v>
      </c>
      <c r="B15" s="177"/>
      <c r="C15" s="182" t="s">
        <v>121</v>
      </c>
      <c r="D15" s="179">
        <v>67</v>
      </c>
      <c r="E15" s="180" t="str">
        <f t="shared" si="10"/>
        <v>B</v>
      </c>
      <c r="F15" s="179">
        <v>62</v>
      </c>
      <c r="G15" s="180" t="str">
        <f t="shared" si="11"/>
        <v>C</v>
      </c>
      <c r="H15" s="179">
        <v>77</v>
      </c>
      <c r="I15" s="180" t="str">
        <f t="shared" si="12"/>
        <v>A</v>
      </c>
      <c r="J15" s="179">
        <v>50</v>
      </c>
      <c r="K15" s="180" t="str">
        <f t="shared" si="13"/>
        <v>C</v>
      </c>
      <c r="L15" s="179">
        <v>78</v>
      </c>
      <c r="M15" s="180" t="str">
        <f t="shared" si="14"/>
        <v>A</v>
      </c>
      <c r="N15" s="179">
        <v>70</v>
      </c>
      <c r="O15" s="180" t="str">
        <f t="shared" si="15"/>
        <v>B</v>
      </c>
      <c r="P15" s="179">
        <v>63</v>
      </c>
      <c r="Q15" s="192" t="str">
        <f t="shared" si="0"/>
        <v>C</v>
      </c>
      <c r="R15" s="193" t="s">
        <v>87</v>
      </c>
      <c r="S15" s="179">
        <v>68</v>
      </c>
      <c r="T15" s="192" t="str">
        <f t="shared" si="16"/>
        <v>B</v>
      </c>
      <c r="U15" s="193" t="s">
        <v>95</v>
      </c>
      <c r="V15" s="179">
        <v>66</v>
      </c>
      <c r="W15" s="192" t="str">
        <f t="shared" si="17"/>
        <v>B</v>
      </c>
      <c r="X15" s="194" t="s">
        <v>77</v>
      </c>
      <c r="Y15" s="205">
        <f t="shared" si="1"/>
        <v>2</v>
      </c>
      <c r="Z15" s="206">
        <f t="shared" si="2"/>
        <v>4</v>
      </c>
      <c r="AA15" s="206">
        <f t="shared" si="3"/>
        <v>3</v>
      </c>
      <c r="AB15" s="206">
        <f t="shared" si="4"/>
        <v>0</v>
      </c>
      <c r="AC15" s="207">
        <f t="shared" si="5"/>
        <v>0</v>
      </c>
      <c r="AD15" s="208" t="str">
        <f t="shared" si="6"/>
        <v>P</v>
      </c>
      <c r="AE15" s="209" t="str">
        <f t="shared" si="18"/>
        <v>P</v>
      </c>
      <c r="AF15" s="210">
        <f t="shared" si="7"/>
        <v>601</v>
      </c>
      <c r="AG15" s="219">
        <f t="shared" si="8"/>
        <v>66.7777777777778</v>
      </c>
      <c r="AH15" s="207">
        <f t="shared" si="9"/>
        <v>18</v>
      </c>
    </row>
    <row r="16" spans="1:34" s="167" customFormat="1" ht="12.75" customHeight="1">
      <c r="A16" s="181">
        <v>9</v>
      </c>
      <c r="B16" s="177"/>
      <c r="C16" s="182" t="s">
        <v>122</v>
      </c>
      <c r="D16" s="179">
        <v>64</v>
      </c>
      <c r="E16" s="180" t="str">
        <f t="shared" si="10"/>
        <v>C</v>
      </c>
      <c r="F16" s="179">
        <v>58</v>
      </c>
      <c r="G16" s="180" t="str">
        <f t="shared" si="11"/>
        <v>C</v>
      </c>
      <c r="H16" s="179">
        <v>70</v>
      </c>
      <c r="I16" s="180" t="str">
        <f t="shared" si="12"/>
        <v>B</v>
      </c>
      <c r="J16" s="179">
        <v>58</v>
      </c>
      <c r="K16" s="180" t="str">
        <f t="shared" si="13"/>
        <v>C</v>
      </c>
      <c r="L16" s="179">
        <v>75</v>
      </c>
      <c r="M16" s="180" t="str">
        <f t="shared" si="14"/>
        <v>A</v>
      </c>
      <c r="N16" s="179">
        <v>69</v>
      </c>
      <c r="O16" s="180" t="str">
        <f t="shared" si="15"/>
        <v>B</v>
      </c>
      <c r="P16" s="179">
        <v>70</v>
      </c>
      <c r="Q16" s="192" t="str">
        <f t="shared" si="0"/>
        <v>B</v>
      </c>
      <c r="R16" s="193" t="s">
        <v>87</v>
      </c>
      <c r="S16" s="179">
        <v>62</v>
      </c>
      <c r="T16" s="192" t="str">
        <f t="shared" si="16"/>
        <v>C</v>
      </c>
      <c r="U16" s="193" t="s">
        <v>95</v>
      </c>
      <c r="V16" s="179">
        <v>79</v>
      </c>
      <c r="W16" s="192" t="str">
        <f t="shared" si="17"/>
        <v>A</v>
      </c>
      <c r="X16" s="194" t="s">
        <v>77</v>
      </c>
      <c r="Y16" s="205">
        <f t="shared" si="1"/>
        <v>2</v>
      </c>
      <c r="Z16" s="206">
        <f t="shared" si="2"/>
        <v>3</v>
      </c>
      <c r="AA16" s="206">
        <f t="shared" si="3"/>
        <v>4</v>
      </c>
      <c r="AB16" s="206">
        <f t="shared" si="4"/>
        <v>0</v>
      </c>
      <c r="AC16" s="207">
        <f t="shared" si="5"/>
        <v>0</v>
      </c>
      <c r="AD16" s="208" t="str">
        <f t="shared" si="6"/>
        <v>P</v>
      </c>
      <c r="AE16" s="209" t="str">
        <f t="shared" si="18"/>
        <v>P</v>
      </c>
      <c r="AF16" s="210">
        <f t="shared" si="7"/>
        <v>605</v>
      </c>
      <c r="AG16" s="219">
        <f t="shared" si="8"/>
        <v>67.2222222222222</v>
      </c>
      <c r="AH16" s="207">
        <f t="shared" si="9"/>
        <v>16</v>
      </c>
    </row>
    <row r="17" spans="1:34" s="167" customFormat="1" ht="12.75" customHeight="1">
      <c r="A17" s="181">
        <v>10</v>
      </c>
      <c r="B17" s="177"/>
      <c r="C17" s="182" t="s">
        <v>123</v>
      </c>
      <c r="D17" s="179">
        <v>34</v>
      </c>
      <c r="E17" s="180" t="str">
        <f t="shared" si="10"/>
        <v>W</v>
      </c>
      <c r="F17" s="179">
        <v>50</v>
      </c>
      <c r="G17" s="180" t="str">
        <f t="shared" si="11"/>
        <v>C</v>
      </c>
      <c r="H17" s="179">
        <v>50</v>
      </c>
      <c r="I17" s="180" t="str">
        <f t="shared" si="12"/>
        <v>C</v>
      </c>
      <c r="J17" s="179">
        <v>48</v>
      </c>
      <c r="K17" s="180" t="str">
        <f t="shared" si="13"/>
        <v>S</v>
      </c>
      <c r="L17" s="179">
        <v>43</v>
      </c>
      <c r="M17" s="180" t="str">
        <f t="shared" si="14"/>
        <v>S</v>
      </c>
      <c r="N17" s="179">
        <v>60</v>
      </c>
      <c r="O17" s="180" t="str">
        <f t="shared" si="15"/>
        <v>C</v>
      </c>
      <c r="P17" s="179">
        <v>47</v>
      </c>
      <c r="Q17" s="192" t="str">
        <f t="shared" si="0"/>
        <v>S</v>
      </c>
      <c r="R17" s="193" t="s">
        <v>87</v>
      </c>
      <c r="S17" s="179">
        <v>58</v>
      </c>
      <c r="T17" s="192" t="str">
        <f t="shared" si="16"/>
        <v>C</v>
      </c>
      <c r="U17" s="193" t="s">
        <v>67</v>
      </c>
      <c r="V17" s="179">
        <v>52</v>
      </c>
      <c r="W17" s="192" t="str">
        <f t="shared" si="17"/>
        <v>C</v>
      </c>
      <c r="X17" s="194" t="s">
        <v>77</v>
      </c>
      <c r="Y17" s="205">
        <f t="shared" si="1"/>
        <v>0</v>
      </c>
      <c r="Z17" s="206">
        <f t="shared" si="2"/>
        <v>0</v>
      </c>
      <c r="AA17" s="206">
        <f t="shared" si="3"/>
        <v>5</v>
      </c>
      <c r="AB17" s="206">
        <f t="shared" si="4"/>
        <v>3</v>
      </c>
      <c r="AC17" s="207">
        <f t="shared" si="5"/>
        <v>1</v>
      </c>
      <c r="AD17" s="208" t="str">
        <f t="shared" si="6"/>
        <v>F</v>
      </c>
      <c r="AE17" s="209" t="str">
        <f t="shared" si="18"/>
        <v>Q2</v>
      </c>
      <c r="AF17" s="210">
        <f t="shared" si="7"/>
        <v>442</v>
      </c>
      <c r="AG17" s="219">
        <f t="shared" si="8"/>
        <v>49.1111111111111</v>
      </c>
      <c r="AH17" s="207">
        <f t="shared" si="9"/>
        <v>38</v>
      </c>
    </row>
    <row r="18" spans="1:34" s="167" customFormat="1" ht="12.75" customHeight="1">
      <c r="A18" s="181">
        <v>11</v>
      </c>
      <c r="B18" s="177"/>
      <c r="C18" s="182" t="s">
        <v>124</v>
      </c>
      <c r="D18" s="179">
        <v>68</v>
      </c>
      <c r="E18" s="180" t="str">
        <f t="shared" si="10"/>
        <v>B</v>
      </c>
      <c r="F18" s="179">
        <v>50</v>
      </c>
      <c r="G18" s="180" t="str">
        <f t="shared" si="11"/>
        <v>C</v>
      </c>
      <c r="H18" s="179">
        <v>65</v>
      </c>
      <c r="I18" s="180" t="str">
        <f t="shared" si="12"/>
        <v>B</v>
      </c>
      <c r="J18" s="179">
        <v>53</v>
      </c>
      <c r="K18" s="180" t="str">
        <f t="shared" si="13"/>
        <v>C</v>
      </c>
      <c r="L18" s="179">
        <v>64</v>
      </c>
      <c r="M18" s="180" t="str">
        <f t="shared" si="14"/>
        <v>C</v>
      </c>
      <c r="N18" s="179">
        <v>67</v>
      </c>
      <c r="O18" s="180" t="str">
        <f t="shared" si="15"/>
        <v>B</v>
      </c>
      <c r="P18" s="179">
        <v>67</v>
      </c>
      <c r="Q18" s="192" t="str">
        <f t="shared" si="0"/>
        <v>B</v>
      </c>
      <c r="R18" s="193" t="s">
        <v>87</v>
      </c>
      <c r="S18" s="179">
        <v>51</v>
      </c>
      <c r="T18" s="192" t="str">
        <f t="shared" si="16"/>
        <v>C</v>
      </c>
      <c r="U18" s="193" t="s">
        <v>95</v>
      </c>
      <c r="V18" s="179">
        <v>53</v>
      </c>
      <c r="W18" s="192" t="str">
        <f t="shared" si="17"/>
        <v>C</v>
      </c>
      <c r="X18" s="194" t="s">
        <v>69</v>
      </c>
      <c r="Y18" s="205">
        <f t="shared" si="1"/>
        <v>0</v>
      </c>
      <c r="Z18" s="206">
        <f t="shared" si="2"/>
        <v>4</v>
      </c>
      <c r="AA18" s="206">
        <f t="shared" si="3"/>
        <v>5</v>
      </c>
      <c r="AB18" s="206">
        <f t="shared" si="4"/>
        <v>0</v>
      </c>
      <c r="AC18" s="207">
        <f t="shared" si="5"/>
        <v>0</v>
      </c>
      <c r="AD18" s="208" t="str">
        <f t="shared" si="6"/>
        <v>P</v>
      </c>
      <c r="AE18" s="209" t="str">
        <f t="shared" si="18"/>
        <v>P</v>
      </c>
      <c r="AF18" s="210">
        <f t="shared" si="7"/>
        <v>538</v>
      </c>
      <c r="AG18" s="219">
        <f t="shared" si="8"/>
        <v>59.7777777777778</v>
      </c>
      <c r="AH18" s="207">
        <f t="shared" si="9"/>
        <v>27</v>
      </c>
    </row>
    <row r="19" spans="1:34" s="167" customFormat="1" ht="12.75" customHeight="1">
      <c r="A19" s="181">
        <v>12</v>
      </c>
      <c r="B19" s="177"/>
      <c r="C19" s="182" t="s">
        <v>125</v>
      </c>
      <c r="D19" s="179">
        <v>78</v>
      </c>
      <c r="E19" s="180" t="str">
        <f t="shared" si="10"/>
        <v>A</v>
      </c>
      <c r="F19" s="179">
        <v>68</v>
      </c>
      <c r="G19" s="180" t="str">
        <f t="shared" si="11"/>
        <v>B</v>
      </c>
      <c r="H19" s="179">
        <v>76</v>
      </c>
      <c r="I19" s="180" t="str">
        <f t="shared" si="12"/>
        <v>A</v>
      </c>
      <c r="J19" s="179">
        <v>63</v>
      </c>
      <c r="K19" s="180" t="str">
        <f t="shared" si="13"/>
        <v>C</v>
      </c>
      <c r="L19" s="179">
        <v>71</v>
      </c>
      <c r="M19" s="180" t="str">
        <f t="shared" si="14"/>
        <v>B</v>
      </c>
      <c r="N19" s="179">
        <v>58</v>
      </c>
      <c r="O19" s="180" t="str">
        <f t="shared" si="15"/>
        <v>C</v>
      </c>
      <c r="P19" s="179">
        <v>71</v>
      </c>
      <c r="Q19" s="192" t="str">
        <f t="shared" si="0"/>
        <v>B</v>
      </c>
      <c r="R19" s="193" t="s">
        <v>87</v>
      </c>
      <c r="S19" s="179">
        <v>58</v>
      </c>
      <c r="T19" s="192" t="str">
        <f t="shared" si="16"/>
        <v>C</v>
      </c>
      <c r="U19" s="193" t="s">
        <v>95</v>
      </c>
      <c r="V19" s="179">
        <v>64</v>
      </c>
      <c r="W19" s="192" t="str">
        <f t="shared" si="17"/>
        <v>C</v>
      </c>
      <c r="X19" s="194" t="s">
        <v>77</v>
      </c>
      <c r="Y19" s="205">
        <f t="shared" si="1"/>
        <v>2</v>
      </c>
      <c r="Z19" s="206">
        <f t="shared" si="2"/>
        <v>3</v>
      </c>
      <c r="AA19" s="206">
        <f t="shared" si="3"/>
        <v>4</v>
      </c>
      <c r="AB19" s="206">
        <f t="shared" si="4"/>
        <v>0</v>
      </c>
      <c r="AC19" s="207">
        <f t="shared" si="5"/>
        <v>0</v>
      </c>
      <c r="AD19" s="208" t="str">
        <f t="shared" si="6"/>
        <v>P</v>
      </c>
      <c r="AE19" s="209" t="str">
        <f t="shared" si="18"/>
        <v>P</v>
      </c>
      <c r="AF19" s="210">
        <f t="shared" si="7"/>
        <v>607</v>
      </c>
      <c r="AG19" s="219">
        <f t="shared" si="8"/>
        <v>67.4444444444444</v>
      </c>
      <c r="AH19" s="207">
        <f t="shared" si="9"/>
        <v>15</v>
      </c>
    </row>
    <row r="20" spans="1:34" s="167" customFormat="1" ht="12.75" customHeight="1">
      <c r="A20" s="181">
        <v>13</v>
      </c>
      <c r="B20" s="177"/>
      <c r="C20" s="182" t="s">
        <v>126</v>
      </c>
      <c r="D20" s="179" t="s">
        <v>47</v>
      </c>
      <c r="E20" s="180" t="str">
        <f t="shared" si="10"/>
        <v>ab</v>
      </c>
      <c r="F20" s="179" t="s">
        <v>47</v>
      </c>
      <c r="G20" s="180" t="str">
        <f t="shared" si="11"/>
        <v>ab</v>
      </c>
      <c r="H20" s="179" t="s">
        <v>47</v>
      </c>
      <c r="I20" s="180" t="str">
        <f t="shared" si="12"/>
        <v>ab</v>
      </c>
      <c r="J20" s="179" t="s">
        <v>47</v>
      </c>
      <c r="K20" s="180" t="str">
        <f t="shared" si="13"/>
        <v>ab</v>
      </c>
      <c r="L20" s="179" t="s">
        <v>47</v>
      </c>
      <c r="M20" s="180" t="str">
        <f t="shared" si="14"/>
        <v>ab</v>
      </c>
      <c r="N20" s="179" t="s">
        <v>47</v>
      </c>
      <c r="O20" s="180" t="str">
        <f t="shared" si="15"/>
        <v>ab</v>
      </c>
      <c r="P20" s="179" t="s">
        <v>47</v>
      </c>
      <c r="Q20" s="192" t="str">
        <f t="shared" si="0"/>
        <v>ab</v>
      </c>
      <c r="R20" s="193" t="s">
        <v>87</v>
      </c>
      <c r="S20" s="179" t="s">
        <v>47</v>
      </c>
      <c r="T20" s="192" t="str">
        <f t="shared" si="16"/>
        <v>ab</v>
      </c>
      <c r="U20" s="193"/>
      <c r="V20" s="179" t="s">
        <v>47</v>
      </c>
      <c r="W20" s="192" t="str">
        <f t="shared" si="17"/>
        <v>ab</v>
      </c>
      <c r="X20" s="194"/>
      <c r="Y20" s="205" t="str">
        <f t="shared" si="1"/>
        <v>-</v>
      </c>
      <c r="Z20" s="206" t="str">
        <f t="shared" si="2"/>
        <v>-</v>
      </c>
      <c r="AA20" s="206" t="str">
        <f t="shared" si="3"/>
        <v>-</v>
      </c>
      <c r="AB20" s="206" t="str">
        <f t="shared" si="4"/>
        <v>-</v>
      </c>
      <c r="AC20" s="207" t="str">
        <f t="shared" si="5"/>
        <v>-</v>
      </c>
      <c r="AD20" s="208" t="str">
        <f t="shared" si="6"/>
        <v>ab</v>
      </c>
      <c r="AE20" s="209" t="e">
        <f t="shared" si="18"/>
        <v>#VALUE!</v>
      </c>
      <c r="AF20" s="210" t="str">
        <f t="shared" si="7"/>
        <v>ab</v>
      </c>
      <c r="AG20" s="219" t="str">
        <f t="shared" si="8"/>
        <v>ab</v>
      </c>
      <c r="AH20" s="207" t="str">
        <f t="shared" si="9"/>
        <v>ab</v>
      </c>
    </row>
    <row r="21" spans="1:34" s="167" customFormat="1" ht="12.75" customHeight="1">
      <c r="A21" s="181">
        <v>14</v>
      </c>
      <c r="B21" s="177"/>
      <c r="C21" s="182" t="s">
        <v>127</v>
      </c>
      <c r="D21" s="179">
        <v>64</v>
      </c>
      <c r="E21" s="180" t="str">
        <f t="shared" si="10"/>
        <v>C</v>
      </c>
      <c r="F21" s="179" t="s">
        <v>47</v>
      </c>
      <c r="G21" s="180" t="str">
        <f t="shared" si="11"/>
        <v>ab</v>
      </c>
      <c r="H21" s="179">
        <v>57</v>
      </c>
      <c r="I21" s="180" t="str">
        <f t="shared" si="12"/>
        <v>C</v>
      </c>
      <c r="J21" s="179">
        <v>45</v>
      </c>
      <c r="K21" s="180" t="str">
        <f t="shared" si="13"/>
        <v>S</v>
      </c>
      <c r="L21" s="179">
        <v>64</v>
      </c>
      <c r="M21" s="180" t="str">
        <f t="shared" si="14"/>
        <v>C</v>
      </c>
      <c r="N21" s="179">
        <v>64</v>
      </c>
      <c r="O21" s="180" t="str">
        <f t="shared" si="15"/>
        <v>C</v>
      </c>
      <c r="P21" s="179">
        <v>70</v>
      </c>
      <c r="Q21" s="192" t="str">
        <f t="shared" si="0"/>
        <v>B</v>
      </c>
      <c r="R21" s="193" t="s">
        <v>87</v>
      </c>
      <c r="S21" s="179">
        <v>52</v>
      </c>
      <c r="T21" s="192" t="str">
        <f t="shared" si="16"/>
        <v>C</v>
      </c>
      <c r="U21" s="193" t="s">
        <v>95</v>
      </c>
      <c r="V21" s="179">
        <v>67</v>
      </c>
      <c r="W21" s="192" t="str">
        <f t="shared" si="17"/>
        <v>B</v>
      </c>
      <c r="X21" s="194" t="s">
        <v>77</v>
      </c>
      <c r="Y21" s="205">
        <f t="shared" si="1"/>
        <v>0</v>
      </c>
      <c r="Z21" s="206">
        <f t="shared" si="2"/>
        <v>2</v>
      </c>
      <c r="AA21" s="206">
        <f t="shared" si="3"/>
        <v>5</v>
      </c>
      <c r="AB21" s="206">
        <f t="shared" si="4"/>
        <v>1</v>
      </c>
      <c r="AC21" s="207">
        <f t="shared" si="5"/>
        <v>0</v>
      </c>
      <c r="AD21" s="208" t="str">
        <f t="shared" si="6"/>
        <v>P</v>
      </c>
      <c r="AE21" s="209" t="str">
        <f t="shared" si="18"/>
        <v>P</v>
      </c>
      <c r="AF21" s="210">
        <f t="shared" si="7"/>
        <v>483</v>
      </c>
      <c r="AG21" s="219">
        <f t="shared" si="8"/>
        <v>60.375</v>
      </c>
      <c r="AH21" s="207">
        <f t="shared" si="9"/>
        <v>35</v>
      </c>
    </row>
    <row r="22" spans="1:34" s="167" customFormat="1" ht="12.75" customHeight="1">
      <c r="A22" s="181">
        <v>15</v>
      </c>
      <c r="B22" s="177"/>
      <c r="C22" s="182" t="s">
        <v>128</v>
      </c>
      <c r="D22" s="179">
        <v>69</v>
      </c>
      <c r="E22" s="180" t="str">
        <f t="shared" si="10"/>
        <v>B</v>
      </c>
      <c r="F22" s="179">
        <v>58</v>
      </c>
      <c r="G22" s="180" t="str">
        <f t="shared" si="11"/>
        <v>C</v>
      </c>
      <c r="H22" s="179">
        <v>70</v>
      </c>
      <c r="I22" s="180" t="str">
        <f t="shared" si="12"/>
        <v>B</v>
      </c>
      <c r="J22" s="179">
        <v>56</v>
      </c>
      <c r="K22" s="180" t="str">
        <f t="shared" si="13"/>
        <v>C</v>
      </c>
      <c r="L22" s="179">
        <v>75</v>
      </c>
      <c r="M22" s="180" t="str">
        <f t="shared" si="14"/>
        <v>A</v>
      </c>
      <c r="N22" s="179">
        <v>68</v>
      </c>
      <c r="O22" s="180" t="str">
        <f t="shared" si="15"/>
        <v>B</v>
      </c>
      <c r="P22" s="179">
        <v>84</v>
      </c>
      <c r="Q22" s="192" t="str">
        <f t="shared" si="0"/>
        <v>A</v>
      </c>
      <c r="R22" s="193" t="s">
        <v>87</v>
      </c>
      <c r="S22" s="179">
        <v>75</v>
      </c>
      <c r="T22" s="192" t="str">
        <f t="shared" si="16"/>
        <v>A</v>
      </c>
      <c r="U22" s="193"/>
      <c r="V22" s="179">
        <v>71</v>
      </c>
      <c r="W22" s="192" t="str">
        <f t="shared" si="17"/>
        <v>B</v>
      </c>
      <c r="X22" s="194" t="s">
        <v>77</v>
      </c>
      <c r="Y22" s="205">
        <f t="shared" si="1"/>
        <v>3</v>
      </c>
      <c r="Z22" s="206">
        <f t="shared" si="2"/>
        <v>4</v>
      </c>
      <c r="AA22" s="206">
        <f t="shared" si="3"/>
        <v>2</v>
      </c>
      <c r="AB22" s="206">
        <f t="shared" si="4"/>
        <v>0</v>
      </c>
      <c r="AC22" s="207">
        <f t="shared" si="5"/>
        <v>0</v>
      </c>
      <c r="AD22" s="208" t="str">
        <f t="shared" si="6"/>
        <v>P</v>
      </c>
      <c r="AE22" s="209" t="str">
        <f t="shared" si="18"/>
        <v>P</v>
      </c>
      <c r="AF22" s="210">
        <f t="shared" si="7"/>
        <v>626</v>
      </c>
      <c r="AG22" s="219">
        <f t="shared" si="8"/>
        <v>69.5555555555556</v>
      </c>
      <c r="AH22" s="207">
        <f t="shared" si="9"/>
        <v>12</v>
      </c>
    </row>
    <row r="23" spans="1:34" s="167" customFormat="1" ht="12.75" customHeight="1">
      <c r="A23" s="181">
        <v>16</v>
      </c>
      <c r="B23" s="177"/>
      <c r="C23" s="182" t="s">
        <v>129</v>
      </c>
      <c r="D23" s="179">
        <v>62</v>
      </c>
      <c r="E23" s="180" t="str">
        <f t="shared" si="10"/>
        <v>C</v>
      </c>
      <c r="F23" s="179">
        <v>54</v>
      </c>
      <c r="G23" s="180" t="str">
        <f t="shared" si="11"/>
        <v>C</v>
      </c>
      <c r="H23" s="179">
        <v>66</v>
      </c>
      <c r="I23" s="180" t="str">
        <f t="shared" si="12"/>
        <v>B</v>
      </c>
      <c r="J23" s="179">
        <v>62</v>
      </c>
      <c r="K23" s="180" t="str">
        <f t="shared" si="13"/>
        <v>C</v>
      </c>
      <c r="L23" s="179">
        <v>73</v>
      </c>
      <c r="M23" s="180" t="str">
        <f t="shared" si="14"/>
        <v>B</v>
      </c>
      <c r="N23" s="179">
        <v>74</v>
      </c>
      <c r="O23" s="180" t="str">
        <f t="shared" si="15"/>
        <v>B</v>
      </c>
      <c r="P23" s="179">
        <v>64</v>
      </c>
      <c r="Q23" s="192" t="str">
        <f t="shared" si="0"/>
        <v>C</v>
      </c>
      <c r="R23" s="193" t="s">
        <v>87</v>
      </c>
      <c r="S23" s="179">
        <v>64</v>
      </c>
      <c r="T23" s="192" t="str">
        <f t="shared" si="16"/>
        <v>C</v>
      </c>
      <c r="U23" s="193"/>
      <c r="V23" s="179">
        <v>61</v>
      </c>
      <c r="W23" s="192" t="str">
        <f t="shared" si="17"/>
        <v>C</v>
      </c>
      <c r="X23" s="194" t="s">
        <v>77</v>
      </c>
      <c r="Y23" s="205">
        <f t="shared" si="1"/>
        <v>0</v>
      </c>
      <c r="Z23" s="206">
        <f t="shared" si="2"/>
        <v>3</v>
      </c>
      <c r="AA23" s="206">
        <f t="shared" si="3"/>
        <v>6</v>
      </c>
      <c r="AB23" s="206">
        <f t="shared" si="4"/>
        <v>0</v>
      </c>
      <c r="AC23" s="207">
        <f t="shared" si="5"/>
        <v>0</v>
      </c>
      <c r="AD23" s="208" t="str">
        <f t="shared" si="6"/>
        <v>P</v>
      </c>
      <c r="AE23" s="209" t="str">
        <f t="shared" si="18"/>
        <v>P</v>
      </c>
      <c r="AF23" s="210">
        <f t="shared" si="7"/>
        <v>580</v>
      </c>
      <c r="AG23" s="219">
        <f t="shared" si="8"/>
        <v>64.4444444444444</v>
      </c>
      <c r="AH23" s="207">
        <f t="shared" si="9"/>
        <v>19</v>
      </c>
    </row>
    <row r="24" spans="1:34" s="167" customFormat="1" ht="12.75" customHeight="1">
      <c r="A24" s="181">
        <v>17</v>
      </c>
      <c r="B24" s="177"/>
      <c r="C24" s="182" t="s">
        <v>130</v>
      </c>
      <c r="D24" s="179" t="s">
        <v>47</v>
      </c>
      <c r="E24" s="180" t="str">
        <f t="shared" si="10"/>
        <v>ab</v>
      </c>
      <c r="F24" s="179" t="s">
        <v>47</v>
      </c>
      <c r="G24" s="180" t="str">
        <f t="shared" si="11"/>
        <v>ab</v>
      </c>
      <c r="H24" s="179">
        <v>50</v>
      </c>
      <c r="I24" s="180" t="str">
        <f t="shared" si="12"/>
        <v>C</v>
      </c>
      <c r="J24" s="179">
        <v>24</v>
      </c>
      <c r="K24" s="180" t="str">
        <f t="shared" si="13"/>
        <v>W</v>
      </c>
      <c r="L24" s="179">
        <v>37</v>
      </c>
      <c r="M24" s="180" t="str">
        <f t="shared" si="14"/>
        <v>W</v>
      </c>
      <c r="N24" s="179">
        <v>33</v>
      </c>
      <c r="O24" s="180" t="str">
        <f t="shared" si="15"/>
        <v>W</v>
      </c>
      <c r="P24" s="179">
        <v>28</v>
      </c>
      <c r="Q24" s="192" t="str">
        <f t="shared" si="0"/>
        <v>W</v>
      </c>
      <c r="R24" s="193" t="s">
        <v>87</v>
      </c>
      <c r="S24" s="179">
        <v>27</v>
      </c>
      <c r="T24" s="192" t="str">
        <f t="shared" si="16"/>
        <v>W</v>
      </c>
      <c r="U24" s="193"/>
      <c r="V24" s="179">
        <v>47</v>
      </c>
      <c r="W24" s="192" t="str">
        <f t="shared" si="17"/>
        <v>S</v>
      </c>
      <c r="X24" s="194" t="s">
        <v>77</v>
      </c>
      <c r="Y24" s="205">
        <f t="shared" si="1"/>
        <v>0</v>
      </c>
      <c r="Z24" s="206">
        <f t="shared" si="2"/>
        <v>0</v>
      </c>
      <c r="AA24" s="206">
        <f t="shared" si="3"/>
        <v>1</v>
      </c>
      <c r="AB24" s="206">
        <f t="shared" si="4"/>
        <v>1</v>
      </c>
      <c r="AC24" s="207">
        <f t="shared" si="5"/>
        <v>5</v>
      </c>
      <c r="AD24" s="208" t="str">
        <f t="shared" si="6"/>
        <v>F</v>
      </c>
      <c r="AE24" s="209" t="str">
        <f t="shared" si="18"/>
        <v>R2</v>
      </c>
      <c r="AF24" s="210">
        <f t="shared" si="7"/>
        <v>246</v>
      </c>
      <c r="AG24" s="219">
        <f t="shared" si="8"/>
        <v>35.142857142857103</v>
      </c>
      <c r="AH24" s="207">
        <f t="shared" si="9"/>
        <v>45</v>
      </c>
    </row>
    <row r="25" spans="1:34" s="167" customFormat="1" ht="12.75" customHeight="1">
      <c r="A25" s="181">
        <v>18</v>
      </c>
      <c r="B25" s="177"/>
      <c r="C25" s="182" t="s">
        <v>131</v>
      </c>
      <c r="D25" s="179">
        <v>43</v>
      </c>
      <c r="E25" s="180" t="str">
        <f t="shared" si="10"/>
        <v>S</v>
      </c>
      <c r="F25" s="179">
        <v>45</v>
      </c>
      <c r="G25" s="180" t="str">
        <f t="shared" si="11"/>
        <v>S</v>
      </c>
      <c r="H25" s="179">
        <v>54</v>
      </c>
      <c r="I25" s="180" t="str">
        <f t="shared" si="12"/>
        <v>C</v>
      </c>
      <c r="J25" s="179">
        <v>41</v>
      </c>
      <c r="K25" s="180" t="str">
        <f t="shared" si="13"/>
        <v>S</v>
      </c>
      <c r="L25" s="179">
        <v>75</v>
      </c>
      <c r="M25" s="180" t="str">
        <f t="shared" si="14"/>
        <v>A</v>
      </c>
      <c r="N25" s="179">
        <v>46</v>
      </c>
      <c r="O25" s="180" t="str">
        <f t="shared" si="15"/>
        <v>S</v>
      </c>
      <c r="P25" s="179">
        <v>77</v>
      </c>
      <c r="Q25" s="192" t="str">
        <f t="shared" si="0"/>
        <v>A</v>
      </c>
      <c r="R25" s="193" t="s">
        <v>87</v>
      </c>
      <c r="S25" s="179" t="s">
        <v>47</v>
      </c>
      <c r="T25" s="192" t="str">
        <f t="shared" si="16"/>
        <v>ab</v>
      </c>
      <c r="U25" s="193"/>
      <c r="V25" s="179" t="s">
        <v>132</v>
      </c>
      <c r="W25" s="192" t="str">
        <f t="shared" si="17"/>
        <v>ab</v>
      </c>
      <c r="X25" s="194"/>
      <c r="Y25" s="205">
        <f t="shared" si="1"/>
        <v>2</v>
      </c>
      <c r="Z25" s="206">
        <f t="shared" si="2"/>
        <v>0</v>
      </c>
      <c r="AA25" s="206">
        <f t="shared" si="3"/>
        <v>1</v>
      </c>
      <c r="AB25" s="206">
        <f t="shared" si="4"/>
        <v>4</v>
      </c>
      <c r="AC25" s="207">
        <f t="shared" si="5"/>
        <v>0</v>
      </c>
      <c r="AD25" s="208" t="str">
        <f t="shared" si="6"/>
        <v>P</v>
      </c>
      <c r="AE25" s="209" t="str">
        <f t="shared" si="18"/>
        <v>P</v>
      </c>
      <c r="AF25" s="210">
        <f t="shared" si="7"/>
        <v>381</v>
      </c>
      <c r="AG25" s="219">
        <f t="shared" si="8"/>
        <v>54.428571428571402</v>
      </c>
      <c r="AH25" s="207">
        <f t="shared" si="9"/>
        <v>41</v>
      </c>
    </row>
    <row r="26" spans="1:34" s="167" customFormat="1" ht="12.75" customHeight="1">
      <c r="A26" s="181">
        <v>19</v>
      </c>
      <c r="B26" s="177"/>
      <c r="C26" s="182" t="s">
        <v>133</v>
      </c>
      <c r="D26" s="179">
        <v>92</v>
      </c>
      <c r="E26" s="180" t="str">
        <f t="shared" si="10"/>
        <v>A</v>
      </c>
      <c r="F26" s="179">
        <v>75</v>
      </c>
      <c r="G26" s="180" t="str">
        <f t="shared" si="11"/>
        <v>A</v>
      </c>
      <c r="H26" s="179">
        <v>76</v>
      </c>
      <c r="I26" s="180" t="str">
        <f t="shared" si="12"/>
        <v>A</v>
      </c>
      <c r="J26" s="179">
        <v>56</v>
      </c>
      <c r="K26" s="180" t="str">
        <f t="shared" si="13"/>
        <v>C</v>
      </c>
      <c r="L26" s="179">
        <v>69</v>
      </c>
      <c r="M26" s="180" t="str">
        <f t="shared" si="14"/>
        <v>B</v>
      </c>
      <c r="N26" s="179">
        <v>78</v>
      </c>
      <c r="O26" s="180" t="str">
        <f t="shared" si="15"/>
        <v>A</v>
      </c>
      <c r="P26" s="179">
        <v>71</v>
      </c>
      <c r="Q26" s="192" t="str">
        <f t="shared" si="0"/>
        <v>B</v>
      </c>
      <c r="R26" s="193" t="s">
        <v>87</v>
      </c>
      <c r="S26" s="179">
        <v>64</v>
      </c>
      <c r="T26" s="192" t="str">
        <f t="shared" si="16"/>
        <v>C</v>
      </c>
      <c r="U26" s="193" t="s">
        <v>95</v>
      </c>
      <c r="V26" s="179">
        <v>84</v>
      </c>
      <c r="W26" s="192" t="str">
        <f t="shared" si="17"/>
        <v>A</v>
      </c>
      <c r="X26" s="194" t="s">
        <v>77</v>
      </c>
      <c r="Y26" s="205">
        <f t="shared" si="1"/>
        <v>5</v>
      </c>
      <c r="Z26" s="206">
        <f t="shared" si="2"/>
        <v>2</v>
      </c>
      <c r="AA26" s="206">
        <f t="shared" si="3"/>
        <v>2</v>
      </c>
      <c r="AB26" s="206">
        <f t="shared" si="4"/>
        <v>0</v>
      </c>
      <c r="AC26" s="207">
        <f t="shared" si="5"/>
        <v>0</v>
      </c>
      <c r="AD26" s="208" t="str">
        <f t="shared" si="6"/>
        <v>P</v>
      </c>
      <c r="AE26" s="209" t="str">
        <f t="shared" si="18"/>
        <v>P</v>
      </c>
      <c r="AF26" s="210">
        <f t="shared" si="7"/>
        <v>665</v>
      </c>
      <c r="AG26" s="219">
        <f t="shared" si="8"/>
        <v>73.8888888888889</v>
      </c>
      <c r="AH26" s="207">
        <f t="shared" si="9"/>
        <v>9</v>
      </c>
    </row>
    <row r="27" spans="1:34" s="167" customFormat="1" ht="12.75" customHeight="1">
      <c r="A27" s="181">
        <v>20</v>
      </c>
      <c r="B27" s="177"/>
      <c r="C27" s="182" t="s">
        <v>134</v>
      </c>
      <c r="D27" s="179">
        <v>67</v>
      </c>
      <c r="E27" s="180" t="str">
        <f t="shared" si="10"/>
        <v>B</v>
      </c>
      <c r="F27" s="179">
        <v>40</v>
      </c>
      <c r="G27" s="180" t="str">
        <f t="shared" si="11"/>
        <v>S</v>
      </c>
      <c r="H27" s="179">
        <v>63</v>
      </c>
      <c r="I27" s="180" t="str">
        <f t="shared" si="12"/>
        <v>C</v>
      </c>
      <c r="J27" s="179">
        <v>57</v>
      </c>
      <c r="K27" s="180" t="str">
        <f t="shared" si="13"/>
        <v>C</v>
      </c>
      <c r="L27" s="179">
        <v>66</v>
      </c>
      <c r="M27" s="180" t="str">
        <f t="shared" si="14"/>
        <v>B</v>
      </c>
      <c r="N27" s="179">
        <v>55</v>
      </c>
      <c r="O27" s="180" t="str">
        <f t="shared" si="15"/>
        <v>C</v>
      </c>
      <c r="P27" s="179">
        <v>69</v>
      </c>
      <c r="Q27" s="192" t="str">
        <f t="shared" si="0"/>
        <v>B</v>
      </c>
      <c r="R27" s="193" t="s">
        <v>87</v>
      </c>
      <c r="S27" s="179">
        <v>65</v>
      </c>
      <c r="T27" s="192" t="str">
        <f t="shared" si="16"/>
        <v>B</v>
      </c>
      <c r="U27" s="193" t="s">
        <v>95</v>
      </c>
      <c r="V27" s="179">
        <v>40</v>
      </c>
      <c r="W27" s="192" t="str">
        <f t="shared" si="17"/>
        <v>S</v>
      </c>
      <c r="X27" s="194" t="s">
        <v>69</v>
      </c>
      <c r="Y27" s="205">
        <f t="shared" si="1"/>
        <v>0</v>
      </c>
      <c r="Z27" s="206">
        <f t="shared" si="2"/>
        <v>4</v>
      </c>
      <c r="AA27" s="206">
        <f t="shared" si="3"/>
        <v>3</v>
      </c>
      <c r="AB27" s="206">
        <f t="shared" si="4"/>
        <v>2</v>
      </c>
      <c r="AC27" s="207">
        <f t="shared" si="5"/>
        <v>0</v>
      </c>
      <c r="AD27" s="208" t="str">
        <f t="shared" si="6"/>
        <v>P</v>
      </c>
      <c r="AE27" s="209" t="str">
        <f t="shared" si="18"/>
        <v>P</v>
      </c>
      <c r="AF27" s="210">
        <f t="shared" si="7"/>
        <v>522</v>
      </c>
      <c r="AG27" s="219">
        <f t="shared" si="8"/>
        <v>58</v>
      </c>
      <c r="AH27" s="207">
        <f t="shared" si="9"/>
        <v>29</v>
      </c>
    </row>
    <row r="28" spans="1:34" s="167" customFormat="1" ht="12.75" customHeight="1">
      <c r="A28" s="181">
        <v>21</v>
      </c>
      <c r="B28" s="177"/>
      <c r="C28" s="182" t="s">
        <v>135</v>
      </c>
      <c r="D28" s="179">
        <v>69</v>
      </c>
      <c r="E28" s="180" t="str">
        <f t="shared" si="10"/>
        <v>B</v>
      </c>
      <c r="F28" s="179">
        <v>51</v>
      </c>
      <c r="G28" s="180" t="str">
        <f t="shared" si="11"/>
        <v>C</v>
      </c>
      <c r="H28" s="179">
        <v>73</v>
      </c>
      <c r="I28" s="180" t="str">
        <f t="shared" si="12"/>
        <v>B</v>
      </c>
      <c r="J28" s="179">
        <v>70</v>
      </c>
      <c r="K28" s="180" t="str">
        <f t="shared" si="13"/>
        <v>B</v>
      </c>
      <c r="L28" s="179">
        <v>75</v>
      </c>
      <c r="M28" s="180" t="str">
        <f t="shared" si="14"/>
        <v>A</v>
      </c>
      <c r="N28" s="179">
        <v>66</v>
      </c>
      <c r="O28" s="180" t="str">
        <f t="shared" si="15"/>
        <v>B</v>
      </c>
      <c r="P28" s="179">
        <v>72</v>
      </c>
      <c r="Q28" s="192" t="str">
        <f t="shared" si="0"/>
        <v>B</v>
      </c>
      <c r="R28" s="193" t="s">
        <v>87</v>
      </c>
      <c r="S28" s="179">
        <v>67</v>
      </c>
      <c r="T28" s="192" t="str">
        <f t="shared" si="16"/>
        <v>B</v>
      </c>
      <c r="U28" s="193" t="s">
        <v>95</v>
      </c>
      <c r="V28" s="179">
        <v>62</v>
      </c>
      <c r="W28" s="192" t="str">
        <f t="shared" si="17"/>
        <v>C</v>
      </c>
      <c r="X28" s="194" t="s">
        <v>69</v>
      </c>
      <c r="Y28" s="205">
        <f t="shared" si="1"/>
        <v>1</v>
      </c>
      <c r="Z28" s="206">
        <f t="shared" si="2"/>
        <v>6</v>
      </c>
      <c r="AA28" s="206">
        <f t="shared" si="3"/>
        <v>2</v>
      </c>
      <c r="AB28" s="206">
        <f t="shared" si="4"/>
        <v>0</v>
      </c>
      <c r="AC28" s="207">
        <f t="shared" si="5"/>
        <v>0</v>
      </c>
      <c r="AD28" s="208" t="str">
        <f t="shared" si="6"/>
        <v>P</v>
      </c>
      <c r="AE28" s="209" t="str">
        <f t="shared" si="18"/>
        <v>P</v>
      </c>
      <c r="AF28" s="210">
        <f t="shared" si="7"/>
        <v>605</v>
      </c>
      <c r="AG28" s="219">
        <f t="shared" si="8"/>
        <v>67.2222222222222</v>
      </c>
      <c r="AH28" s="207">
        <f t="shared" si="9"/>
        <v>16</v>
      </c>
    </row>
    <row r="29" spans="1:34" s="167" customFormat="1" ht="12.75" customHeight="1">
      <c r="A29" s="181">
        <v>22</v>
      </c>
      <c r="B29" s="177"/>
      <c r="C29" s="182" t="s">
        <v>136</v>
      </c>
      <c r="D29" s="179">
        <v>68</v>
      </c>
      <c r="E29" s="180" t="str">
        <f t="shared" si="10"/>
        <v>B</v>
      </c>
      <c r="F29" s="179">
        <v>42</v>
      </c>
      <c r="G29" s="180" t="str">
        <f t="shared" si="11"/>
        <v>S</v>
      </c>
      <c r="H29" s="179">
        <v>64</v>
      </c>
      <c r="I29" s="180" t="str">
        <f t="shared" si="12"/>
        <v>C</v>
      </c>
      <c r="J29" s="179">
        <v>65</v>
      </c>
      <c r="K29" s="180" t="str">
        <f t="shared" si="13"/>
        <v>B</v>
      </c>
      <c r="L29" s="179">
        <v>72</v>
      </c>
      <c r="M29" s="180" t="str">
        <f t="shared" si="14"/>
        <v>B</v>
      </c>
      <c r="N29" s="179">
        <v>73</v>
      </c>
      <c r="O29" s="180" t="str">
        <f t="shared" si="15"/>
        <v>B</v>
      </c>
      <c r="P29" s="179">
        <v>69</v>
      </c>
      <c r="Q29" s="192" t="str">
        <f t="shared" si="0"/>
        <v>B</v>
      </c>
      <c r="R29" s="193" t="s">
        <v>87</v>
      </c>
      <c r="S29" s="179">
        <v>57</v>
      </c>
      <c r="T29" s="192" t="str">
        <f t="shared" si="16"/>
        <v>C</v>
      </c>
      <c r="U29" s="193" t="s">
        <v>83</v>
      </c>
      <c r="V29" s="179">
        <v>46</v>
      </c>
      <c r="W29" s="192" t="str">
        <f t="shared" si="17"/>
        <v>S</v>
      </c>
      <c r="X29" s="194" t="s">
        <v>69</v>
      </c>
      <c r="Y29" s="205">
        <f t="shared" si="1"/>
        <v>0</v>
      </c>
      <c r="Z29" s="206">
        <f t="shared" si="2"/>
        <v>5</v>
      </c>
      <c r="AA29" s="206">
        <f t="shared" si="3"/>
        <v>2</v>
      </c>
      <c r="AB29" s="206">
        <f t="shared" si="4"/>
        <v>2</v>
      </c>
      <c r="AC29" s="207">
        <f t="shared" si="5"/>
        <v>0</v>
      </c>
      <c r="AD29" s="208" t="str">
        <f t="shared" si="6"/>
        <v>P</v>
      </c>
      <c r="AE29" s="209" t="str">
        <f t="shared" si="18"/>
        <v>P</v>
      </c>
      <c r="AF29" s="210">
        <f t="shared" si="7"/>
        <v>556</v>
      </c>
      <c r="AG29" s="219">
        <f t="shared" si="8"/>
        <v>61.7777777777778</v>
      </c>
      <c r="AH29" s="207">
        <f t="shared" si="9"/>
        <v>22</v>
      </c>
    </row>
    <row r="30" spans="1:34" s="167" customFormat="1" ht="12.75" customHeight="1">
      <c r="A30" s="181">
        <v>23</v>
      </c>
      <c r="B30" s="177"/>
      <c r="C30" s="182" t="s">
        <v>137</v>
      </c>
      <c r="D30" s="179">
        <v>53</v>
      </c>
      <c r="E30" s="180" t="str">
        <f t="shared" si="10"/>
        <v>C</v>
      </c>
      <c r="F30" s="179">
        <v>59</v>
      </c>
      <c r="G30" s="180" t="str">
        <f t="shared" si="11"/>
        <v>C</v>
      </c>
      <c r="H30" s="179">
        <v>56</v>
      </c>
      <c r="I30" s="180" t="str">
        <f t="shared" si="12"/>
        <v>C</v>
      </c>
      <c r="J30" s="179">
        <v>59</v>
      </c>
      <c r="K30" s="180" t="str">
        <f t="shared" si="13"/>
        <v>C</v>
      </c>
      <c r="L30" s="179">
        <v>61</v>
      </c>
      <c r="M30" s="180" t="str">
        <f t="shared" si="14"/>
        <v>C</v>
      </c>
      <c r="N30" s="179">
        <v>64</v>
      </c>
      <c r="O30" s="180" t="str">
        <f t="shared" si="15"/>
        <v>C</v>
      </c>
      <c r="P30" s="179">
        <v>57</v>
      </c>
      <c r="Q30" s="192" t="str">
        <f t="shared" si="0"/>
        <v>C</v>
      </c>
      <c r="R30" s="193" t="s">
        <v>87</v>
      </c>
      <c r="S30" s="179">
        <v>73</v>
      </c>
      <c r="T30" s="192" t="str">
        <f t="shared" si="16"/>
        <v>B</v>
      </c>
      <c r="U30" s="193" t="s">
        <v>67</v>
      </c>
      <c r="V30" s="179">
        <v>71</v>
      </c>
      <c r="W30" s="192" t="str">
        <f t="shared" si="17"/>
        <v>B</v>
      </c>
      <c r="X30" s="194" t="s">
        <v>77</v>
      </c>
      <c r="Y30" s="205">
        <f t="shared" si="1"/>
        <v>0</v>
      </c>
      <c r="Z30" s="206">
        <f t="shared" si="2"/>
        <v>2</v>
      </c>
      <c r="AA30" s="206">
        <f t="shared" si="3"/>
        <v>7</v>
      </c>
      <c r="AB30" s="206">
        <f t="shared" si="4"/>
        <v>0</v>
      </c>
      <c r="AC30" s="207">
        <f t="shared" si="5"/>
        <v>0</v>
      </c>
      <c r="AD30" s="208" t="str">
        <f t="shared" si="6"/>
        <v>P</v>
      </c>
      <c r="AE30" s="209" t="str">
        <f t="shared" si="18"/>
        <v>P</v>
      </c>
      <c r="AF30" s="210">
        <f t="shared" si="7"/>
        <v>553</v>
      </c>
      <c r="AG30" s="219">
        <f t="shared" si="8"/>
        <v>61.4444444444444</v>
      </c>
      <c r="AH30" s="207">
        <f t="shared" si="9"/>
        <v>23</v>
      </c>
    </row>
    <row r="31" spans="1:34" s="167" customFormat="1" ht="12.75" customHeight="1">
      <c r="A31" s="181">
        <v>24</v>
      </c>
      <c r="B31" s="177"/>
      <c r="C31" s="182" t="s">
        <v>138</v>
      </c>
      <c r="D31" s="179">
        <v>54</v>
      </c>
      <c r="E31" s="180" t="str">
        <f t="shared" si="10"/>
        <v>C</v>
      </c>
      <c r="F31" s="179" t="s">
        <v>47</v>
      </c>
      <c r="G31" s="180" t="str">
        <f t="shared" si="11"/>
        <v>ab</v>
      </c>
      <c r="H31" s="179">
        <v>67</v>
      </c>
      <c r="I31" s="180" t="str">
        <f t="shared" si="12"/>
        <v>B</v>
      </c>
      <c r="J31" s="179">
        <v>41</v>
      </c>
      <c r="K31" s="180" t="str">
        <f t="shared" si="13"/>
        <v>S</v>
      </c>
      <c r="L31" s="179">
        <v>66</v>
      </c>
      <c r="M31" s="180" t="str">
        <f t="shared" si="14"/>
        <v>B</v>
      </c>
      <c r="N31" s="179">
        <v>64</v>
      </c>
      <c r="O31" s="180" t="str">
        <f t="shared" si="15"/>
        <v>C</v>
      </c>
      <c r="P31" s="179">
        <v>61</v>
      </c>
      <c r="Q31" s="192" t="str">
        <f t="shared" si="0"/>
        <v>C</v>
      </c>
      <c r="R31" s="193" t="s">
        <v>87</v>
      </c>
      <c r="S31" s="179">
        <v>54</v>
      </c>
      <c r="T31" s="192" t="str">
        <f t="shared" si="16"/>
        <v>C</v>
      </c>
      <c r="U31" s="193"/>
      <c r="V31" s="179">
        <v>65</v>
      </c>
      <c r="W31" s="192" t="str">
        <f t="shared" si="17"/>
        <v>B</v>
      </c>
      <c r="X31" s="194" t="s">
        <v>77</v>
      </c>
      <c r="Y31" s="205">
        <f t="shared" si="1"/>
        <v>0</v>
      </c>
      <c r="Z31" s="206">
        <f t="shared" si="2"/>
        <v>3</v>
      </c>
      <c r="AA31" s="206">
        <f t="shared" si="3"/>
        <v>4</v>
      </c>
      <c r="AB31" s="206">
        <f t="shared" si="4"/>
        <v>1</v>
      </c>
      <c r="AC31" s="207">
        <f t="shared" si="5"/>
        <v>0</v>
      </c>
      <c r="AD31" s="208" t="str">
        <f t="shared" si="6"/>
        <v>P</v>
      </c>
      <c r="AE31" s="209" t="str">
        <f t="shared" si="18"/>
        <v>P</v>
      </c>
      <c r="AF31" s="210">
        <f t="shared" si="7"/>
        <v>472</v>
      </c>
      <c r="AG31" s="219">
        <f t="shared" si="8"/>
        <v>59</v>
      </c>
      <c r="AH31" s="207">
        <f t="shared" si="9"/>
        <v>37</v>
      </c>
    </row>
    <row r="32" spans="1:34" s="167" customFormat="1" ht="12.75" customHeight="1">
      <c r="A32" s="181">
        <v>25</v>
      </c>
      <c r="B32" s="177"/>
      <c r="C32" s="182" t="s">
        <v>139</v>
      </c>
      <c r="D32" s="179">
        <v>68</v>
      </c>
      <c r="E32" s="180" t="str">
        <f t="shared" si="10"/>
        <v>B</v>
      </c>
      <c r="F32" s="179">
        <v>53</v>
      </c>
      <c r="G32" s="180" t="str">
        <f t="shared" si="11"/>
        <v>C</v>
      </c>
      <c r="H32" s="179">
        <v>56</v>
      </c>
      <c r="I32" s="180" t="str">
        <f t="shared" si="12"/>
        <v>C</v>
      </c>
      <c r="J32" s="179">
        <v>58</v>
      </c>
      <c r="K32" s="180" t="str">
        <f t="shared" si="13"/>
        <v>C</v>
      </c>
      <c r="L32" s="179">
        <v>71</v>
      </c>
      <c r="M32" s="180" t="str">
        <f t="shared" si="14"/>
        <v>B</v>
      </c>
      <c r="N32" s="179">
        <v>65</v>
      </c>
      <c r="O32" s="180" t="str">
        <f t="shared" si="15"/>
        <v>B</v>
      </c>
      <c r="P32" s="179">
        <v>77</v>
      </c>
      <c r="Q32" s="192" t="str">
        <f t="shared" si="0"/>
        <v>A</v>
      </c>
      <c r="R32" s="193" t="s">
        <v>87</v>
      </c>
      <c r="S32" s="179">
        <v>55</v>
      </c>
      <c r="T32" s="192" t="str">
        <f t="shared" si="16"/>
        <v>C</v>
      </c>
      <c r="U32" s="193" t="s">
        <v>83</v>
      </c>
      <c r="V32" s="179">
        <v>63</v>
      </c>
      <c r="W32" s="192" t="str">
        <f t="shared" si="17"/>
        <v>C</v>
      </c>
      <c r="X32" s="194" t="s">
        <v>69</v>
      </c>
      <c r="Y32" s="205">
        <f t="shared" si="1"/>
        <v>1</v>
      </c>
      <c r="Z32" s="206">
        <f t="shared" si="2"/>
        <v>3</v>
      </c>
      <c r="AA32" s="206">
        <f t="shared" si="3"/>
        <v>5</v>
      </c>
      <c r="AB32" s="206">
        <f t="shared" si="4"/>
        <v>0</v>
      </c>
      <c r="AC32" s="207">
        <f t="shared" si="5"/>
        <v>0</v>
      </c>
      <c r="AD32" s="208" t="str">
        <f t="shared" si="6"/>
        <v>P</v>
      </c>
      <c r="AE32" s="209" t="str">
        <f t="shared" si="18"/>
        <v>P</v>
      </c>
      <c r="AF32" s="210">
        <f t="shared" si="7"/>
        <v>566</v>
      </c>
      <c r="AG32" s="219">
        <f t="shared" si="8"/>
        <v>62.8888888888889</v>
      </c>
      <c r="AH32" s="207">
        <f t="shared" si="9"/>
        <v>20</v>
      </c>
    </row>
    <row r="33" spans="1:34" s="167" customFormat="1" ht="12.75" customHeight="1">
      <c r="A33" s="181">
        <v>26</v>
      </c>
      <c r="B33" s="177"/>
      <c r="C33" s="182" t="s">
        <v>140</v>
      </c>
      <c r="D33" s="179">
        <v>52</v>
      </c>
      <c r="E33" s="180" t="str">
        <f t="shared" si="10"/>
        <v>C</v>
      </c>
      <c r="F33" s="179">
        <v>49</v>
      </c>
      <c r="G33" s="180" t="str">
        <f t="shared" si="11"/>
        <v>S</v>
      </c>
      <c r="H33" s="179">
        <v>53</v>
      </c>
      <c r="I33" s="180" t="str">
        <f t="shared" si="12"/>
        <v>C</v>
      </c>
      <c r="J33" s="179">
        <v>50</v>
      </c>
      <c r="K33" s="180" t="str">
        <f t="shared" si="13"/>
        <v>C</v>
      </c>
      <c r="L33" s="179">
        <v>61</v>
      </c>
      <c r="M33" s="180" t="str">
        <f t="shared" si="14"/>
        <v>C</v>
      </c>
      <c r="N33" s="179">
        <v>53</v>
      </c>
      <c r="O33" s="180" t="str">
        <f t="shared" si="15"/>
        <v>C</v>
      </c>
      <c r="P33" s="179">
        <v>47</v>
      </c>
      <c r="Q33" s="192" t="str">
        <f t="shared" si="0"/>
        <v>S</v>
      </c>
      <c r="R33" s="193" t="s">
        <v>87</v>
      </c>
      <c r="S33" s="179">
        <v>55</v>
      </c>
      <c r="T33" s="192" t="str">
        <f t="shared" si="16"/>
        <v>C</v>
      </c>
      <c r="U33" s="193" t="s">
        <v>67</v>
      </c>
      <c r="V33" s="179">
        <v>65</v>
      </c>
      <c r="W33" s="192" t="str">
        <f t="shared" si="17"/>
        <v>B</v>
      </c>
      <c r="X33" s="194" t="s">
        <v>77</v>
      </c>
      <c r="Y33" s="205">
        <f t="shared" si="1"/>
        <v>0</v>
      </c>
      <c r="Z33" s="206">
        <f t="shared" si="2"/>
        <v>1</v>
      </c>
      <c r="AA33" s="206">
        <f t="shared" si="3"/>
        <v>6</v>
      </c>
      <c r="AB33" s="206">
        <f t="shared" si="4"/>
        <v>2</v>
      </c>
      <c r="AC33" s="207">
        <f t="shared" si="5"/>
        <v>0</v>
      </c>
      <c r="AD33" s="208" t="str">
        <f t="shared" si="6"/>
        <v>P</v>
      </c>
      <c r="AE33" s="209" t="str">
        <f t="shared" si="18"/>
        <v>P</v>
      </c>
      <c r="AF33" s="210">
        <f t="shared" si="7"/>
        <v>485</v>
      </c>
      <c r="AG33" s="219">
        <f t="shared" si="8"/>
        <v>53.8888888888889</v>
      </c>
      <c r="AH33" s="207">
        <f t="shared" si="9"/>
        <v>34</v>
      </c>
    </row>
    <row r="34" spans="1:34" s="167" customFormat="1" ht="12.75" customHeight="1">
      <c r="A34" s="181">
        <v>27</v>
      </c>
      <c r="B34" s="177"/>
      <c r="C34" s="182" t="s">
        <v>141</v>
      </c>
      <c r="D34" s="179">
        <v>68</v>
      </c>
      <c r="E34" s="180" t="str">
        <f t="shared" si="10"/>
        <v>B</v>
      </c>
      <c r="F34" s="179">
        <v>66</v>
      </c>
      <c r="G34" s="180" t="str">
        <f t="shared" si="11"/>
        <v>B</v>
      </c>
      <c r="H34" s="179">
        <v>76</v>
      </c>
      <c r="I34" s="180" t="str">
        <f t="shared" si="12"/>
        <v>A</v>
      </c>
      <c r="J34" s="179">
        <v>50</v>
      </c>
      <c r="K34" s="180" t="str">
        <f t="shared" si="13"/>
        <v>C</v>
      </c>
      <c r="L34" s="179">
        <v>75</v>
      </c>
      <c r="M34" s="180" t="str">
        <f t="shared" si="14"/>
        <v>A</v>
      </c>
      <c r="N34" s="179">
        <v>60</v>
      </c>
      <c r="O34" s="180" t="str">
        <f t="shared" si="15"/>
        <v>C</v>
      </c>
      <c r="P34" s="179">
        <v>69</v>
      </c>
      <c r="Q34" s="192" t="str">
        <f t="shared" si="0"/>
        <v>B</v>
      </c>
      <c r="R34" s="193" t="s">
        <v>87</v>
      </c>
      <c r="S34" s="179">
        <v>92</v>
      </c>
      <c r="T34" s="192" t="str">
        <f t="shared" si="16"/>
        <v>A</v>
      </c>
      <c r="U34" s="193"/>
      <c r="V34" s="179">
        <v>63</v>
      </c>
      <c r="W34" s="192" t="str">
        <f t="shared" si="17"/>
        <v>C</v>
      </c>
      <c r="X34" s="194" t="s">
        <v>77</v>
      </c>
      <c r="Y34" s="205">
        <f t="shared" si="1"/>
        <v>3</v>
      </c>
      <c r="Z34" s="206">
        <f t="shared" si="2"/>
        <v>3</v>
      </c>
      <c r="AA34" s="206">
        <f t="shared" si="3"/>
        <v>3</v>
      </c>
      <c r="AB34" s="206">
        <f t="shared" si="4"/>
        <v>0</v>
      </c>
      <c r="AC34" s="207">
        <f t="shared" si="5"/>
        <v>0</v>
      </c>
      <c r="AD34" s="208" t="str">
        <f t="shared" si="6"/>
        <v>P</v>
      </c>
      <c r="AE34" s="209" t="str">
        <f t="shared" si="18"/>
        <v>P</v>
      </c>
      <c r="AF34" s="210">
        <f t="shared" si="7"/>
        <v>619</v>
      </c>
      <c r="AG34" s="219">
        <f t="shared" si="8"/>
        <v>68.7777777777778</v>
      </c>
      <c r="AH34" s="207">
        <f t="shared" si="9"/>
        <v>14</v>
      </c>
    </row>
    <row r="35" spans="1:34" s="167" customFormat="1" ht="12.75" customHeight="1">
      <c r="A35" s="181">
        <v>28</v>
      </c>
      <c r="B35" s="177"/>
      <c r="C35" s="182" t="s">
        <v>142</v>
      </c>
      <c r="D35" s="179">
        <v>80</v>
      </c>
      <c r="E35" s="180" t="str">
        <f t="shared" si="10"/>
        <v>A</v>
      </c>
      <c r="F35" s="179">
        <v>68</v>
      </c>
      <c r="G35" s="180" t="str">
        <f t="shared" si="11"/>
        <v>B</v>
      </c>
      <c r="H35" s="179">
        <v>83</v>
      </c>
      <c r="I35" s="180" t="str">
        <f t="shared" si="12"/>
        <v>A</v>
      </c>
      <c r="J35" s="179">
        <v>69</v>
      </c>
      <c r="K35" s="180" t="str">
        <f t="shared" si="13"/>
        <v>B</v>
      </c>
      <c r="L35" s="179">
        <v>83</v>
      </c>
      <c r="M35" s="180" t="str">
        <f t="shared" si="14"/>
        <v>A</v>
      </c>
      <c r="N35" s="179">
        <v>83</v>
      </c>
      <c r="O35" s="180" t="str">
        <f t="shared" si="15"/>
        <v>A</v>
      </c>
      <c r="P35" s="179">
        <v>79</v>
      </c>
      <c r="Q35" s="192" t="str">
        <f t="shared" si="0"/>
        <v>A</v>
      </c>
      <c r="R35" s="193" t="s">
        <v>87</v>
      </c>
      <c r="S35" s="179">
        <v>92</v>
      </c>
      <c r="T35" s="192" t="str">
        <f t="shared" si="16"/>
        <v>A</v>
      </c>
      <c r="U35" s="193" t="s">
        <v>67</v>
      </c>
      <c r="V35" s="179">
        <v>75</v>
      </c>
      <c r="W35" s="192" t="str">
        <f t="shared" si="17"/>
        <v>A</v>
      </c>
      <c r="X35" s="194" t="s">
        <v>77</v>
      </c>
      <c r="Y35" s="205">
        <f t="shared" si="1"/>
        <v>7</v>
      </c>
      <c r="Z35" s="206">
        <f t="shared" si="2"/>
        <v>2</v>
      </c>
      <c r="AA35" s="206">
        <f t="shared" si="3"/>
        <v>0</v>
      </c>
      <c r="AB35" s="206">
        <f t="shared" si="4"/>
        <v>0</v>
      </c>
      <c r="AC35" s="207">
        <f t="shared" si="5"/>
        <v>0</v>
      </c>
      <c r="AD35" s="208" t="str">
        <f t="shared" si="6"/>
        <v>P</v>
      </c>
      <c r="AE35" s="209" t="str">
        <f t="shared" si="18"/>
        <v>P</v>
      </c>
      <c r="AF35" s="210">
        <f t="shared" si="7"/>
        <v>712</v>
      </c>
      <c r="AG35" s="219">
        <f t="shared" si="8"/>
        <v>79.1111111111111</v>
      </c>
      <c r="AH35" s="207">
        <f t="shared" si="9"/>
        <v>3</v>
      </c>
    </row>
    <row r="36" spans="1:34" s="167" customFormat="1" ht="12.75" customHeight="1">
      <c r="A36" s="181">
        <v>29</v>
      </c>
      <c r="B36" s="177"/>
      <c r="C36" s="182" t="s">
        <v>143</v>
      </c>
      <c r="D36" s="179">
        <v>87</v>
      </c>
      <c r="E36" s="180" t="str">
        <f t="shared" si="10"/>
        <v>A</v>
      </c>
      <c r="F36" s="179">
        <v>73</v>
      </c>
      <c r="G36" s="180" t="str">
        <f t="shared" si="11"/>
        <v>B</v>
      </c>
      <c r="H36" s="179">
        <v>81</v>
      </c>
      <c r="I36" s="180" t="str">
        <f t="shared" si="12"/>
        <v>A</v>
      </c>
      <c r="J36" s="179">
        <v>65</v>
      </c>
      <c r="K36" s="180" t="str">
        <f t="shared" si="13"/>
        <v>B</v>
      </c>
      <c r="L36" s="179">
        <v>91</v>
      </c>
      <c r="M36" s="180" t="str">
        <f t="shared" si="14"/>
        <v>A</v>
      </c>
      <c r="N36" s="179">
        <v>78</v>
      </c>
      <c r="O36" s="180" t="str">
        <f t="shared" si="15"/>
        <v>A</v>
      </c>
      <c r="P36" s="179">
        <v>85</v>
      </c>
      <c r="Q36" s="192" t="str">
        <f t="shared" si="0"/>
        <v>A</v>
      </c>
      <c r="R36" s="193" t="s">
        <v>87</v>
      </c>
      <c r="S36" s="179">
        <v>76</v>
      </c>
      <c r="T36" s="192" t="str">
        <f t="shared" si="16"/>
        <v>A</v>
      </c>
      <c r="U36" s="193" t="s">
        <v>89</v>
      </c>
      <c r="V36" s="179">
        <v>80</v>
      </c>
      <c r="W36" s="192" t="str">
        <f t="shared" si="17"/>
        <v>A</v>
      </c>
      <c r="X36" s="194" t="s">
        <v>77</v>
      </c>
      <c r="Y36" s="205">
        <f t="shared" si="1"/>
        <v>7</v>
      </c>
      <c r="Z36" s="206">
        <f t="shared" si="2"/>
        <v>2</v>
      </c>
      <c r="AA36" s="206">
        <f t="shared" si="3"/>
        <v>0</v>
      </c>
      <c r="AB36" s="206">
        <f t="shared" si="4"/>
        <v>0</v>
      </c>
      <c r="AC36" s="207">
        <f t="shared" si="5"/>
        <v>0</v>
      </c>
      <c r="AD36" s="208" t="str">
        <f t="shared" si="6"/>
        <v>P</v>
      </c>
      <c r="AE36" s="209" t="str">
        <f t="shared" si="18"/>
        <v>P</v>
      </c>
      <c r="AF36" s="210">
        <f t="shared" si="7"/>
        <v>716</v>
      </c>
      <c r="AG36" s="219">
        <f t="shared" si="8"/>
        <v>79.5555555555556</v>
      </c>
      <c r="AH36" s="207">
        <f t="shared" si="9"/>
        <v>2</v>
      </c>
    </row>
    <row r="37" spans="1:34" s="167" customFormat="1" ht="12.75" customHeight="1">
      <c r="A37" s="181">
        <v>30</v>
      </c>
      <c r="B37" s="177"/>
      <c r="C37" s="182" t="s">
        <v>144</v>
      </c>
      <c r="D37" s="179">
        <v>69</v>
      </c>
      <c r="E37" s="180" t="str">
        <f t="shared" si="10"/>
        <v>B</v>
      </c>
      <c r="F37" s="179" t="s">
        <v>47</v>
      </c>
      <c r="G37" s="180" t="str">
        <f t="shared" si="11"/>
        <v>ab</v>
      </c>
      <c r="H37" s="179">
        <v>73</v>
      </c>
      <c r="I37" s="180" t="str">
        <f t="shared" si="12"/>
        <v>B</v>
      </c>
      <c r="J37" s="179">
        <v>65</v>
      </c>
      <c r="K37" s="180" t="str">
        <f t="shared" si="13"/>
        <v>B</v>
      </c>
      <c r="L37" s="179">
        <v>83</v>
      </c>
      <c r="M37" s="180" t="str">
        <f t="shared" si="14"/>
        <v>A</v>
      </c>
      <c r="N37" s="179" t="s">
        <v>47</v>
      </c>
      <c r="O37" s="180" t="str">
        <f t="shared" si="15"/>
        <v>ab</v>
      </c>
      <c r="P37" s="179">
        <v>92</v>
      </c>
      <c r="Q37" s="192" t="str">
        <f t="shared" si="0"/>
        <v>A</v>
      </c>
      <c r="R37" s="193" t="s">
        <v>87</v>
      </c>
      <c r="S37" s="179" t="s">
        <v>47</v>
      </c>
      <c r="T37" s="192" t="str">
        <f t="shared" si="16"/>
        <v>ab</v>
      </c>
      <c r="U37" s="193"/>
      <c r="V37" s="179" t="s">
        <v>47</v>
      </c>
      <c r="W37" s="192" t="str">
        <f t="shared" si="17"/>
        <v>ab</v>
      </c>
      <c r="X37" s="194"/>
      <c r="Y37" s="205">
        <f t="shared" si="1"/>
        <v>2</v>
      </c>
      <c r="Z37" s="206">
        <f t="shared" si="2"/>
        <v>3</v>
      </c>
      <c r="AA37" s="206">
        <f t="shared" si="3"/>
        <v>0</v>
      </c>
      <c r="AB37" s="206">
        <f t="shared" si="4"/>
        <v>0</v>
      </c>
      <c r="AC37" s="207">
        <f t="shared" si="5"/>
        <v>0</v>
      </c>
      <c r="AD37" s="208" t="str">
        <f t="shared" si="6"/>
        <v>F</v>
      </c>
      <c r="AE37" s="209" t="str">
        <f t="shared" si="18"/>
        <v>Q2</v>
      </c>
      <c r="AF37" s="210">
        <f t="shared" si="7"/>
        <v>382</v>
      </c>
      <c r="AG37" s="219">
        <f t="shared" si="8"/>
        <v>76.400000000000006</v>
      </c>
      <c r="AH37" s="207">
        <f t="shared" si="9"/>
        <v>40</v>
      </c>
    </row>
    <row r="38" spans="1:34" s="167" customFormat="1" ht="12.75" customHeight="1">
      <c r="A38" s="181">
        <v>31</v>
      </c>
      <c r="B38" s="177"/>
      <c r="C38" s="182" t="s">
        <v>145</v>
      </c>
      <c r="D38" s="179">
        <v>73</v>
      </c>
      <c r="E38" s="180" t="str">
        <f t="shared" si="10"/>
        <v>B</v>
      </c>
      <c r="F38" s="179">
        <v>75</v>
      </c>
      <c r="G38" s="180" t="str">
        <f t="shared" si="11"/>
        <v>A</v>
      </c>
      <c r="H38" s="179">
        <v>70</v>
      </c>
      <c r="I38" s="180" t="str">
        <f t="shared" si="12"/>
        <v>B</v>
      </c>
      <c r="J38" s="179">
        <v>65</v>
      </c>
      <c r="K38" s="180" t="str">
        <f t="shared" si="13"/>
        <v>B</v>
      </c>
      <c r="L38" s="179">
        <v>77</v>
      </c>
      <c r="M38" s="180" t="str">
        <f t="shared" si="14"/>
        <v>A</v>
      </c>
      <c r="N38" s="179">
        <v>67</v>
      </c>
      <c r="O38" s="180" t="str">
        <f t="shared" si="15"/>
        <v>B</v>
      </c>
      <c r="P38" s="179">
        <v>74</v>
      </c>
      <c r="Q38" s="192" t="str">
        <f t="shared" si="0"/>
        <v>B</v>
      </c>
      <c r="R38" s="193" t="s">
        <v>87</v>
      </c>
      <c r="S38" s="179">
        <v>65</v>
      </c>
      <c r="T38" s="192" t="str">
        <f t="shared" si="16"/>
        <v>B</v>
      </c>
      <c r="U38" s="193" t="s">
        <v>95</v>
      </c>
      <c r="V38" s="179">
        <v>64</v>
      </c>
      <c r="W38" s="192" t="str">
        <f t="shared" si="17"/>
        <v>C</v>
      </c>
      <c r="X38" s="194" t="s">
        <v>77</v>
      </c>
      <c r="Y38" s="205">
        <f t="shared" si="1"/>
        <v>2</v>
      </c>
      <c r="Z38" s="206">
        <f t="shared" si="2"/>
        <v>6</v>
      </c>
      <c r="AA38" s="206">
        <f t="shared" si="3"/>
        <v>1</v>
      </c>
      <c r="AB38" s="206">
        <f t="shared" si="4"/>
        <v>0</v>
      </c>
      <c r="AC38" s="207">
        <f t="shared" si="5"/>
        <v>0</v>
      </c>
      <c r="AD38" s="208" t="str">
        <f t="shared" si="6"/>
        <v>P</v>
      </c>
      <c r="AE38" s="209" t="str">
        <f t="shared" si="18"/>
        <v>P</v>
      </c>
      <c r="AF38" s="210">
        <f t="shared" si="7"/>
        <v>630</v>
      </c>
      <c r="AG38" s="219">
        <f t="shared" si="8"/>
        <v>70</v>
      </c>
      <c r="AH38" s="207">
        <f t="shared" si="9"/>
        <v>11</v>
      </c>
    </row>
    <row r="39" spans="1:34" s="167" customFormat="1" ht="12.75" customHeight="1">
      <c r="A39" s="181">
        <v>32</v>
      </c>
      <c r="B39" s="177"/>
      <c r="C39" s="182" t="s">
        <v>146</v>
      </c>
      <c r="D39" s="179" t="s">
        <v>47</v>
      </c>
      <c r="E39" s="180" t="str">
        <f t="shared" si="10"/>
        <v>ab</v>
      </c>
      <c r="F39" s="179" t="s">
        <v>47</v>
      </c>
      <c r="G39" s="180" t="str">
        <f t="shared" si="11"/>
        <v>ab</v>
      </c>
      <c r="H39" s="179">
        <v>58</v>
      </c>
      <c r="I39" s="180" t="str">
        <f t="shared" si="12"/>
        <v>C</v>
      </c>
      <c r="J39" s="179">
        <v>42</v>
      </c>
      <c r="K39" s="180" t="str">
        <f t="shared" si="13"/>
        <v>S</v>
      </c>
      <c r="L39" s="179">
        <v>84</v>
      </c>
      <c r="M39" s="180" t="str">
        <f t="shared" si="14"/>
        <v>A</v>
      </c>
      <c r="N39" s="179">
        <v>48</v>
      </c>
      <c r="O39" s="180" t="str">
        <f t="shared" si="15"/>
        <v>S</v>
      </c>
      <c r="P39" s="179">
        <v>51</v>
      </c>
      <c r="Q39" s="192" t="str">
        <f t="shared" si="0"/>
        <v>C</v>
      </c>
      <c r="R39" s="193" t="s">
        <v>87</v>
      </c>
      <c r="S39" s="179">
        <v>64</v>
      </c>
      <c r="T39" s="192" t="str">
        <f t="shared" si="16"/>
        <v>C</v>
      </c>
      <c r="U39" s="193"/>
      <c r="V39" s="179">
        <v>26</v>
      </c>
      <c r="W39" s="192" t="str">
        <f t="shared" si="17"/>
        <v>W</v>
      </c>
      <c r="X39" s="194" t="s">
        <v>69</v>
      </c>
      <c r="Y39" s="205">
        <f t="shared" si="1"/>
        <v>1</v>
      </c>
      <c r="Z39" s="206">
        <f t="shared" si="2"/>
        <v>0</v>
      </c>
      <c r="AA39" s="206">
        <f t="shared" si="3"/>
        <v>3</v>
      </c>
      <c r="AB39" s="206">
        <f t="shared" si="4"/>
        <v>2</v>
      </c>
      <c r="AC39" s="207">
        <f t="shared" si="5"/>
        <v>1</v>
      </c>
      <c r="AD39" s="208" t="str">
        <f t="shared" si="6"/>
        <v>P</v>
      </c>
      <c r="AE39" s="209" t="str">
        <f t="shared" si="18"/>
        <v>P</v>
      </c>
      <c r="AF39" s="210">
        <f t="shared" si="7"/>
        <v>373</v>
      </c>
      <c r="AG39" s="219">
        <f t="shared" si="8"/>
        <v>53.285714285714299</v>
      </c>
      <c r="AH39" s="207">
        <f t="shared" si="9"/>
        <v>42</v>
      </c>
    </row>
    <row r="40" spans="1:34" s="167" customFormat="1" ht="12.75" customHeight="1">
      <c r="A40" s="181">
        <v>33</v>
      </c>
      <c r="B40" s="177"/>
      <c r="C40" s="182" t="s">
        <v>147</v>
      </c>
      <c r="D40" s="179">
        <v>83</v>
      </c>
      <c r="E40" s="180" t="str">
        <f t="shared" si="10"/>
        <v>A</v>
      </c>
      <c r="F40" s="179">
        <v>58</v>
      </c>
      <c r="G40" s="180" t="str">
        <f t="shared" si="11"/>
        <v>C</v>
      </c>
      <c r="H40" s="179">
        <v>77</v>
      </c>
      <c r="I40" s="180" t="str">
        <f t="shared" si="12"/>
        <v>A</v>
      </c>
      <c r="J40" s="179">
        <v>66</v>
      </c>
      <c r="K40" s="180" t="str">
        <f t="shared" si="13"/>
        <v>B</v>
      </c>
      <c r="L40" s="179">
        <v>78</v>
      </c>
      <c r="M40" s="180" t="str">
        <f t="shared" si="14"/>
        <v>A</v>
      </c>
      <c r="N40" s="179">
        <v>50</v>
      </c>
      <c r="O40" s="180" t="str">
        <f t="shared" si="15"/>
        <v>C</v>
      </c>
      <c r="P40" s="179">
        <v>76</v>
      </c>
      <c r="Q40" s="192" t="str">
        <f t="shared" si="0"/>
        <v>A</v>
      </c>
      <c r="R40" s="193" t="s">
        <v>87</v>
      </c>
      <c r="S40" s="179">
        <v>64</v>
      </c>
      <c r="T40" s="192" t="str">
        <f t="shared" si="16"/>
        <v>C</v>
      </c>
      <c r="U40" s="193" t="s">
        <v>95</v>
      </c>
      <c r="V40" s="179">
        <v>71</v>
      </c>
      <c r="W40" s="192" t="str">
        <f t="shared" si="17"/>
        <v>B</v>
      </c>
      <c r="X40" s="194" t="s">
        <v>77</v>
      </c>
      <c r="Y40" s="205">
        <f t="shared" si="1"/>
        <v>4</v>
      </c>
      <c r="Z40" s="206">
        <f t="shared" si="2"/>
        <v>2</v>
      </c>
      <c r="AA40" s="206">
        <f t="shared" si="3"/>
        <v>3</v>
      </c>
      <c r="AB40" s="206">
        <f t="shared" si="4"/>
        <v>0</v>
      </c>
      <c r="AC40" s="207">
        <f t="shared" si="5"/>
        <v>0</v>
      </c>
      <c r="AD40" s="208" t="str">
        <f t="shared" si="6"/>
        <v>P</v>
      </c>
      <c r="AE40" s="209" t="str">
        <f t="shared" si="18"/>
        <v>P</v>
      </c>
      <c r="AF40" s="210">
        <f t="shared" si="7"/>
        <v>623</v>
      </c>
      <c r="AG40" s="219">
        <f t="shared" si="8"/>
        <v>69.2222222222222</v>
      </c>
      <c r="AH40" s="207">
        <f t="shared" si="9"/>
        <v>13</v>
      </c>
    </row>
    <row r="41" spans="1:34" s="167" customFormat="1" ht="12.75" customHeight="1">
      <c r="A41" s="181">
        <v>34</v>
      </c>
      <c r="B41" s="177"/>
      <c r="C41" s="182" t="s">
        <v>148</v>
      </c>
      <c r="D41" s="179" t="s">
        <v>47</v>
      </c>
      <c r="E41" s="180" t="str">
        <f t="shared" si="10"/>
        <v>ab</v>
      </c>
      <c r="F41" s="179" t="s">
        <v>47</v>
      </c>
      <c r="G41" s="180" t="str">
        <f t="shared" si="11"/>
        <v>ab</v>
      </c>
      <c r="H41" s="179">
        <v>52</v>
      </c>
      <c r="I41" s="180" t="str">
        <f t="shared" si="12"/>
        <v>C</v>
      </c>
      <c r="J41" s="179">
        <v>57</v>
      </c>
      <c r="K41" s="180" t="str">
        <f t="shared" si="13"/>
        <v>C</v>
      </c>
      <c r="L41" s="179">
        <v>80</v>
      </c>
      <c r="M41" s="180" t="str">
        <f t="shared" si="14"/>
        <v>A</v>
      </c>
      <c r="N41" s="179">
        <v>38</v>
      </c>
      <c r="O41" s="180" t="str">
        <f t="shared" si="15"/>
        <v>W</v>
      </c>
      <c r="P41" s="179">
        <v>52</v>
      </c>
      <c r="Q41" s="192" t="str">
        <f t="shared" si="0"/>
        <v>C</v>
      </c>
      <c r="R41" s="193" t="s">
        <v>87</v>
      </c>
      <c r="S41" s="179">
        <v>56</v>
      </c>
      <c r="T41" s="192" t="str">
        <f t="shared" si="16"/>
        <v>C</v>
      </c>
      <c r="U41" s="193"/>
      <c r="V41" s="179">
        <v>65</v>
      </c>
      <c r="W41" s="192" t="str">
        <f t="shared" si="17"/>
        <v>B</v>
      </c>
      <c r="X41" s="194" t="s">
        <v>77</v>
      </c>
      <c r="Y41" s="205">
        <f t="shared" si="1"/>
        <v>1</v>
      </c>
      <c r="Z41" s="206">
        <f t="shared" si="2"/>
        <v>1</v>
      </c>
      <c r="AA41" s="206">
        <f t="shared" si="3"/>
        <v>4</v>
      </c>
      <c r="AB41" s="206">
        <f t="shared" si="4"/>
        <v>0</v>
      </c>
      <c r="AC41" s="207">
        <f t="shared" si="5"/>
        <v>1</v>
      </c>
      <c r="AD41" s="208" t="str">
        <f t="shared" si="6"/>
        <v>P</v>
      </c>
      <c r="AE41" s="209" t="str">
        <f t="shared" si="18"/>
        <v>P</v>
      </c>
      <c r="AF41" s="210">
        <f t="shared" si="7"/>
        <v>400</v>
      </c>
      <c r="AG41" s="219">
        <f t="shared" si="8"/>
        <v>57.142857142857103</v>
      </c>
      <c r="AH41" s="207">
        <f t="shared" si="9"/>
        <v>39</v>
      </c>
    </row>
    <row r="42" spans="1:34" s="167" customFormat="1" ht="12.75" customHeight="1">
      <c r="A42" s="181">
        <v>35</v>
      </c>
      <c r="B42" s="177"/>
      <c r="C42" s="182" t="s">
        <v>149</v>
      </c>
      <c r="D42" s="179">
        <v>54</v>
      </c>
      <c r="E42" s="180" t="str">
        <f t="shared" si="10"/>
        <v>C</v>
      </c>
      <c r="F42" s="179" t="s">
        <v>47</v>
      </c>
      <c r="G42" s="180" t="str">
        <f t="shared" si="11"/>
        <v>ab</v>
      </c>
      <c r="H42" s="179">
        <v>77</v>
      </c>
      <c r="I42" s="180" t="str">
        <f t="shared" si="12"/>
        <v>A</v>
      </c>
      <c r="J42" s="179">
        <v>47</v>
      </c>
      <c r="K42" s="180" t="str">
        <f t="shared" si="13"/>
        <v>S</v>
      </c>
      <c r="L42" s="179">
        <v>66</v>
      </c>
      <c r="M42" s="180" t="str">
        <f t="shared" si="14"/>
        <v>B</v>
      </c>
      <c r="N42" s="179">
        <v>55</v>
      </c>
      <c r="O42" s="180" t="str">
        <f t="shared" si="15"/>
        <v>C</v>
      </c>
      <c r="P42" s="179">
        <v>53</v>
      </c>
      <c r="Q42" s="192" t="str">
        <f t="shared" si="0"/>
        <v>C</v>
      </c>
      <c r="R42" s="193" t="s">
        <v>87</v>
      </c>
      <c r="S42" s="179">
        <v>79</v>
      </c>
      <c r="T42" s="192" t="str">
        <f t="shared" si="16"/>
        <v>A</v>
      </c>
      <c r="U42" s="193"/>
      <c r="V42" s="179">
        <v>55</v>
      </c>
      <c r="W42" s="192" t="str">
        <f t="shared" si="17"/>
        <v>C</v>
      </c>
      <c r="X42" s="194" t="s">
        <v>77</v>
      </c>
      <c r="Y42" s="205">
        <f t="shared" si="1"/>
        <v>2</v>
      </c>
      <c r="Z42" s="206">
        <f t="shared" si="2"/>
        <v>1</v>
      </c>
      <c r="AA42" s="206">
        <f t="shared" si="3"/>
        <v>4</v>
      </c>
      <c r="AB42" s="206">
        <f t="shared" si="4"/>
        <v>1</v>
      </c>
      <c r="AC42" s="207">
        <f t="shared" si="5"/>
        <v>0</v>
      </c>
      <c r="AD42" s="208" t="str">
        <f t="shared" si="6"/>
        <v>P</v>
      </c>
      <c r="AE42" s="209" t="str">
        <f t="shared" si="18"/>
        <v>P</v>
      </c>
      <c r="AF42" s="210">
        <f t="shared" si="7"/>
        <v>486</v>
      </c>
      <c r="AG42" s="219">
        <f t="shared" si="8"/>
        <v>60.75</v>
      </c>
      <c r="AH42" s="207">
        <f t="shared" si="9"/>
        <v>33</v>
      </c>
    </row>
    <row r="43" spans="1:34" s="167" customFormat="1" ht="12.75" customHeight="1">
      <c r="A43" s="181">
        <v>36</v>
      </c>
      <c r="B43" s="177"/>
      <c r="C43" s="182" t="s">
        <v>150</v>
      </c>
      <c r="D43" s="179">
        <v>61</v>
      </c>
      <c r="E43" s="180" t="str">
        <f t="shared" si="10"/>
        <v>C</v>
      </c>
      <c r="F43" s="179" t="s">
        <v>47</v>
      </c>
      <c r="G43" s="180" t="str">
        <f t="shared" si="11"/>
        <v>ab</v>
      </c>
      <c r="H43" s="179">
        <v>62</v>
      </c>
      <c r="I43" s="180" t="str">
        <f t="shared" si="12"/>
        <v>C</v>
      </c>
      <c r="J43" s="179">
        <v>66</v>
      </c>
      <c r="K43" s="180" t="str">
        <f t="shared" si="13"/>
        <v>B</v>
      </c>
      <c r="L43" s="179">
        <v>61</v>
      </c>
      <c r="M43" s="180" t="str">
        <f t="shared" si="14"/>
        <v>C</v>
      </c>
      <c r="N43" s="179">
        <v>57</v>
      </c>
      <c r="O43" s="180" t="str">
        <f t="shared" si="15"/>
        <v>C</v>
      </c>
      <c r="P43" s="179">
        <v>58</v>
      </c>
      <c r="Q43" s="192" t="str">
        <f t="shared" si="0"/>
        <v>C</v>
      </c>
      <c r="R43" s="193" t="s">
        <v>87</v>
      </c>
      <c r="S43" s="179">
        <v>72</v>
      </c>
      <c r="T43" s="192" t="str">
        <f t="shared" si="16"/>
        <v>B</v>
      </c>
      <c r="U43" s="193"/>
      <c r="V43" s="179">
        <v>63</v>
      </c>
      <c r="W43" s="192" t="str">
        <f t="shared" si="17"/>
        <v>C</v>
      </c>
      <c r="X43" s="194" t="s">
        <v>77</v>
      </c>
      <c r="Y43" s="205">
        <f t="shared" si="1"/>
        <v>0</v>
      </c>
      <c r="Z43" s="206">
        <f t="shared" si="2"/>
        <v>2</v>
      </c>
      <c r="AA43" s="206">
        <f t="shared" si="3"/>
        <v>6</v>
      </c>
      <c r="AB43" s="206">
        <f t="shared" si="4"/>
        <v>0</v>
      </c>
      <c r="AC43" s="207">
        <f t="shared" si="5"/>
        <v>0</v>
      </c>
      <c r="AD43" s="208" t="str">
        <f t="shared" si="6"/>
        <v>P</v>
      </c>
      <c r="AE43" s="209" t="str">
        <f t="shared" si="18"/>
        <v>P</v>
      </c>
      <c r="AF43" s="210">
        <f t="shared" si="7"/>
        <v>500</v>
      </c>
      <c r="AG43" s="219">
        <f t="shared" si="8"/>
        <v>62.5</v>
      </c>
      <c r="AH43" s="207">
        <f t="shared" si="9"/>
        <v>32</v>
      </c>
    </row>
    <row r="44" spans="1:34" s="167" customFormat="1" ht="12.75" customHeight="1">
      <c r="A44" s="181">
        <v>37</v>
      </c>
      <c r="B44" s="177"/>
      <c r="C44" s="182" t="s">
        <v>151</v>
      </c>
      <c r="D44" s="179">
        <v>76</v>
      </c>
      <c r="E44" s="180" t="str">
        <f t="shared" si="10"/>
        <v>A</v>
      </c>
      <c r="F44" s="179">
        <v>73</v>
      </c>
      <c r="G44" s="180" t="str">
        <f t="shared" si="11"/>
        <v>B</v>
      </c>
      <c r="H44" s="179">
        <v>79</v>
      </c>
      <c r="I44" s="180" t="str">
        <f t="shared" si="12"/>
        <v>A</v>
      </c>
      <c r="J44" s="179">
        <v>47</v>
      </c>
      <c r="K44" s="180" t="str">
        <f t="shared" si="13"/>
        <v>S</v>
      </c>
      <c r="L44" s="179">
        <v>82</v>
      </c>
      <c r="M44" s="180" t="str">
        <f t="shared" si="14"/>
        <v>A</v>
      </c>
      <c r="N44" s="179">
        <v>82</v>
      </c>
      <c r="O44" s="180" t="str">
        <f t="shared" si="15"/>
        <v>A</v>
      </c>
      <c r="P44" s="179">
        <v>84</v>
      </c>
      <c r="Q44" s="192" t="str">
        <f t="shared" si="0"/>
        <v>A</v>
      </c>
      <c r="R44" s="193" t="s">
        <v>87</v>
      </c>
      <c r="S44" s="179">
        <v>87</v>
      </c>
      <c r="T44" s="192" t="str">
        <f t="shared" si="16"/>
        <v>A</v>
      </c>
      <c r="U44" s="193"/>
      <c r="V44" s="179">
        <v>75</v>
      </c>
      <c r="W44" s="192" t="str">
        <f t="shared" si="17"/>
        <v>A</v>
      </c>
      <c r="X44" s="194" t="s">
        <v>77</v>
      </c>
      <c r="Y44" s="205">
        <f t="shared" si="1"/>
        <v>7</v>
      </c>
      <c r="Z44" s="206">
        <f t="shared" si="2"/>
        <v>1</v>
      </c>
      <c r="AA44" s="206">
        <f t="shared" si="3"/>
        <v>0</v>
      </c>
      <c r="AB44" s="206">
        <f t="shared" si="4"/>
        <v>1</v>
      </c>
      <c r="AC44" s="207">
        <f t="shared" si="5"/>
        <v>0</v>
      </c>
      <c r="AD44" s="208" t="str">
        <f t="shared" si="6"/>
        <v>P</v>
      </c>
      <c r="AE44" s="209" t="str">
        <f t="shared" si="18"/>
        <v>P</v>
      </c>
      <c r="AF44" s="210">
        <f t="shared" si="7"/>
        <v>685</v>
      </c>
      <c r="AG44" s="219">
        <f t="shared" si="8"/>
        <v>76.1111111111111</v>
      </c>
      <c r="AH44" s="207">
        <f t="shared" si="9"/>
        <v>5</v>
      </c>
    </row>
    <row r="45" spans="1:34" s="167" customFormat="1" ht="12.75" customHeight="1">
      <c r="A45" s="181">
        <v>38</v>
      </c>
      <c r="B45" s="177"/>
      <c r="C45" s="182" t="s">
        <v>152</v>
      </c>
      <c r="D45" s="179">
        <v>70</v>
      </c>
      <c r="E45" s="180" t="str">
        <f t="shared" si="10"/>
        <v>B</v>
      </c>
      <c r="F45" s="179">
        <v>75</v>
      </c>
      <c r="G45" s="180" t="str">
        <f t="shared" si="11"/>
        <v>A</v>
      </c>
      <c r="H45" s="179">
        <v>74</v>
      </c>
      <c r="I45" s="180" t="str">
        <f t="shared" si="12"/>
        <v>B</v>
      </c>
      <c r="J45" s="179">
        <v>64</v>
      </c>
      <c r="K45" s="180" t="str">
        <f t="shared" si="13"/>
        <v>C</v>
      </c>
      <c r="L45" s="179">
        <v>87</v>
      </c>
      <c r="M45" s="180" t="str">
        <f t="shared" si="14"/>
        <v>A</v>
      </c>
      <c r="N45" s="179">
        <v>82</v>
      </c>
      <c r="O45" s="180" t="str">
        <f t="shared" si="15"/>
        <v>A</v>
      </c>
      <c r="P45" s="179">
        <v>88</v>
      </c>
      <c r="Q45" s="192" t="str">
        <f t="shared" si="0"/>
        <v>A</v>
      </c>
      <c r="R45" s="193" t="s">
        <v>87</v>
      </c>
      <c r="S45" s="179">
        <v>77</v>
      </c>
      <c r="T45" s="192" t="str">
        <f t="shared" si="16"/>
        <v>A</v>
      </c>
      <c r="U45" s="193" t="s">
        <v>67</v>
      </c>
      <c r="V45" s="179">
        <v>77</v>
      </c>
      <c r="W45" s="192" t="str">
        <f t="shared" si="17"/>
        <v>A</v>
      </c>
      <c r="X45" s="194" t="s">
        <v>77</v>
      </c>
      <c r="Y45" s="205">
        <f t="shared" si="1"/>
        <v>6</v>
      </c>
      <c r="Z45" s="206">
        <f t="shared" si="2"/>
        <v>2</v>
      </c>
      <c r="AA45" s="206">
        <f t="shared" si="3"/>
        <v>1</v>
      </c>
      <c r="AB45" s="206">
        <f t="shared" si="4"/>
        <v>0</v>
      </c>
      <c r="AC45" s="207">
        <f t="shared" si="5"/>
        <v>0</v>
      </c>
      <c r="AD45" s="208" t="str">
        <f t="shared" si="6"/>
        <v>P</v>
      </c>
      <c r="AE45" s="209" t="str">
        <f t="shared" si="18"/>
        <v>P</v>
      </c>
      <c r="AF45" s="210">
        <f t="shared" si="7"/>
        <v>694</v>
      </c>
      <c r="AG45" s="219">
        <f t="shared" si="8"/>
        <v>77.1111111111111</v>
      </c>
      <c r="AH45" s="207">
        <f t="shared" si="9"/>
        <v>4</v>
      </c>
    </row>
    <row r="46" spans="1:34" s="167" customFormat="1" ht="12.75" customHeight="1">
      <c r="A46" s="181">
        <v>39</v>
      </c>
      <c r="B46" s="177"/>
      <c r="C46" s="182" t="s">
        <v>153</v>
      </c>
      <c r="D46" s="179">
        <v>67</v>
      </c>
      <c r="E46" s="180" t="str">
        <f t="shared" si="10"/>
        <v>B</v>
      </c>
      <c r="F46" s="179">
        <v>53</v>
      </c>
      <c r="G46" s="180" t="str">
        <f t="shared" si="11"/>
        <v>C</v>
      </c>
      <c r="H46" s="179">
        <v>69</v>
      </c>
      <c r="I46" s="180" t="str">
        <f t="shared" si="12"/>
        <v>B</v>
      </c>
      <c r="J46" s="179">
        <v>41</v>
      </c>
      <c r="K46" s="180" t="str">
        <f t="shared" si="13"/>
        <v>S</v>
      </c>
      <c r="L46" s="179">
        <v>73</v>
      </c>
      <c r="M46" s="180" t="str">
        <f t="shared" si="14"/>
        <v>B</v>
      </c>
      <c r="N46" s="179">
        <v>46</v>
      </c>
      <c r="O46" s="180" t="str">
        <f t="shared" si="15"/>
        <v>S</v>
      </c>
      <c r="P46" s="179">
        <v>76</v>
      </c>
      <c r="Q46" s="192" t="str">
        <f t="shared" si="0"/>
        <v>A</v>
      </c>
      <c r="R46" s="193" t="s">
        <v>87</v>
      </c>
      <c r="S46" s="179">
        <v>54</v>
      </c>
      <c r="T46" s="192" t="str">
        <f t="shared" si="16"/>
        <v>C</v>
      </c>
      <c r="U46" s="193" t="s">
        <v>89</v>
      </c>
      <c r="V46" s="179">
        <v>41</v>
      </c>
      <c r="W46" s="192" t="str">
        <f t="shared" si="17"/>
        <v>S</v>
      </c>
      <c r="X46" s="194" t="s">
        <v>69</v>
      </c>
      <c r="Y46" s="205">
        <f t="shared" si="1"/>
        <v>1</v>
      </c>
      <c r="Z46" s="206">
        <f t="shared" si="2"/>
        <v>3</v>
      </c>
      <c r="AA46" s="206">
        <f t="shared" si="3"/>
        <v>2</v>
      </c>
      <c r="AB46" s="206">
        <f t="shared" si="4"/>
        <v>3</v>
      </c>
      <c r="AC46" s="207">
        <f t="shared" si="5"/>
        <v>0</v>
      </c>
      <c r="AD46" s="208" t="str">
        <f t="shared" si="6"/>
        <v>P</v>
      </c>
      <c r="AE46" s="209" t="str">
        <f t="shared" si="18"/>
        <v>P</v>
      </c>
      <c r="AF46" s="210">
        <f t="shared" si="7"/>
        <v>520</v>
      </c>
      <c r="AG46" s="219">
        <f t="shared" si="8"/>
        <v>57.7777777777778</v>
      </c>
      <c r="AH46" s="207">
        <f t="shared" si="9"/>
        <v>30</v>
      </c>
    </row>
    <row r="47" spans="1:34" s="167" customFormat="1" ht="12.75" customHeight="1">
      <c r="A47" s="181">
        <v>40</v>
      </c>
      <c r="B47" s="177"/>
      <c r="C47" s="182" t="s">
        <v>154</v>
      </c>
      <c r="D47" s="179">
        <v>81</v>
      </c>
      <c r="E47" s="180" t="str">
        <f t="shared" si="10"/>
        <v>A</v>
      </c>
      <c r="F47" s="179">
        <v>80</v>
      </c>
      <c r="G47" s="180" t="str">
        <f t="shared" si="11"/>
        <v>A</v>
      </c>
      <c r="H47" s="179">
        <v>72</v>
      </c>
      <c r="I47" s="180" t="str">
        <f t="shared" si="12"/>
        <v>B</v>
      </c>
      <c r="J47" s="179">
        <v>78</v>
      </c>
      <c r="K47" s="180" t="str">
        <f t="shared" si="13"/>
        <v>A</v>
      </c>
      <c r="L47" s="179">
        <v>85</v>
      </c>
      <c r="M47" s="180" t="str">
        <f t="shared" si="14"/>
        <v>A</v>
      </c>
      <c r="N47" s="179">
        <v>78</v>
      </c>
      <c r="O47" s="180" t="str">
        <f t="shared" si="15"/>
        <v>A</v>
      </c>
      <c r="P47" s="179">
        <v>81</v>
      </c>
      <c r="Q47" s="192" t="str">
        <f t="shared" si="0"/>
        <v>A</v>
      </c>
      <c r="R47" s="193" t="s">
        <v>87</v>
      </c>
      <c r="S47" s="179">
        <v>89</v>
      </c>
      <c r="T47" s="192" t="str">
        <f t="shared" si="16"/>
        <v>A</v>
      </c>
      <c r="U47" s="193" t="s">
        <v>89</v>
      </c>
      <c r="V47" s="179">
        <v>84</v>
      </c>
      <c r="W47" s="192" t="str">
        <f t="shared" si="17"/>
        <v>A</v>
      </c>
      <c r="X47" s="194" t="s">
        <v>77</v>
      </c>
      <c r="Y47" s="205">
        <f t="shared" si="1"/>
        <v>8</v>
      </c>
      <c r="Z47" s="206">
        <f t="shared" si="2"/>
        <v>1</v>
      </c>
      <c r="AA47" s="206">
        <f t="shared" si="3"/>
        <v>0</v>
      </c>
      <c r="AB47" s="206">
        <f t="shared" si="4"/>
        <v>0</v>
      </c>
      <c r="AC47" s="207">
        <f t="shared" si="5"/>
        <v>0</v>
      </c>
      <c r="AD47" s="208" t="str">
        <f t="shared" si="6"/>
        <v>P</v>
      </c>
      <c r="AE47" s="209" t="str">
        <f t="shared" si="18"/>
        <v>P</v>
      </c>
      <c r="AF47" s="210">
        <f t="shared" si="7"/>
        <v>728</v>
      </c>
      <c r="AG47" s="219">
        <f t="shared" si="8"/>
        <v>80.8888888888889</v>
      </c>
      <c r="AH47" s="207">
        <f t="shared" si="9"/>
        <v>1</v>
      </c>
    </row>
    <row r="48" spans="1:34" s="167" customFormat="1" ht="12.75" customHeight="1">
      <c r="A48" s="181">
        <v>41</v>
      </c>
      <c r="B48" s="177"/>
      <c r="C48" s="182" t="s">
        <v>155</v>
      </c>
      <c r="D48" s="179">
        <v>83</v>
      </c>
      <c r="E48" s="180" t="str">
        <f t="shared" si="10"/>
        <v>A</v>
      </c>
      <c r="F48" s="179">
        <v>65</v>
      </c>
      <c r="G48" s="180" t="str">
        <f t="shared" si="11"/>
        <v>B</v>
      </c>
      <c r="H48" s="179">
        <v>79</v>
      </c>
      <c r="I48" s="180" t="str">
        <f t="shared" si="12"/>
        <v>A</v>
      </c>
      <c r="J48" s="179">
        <v>44</v>
      </c>
      <c r="K48" s="180" t="str">
        <f t="shared" si="13"/>
        <v>S</v>
      </c>
      <c r="L48" s="179">
        <v>91</v>
      </c>
      <c r="M48" s="180" t="str">
        <f t="shared" si="14"/>
        <v>A</v>
      </c>
      <c r="N48" s="179">
        <v>78</v>
      </c>
      <c r="O48" s="180" t="str">
        <f t="shared" si="15"/>
        <v>A</v>
      </c>
      <c r="P48" s="179">
        <v>92</v>
      </c>
      <c r="Q48" s="192" t="str">
        <f t="shared" si="0"/>
        <v>A</v>
      </c>
      <c r="R48" s="193" t="s">
        <v>87</v>
      </c>
      <c r="S48" s="179">
        <v>85</v>
      </c>
      <c r="T48" s="192" t="str">
        <f t="shared" si="16"/>
        <v>A</v>
      </c>
      <c r="U48" s="193"/>
      <c r="V48" s="179">
        <v>62</v>
      </c>
      <c r="W48" s="192" t="str">
        <f t="shared" si="17"/>
        <v>C</v>
      </c>
      <c r="X48" s="194" t="s">
        <v>69</v>
      </c>
      <c r="Y48" s="205">
        <f t="shared" si="1"/>
        <v>6</v>
      </c>
      <c r="Z48" s="206">
        <f t="shared" si="2"/>
        <v>1</v>
      </c>
      <c r="AA48" s="206">
        <f t="shared" si="3"/>
        <v>1</v>
      </c>
      <c r="AB48" s="206">
        <f t="shared" si="4"/>
        <v>1</v>
      </c>
      <c r="AC48" s="207">
        <f t="shared" si="5"/>
        <v>0</v>
      </c>
      <c r="AD48" s="208" t="str">
        <f t="shared" si="6"/>
        <v>P</v>
      </c>
      <c r="AE48" s="209" t="str">
        <f t="shared" si="18"/>
        <v>P</v>
      </c>
      <c r="AF48" s="210">
        <f t="shared" si="7"/>
        <v>679</v>
      </c>
      <c r="AG48" s="219">
        <f t="shared" si="8"/>
        <v>75.4444444444444</v>
      </c>
      <c r="AH48" s="207">
        <f t="shared" si="9"/>
        <v>7</v>
      </c>
    </row>
    <row r="49" spans="1:36" s="167" customFormat="1" ht="12.75" customHeight="1">
      <c r="A49" s="181">
        <v>42</v>
      </c>
      <c r="B49" s="177"/>
      <c r="C49" s="182" t="s">
        <v>156</v>
      </c>
      <c r="D49" s="179">
        <v>78</v>
      </c>
      <c r="E49" s="180" t="str">
        <f t="shared" si="10"/>
        <v>A</v>
      </c>
      <c r="F49" s="179">
        <v>40</v>
      </c>
      <c r="G49" s="180" t="str">
        <f t="shared" si="11"/>
        <v>S</v>
      </c>
      <c r="H49" s="179">
        <v>66</v>
      </c>
      <c r="I49" s="180" t="str">
        <f t="shared" si="12"/>
        <v>B</v>
      </c>
      <c r="J49" s="179">
        <v>50</v>
      </c>
      <c r="K49" s="180" t="str">
        <f t="shared" si="13"/>
        <v>C</v>
      </c>
      <c r="L49" s="179">
        <v>66</v>
      </c>
      <c r="M49" s="180" t="str">
        <f t="shared" si="14"/>
        <v>B</v>
      </c>
      <c r="N49" s="179">
        <v>47</v>
      </c>
      <c r="O49" s="180" t="str">
        <f t="shared" si="15"/>
        <v>S</v>
      </c>
      <c r="P49" s="179">
        <v>64</v>
      </c>
      <c r="Q49" s="192" t="str">
        <f t="shared" si="0"/>
        <v>C</v>
      </c>
      <c r="R49" s="193" t="s">
        <v>87</v>
      </c>
      <c r="S49" s="179">
        <v>70</v>
      </c>
      <c r="T49" s="192" t="str">
        <f t="shared" si="16"/>
        <v>B</v>
      </c>
      <c r="U49" s="193"/>
      <c r="V49" s="179">
        <v>60</v>
      </c>
      <c r="W49" s="192" t="str">
        <f t="shared" si="17"/>
        <v>C</v>
      </c>
      <c r="X49" s="194" t="s">
        <v>77</v>
      </c>
      <c r="Y49" s="205">
        <f t="shared" si="1"/>
        <v>1</v>
      </c>
      <c r="Z49" s="206">
        <f t="shared" si="2"/>
        <v>3</v>
      </c>
      <c r="AA49" s="206">
        <f t="shared" si="3"/>
        <v>3</v>
      </c>
      <c r="AB49" s="206">
        <f t="shared" si="4"/>
        <v>2</v>
      </c>
      <c r="AC49" s="207">
        <f t="shared" si="5"/>
        <v>0</v>
      </c>
      <c r="AD49" s="208" t="str">
        <f t="shared" si="6"/>
        <v>P</v>
      </c>
      <c r="AE49" s="209" t="str">
        <f t="shared" si="18"/>
        <v>P</v>
      </c>
      <c r="AF49" s="210">
        <f t="shared" si="7"/>
        <v>541</v>
      </c>
      <c r="AG49" s="219">
        <f t="shared" si="8"/>
        <v>60.1111111111111</v>
      </c>
      <c r="AH49" s="207">
        <f t="shared" si="9"/>
        <v>26</v>
      </c>
    </row>
    <row r="50" spans="1:36" s="167" customFormat="1" ht="12.75" customHeight="1">
      <c r="A50" s="181">
        <v>43</v>
      </c>
      <c r="B50" s="177"/>
      <c r="C50" s="182" t="s">
        <v>157</v>
      </c>
      <c r="D50" s="179">
        <v>56</v>
      </c>
      <c r="E50" s="180" t="str">
        <f t="shared" si="10"/>
        <v>C</v>
      </c>
      <c r="F50" s="179">
        <v>51</v>
      </c>
      <c r="G50" s="180" t="str">
        <f t="shared" si="11"/>
        <v>C</v>
      </c>
      <c r="H50" s="179">
        <v>61</v>
      </c>
      <c r="I50" s="180" t="str">
        <f t="shared" si="12"/>
        <v>C</v>
      </c>
      <c r="J50" s="179">
        <v>49</v>
      </c>
      <c r="K50" s="180" t="str">
        <f t="shared" si="13"/>
        <v>S</v>
      </c>
      <c r="L50" s="179">
        <v>75</v>
      </c>
      <c r="M50" s="180" t="str">
        <f t="shared" si="14"/>
        <v>A</v>
      </c>
      <c r="N50" s="179">
        <v>58</v>
      </c>
      <c r="O50" s="180" t="str">
        <f t="shared" si="15"/>
        <v>C</v>
      </c>
      <c r="P50" s="179">
        <v>69</v>
      </c>
      <c r="Q50" s="192" t="str">
        <f t="shared" si="0"/>
        <v>B</v>
      </c>
      <c r="R50" s="193" t="s">
        <v>87</v>
      </c>
      <c r="S50" s="179">
        <v>64</v>
      </c>
      <c r="T50" s="192" t="str">
        <f t="shared" si="16"/>
        <v>C</v>
      </c>
      <c r="U50" s="193" t="s">
        <v>89</v>
      </c>
      <c r="V50" s="179">
        <v>65</v>
      </c>
      <c r="W50" s="192" t="str">
        <f t="shared" si="17"/>
        <v>B</v>
      </c>
      <c r="X50" s="194" t="s">
        <v>77</v>
      </c>
      <c r="Y50" s="205">
        <f t="shared" si="1"/>
        <v>1</v>
      </c>
      <c r="Z50" s="206">
        <f t="shared" si="2"/>
        <v>2</v>
      </c>
      <c r="AA50" s="206">
        <f t="shared" si="3"/>
        <v>5</v>
      </c>
      <c r="AB50" s="206">
        <f t="shared" si="4"/>
        <v>1</v>
      </c>
      <c r="AC50" s="207">
        <f t="shared" si="5"/>
        <v>0</v>
      </c>
      <c r="AD50" s="208" t="str">
        <f t="shared" si="6"/>
        <v>P</v>
      </c>
      <c r="AE50" s="209" t="str">
        <f t="shared" si="18"/>
        <v>P</v>
      </c>
      <c r="AF50" s="210">
        <f t="shared" si="7"/>
        <v>548</v>
      </c>
      <c r="AG50" s="219">
        <f t="shared" si="8"/>
        <v>60.8888888888889</v>
      </c>
      <c r="AH50" s="207">
        <f t="shared" si="9"/>
        <v>25</v>
      </c>
    </row>
    <row r="51" spans="1:36" s="167" customFormat="1" ht="12.75" customHeight="1">
      <c r="A51" s="181">
        <v>44</v>
      </c>
      <c r="B51" s="177"/>
      <c r="C51" s="182" t="s">
        <v>158</v>
      </c>
      <c r="D51" s="179">
        <v>79</v>
      </c>
      <c r="E51" s="180" t="str">
        <f t="shared" si="10"/>
        <v>A</v>
      </c>
      <c r="F51" s="179">
        <v>67</v>
      </c>
      <c r="G51" s="180" t="str">
        <f t="shared" si="11"/>
        <v>B</v>
      </c>
      <c r="H51" s="179">
        <v>69</v>
      </c>
      <c r="I51" s="180" t="str">
        <f t="shared" si="12"/>
        <v>B</v>
      </c>
      <c r="J51" s="179">
        <v>58</v>
      </c>
      <c r="K51" s="180" t="str">
        <f t="shared" si="13"/>
        <v>C</v>
      </c>
      <c r="L51" s="179">
        <v>87</v>
      </c>
      <c r="M51" s="180" t="str">
        <f t="shared" si="14"/>
        <v>A</v>
      </c>
      <c r="N51" s="179">
        <v>72</v>
      </c>
      <c r="O51" s="180" t="str">
        <f t="shared" si="15"/>
        <v>B</v>
      </c>
      <c r="P51" s="179">
        <v>76</v>
      </c>
      <c r="Q51" s="192" t="str">
        <f t="shared" si="0"/>
        <v>A</v>
      </c>
      <c r="R51" s="193" t="s">
        <v>87</v>
      </c>
      <c r="S51" s="179">
        <v>91</v>
      </c>
      <c r="T51" s="192" t="str">
        <f t="shared" si="16"/>
        <v>A</v>
      </c>
      <c r="U51" s="193"/>
      <c r="V51" s="179">
        <v>74</v>
      </c>
      <c r="W51" s="192" t="str">
        <f t="shared" si="17"/>
        <v>B</v>
      </c>
      <c r="X51" s="194" t="s">
        <v>77</v>
      </c>
      <c r="Y51" s="205">
        <f t="shared" si="1"/>
        <v>4</v>
      </c>
      <c r="Z51" s="206">
        <f t="shared" si="2"/>
        <v>4</v>
      </c>
      <c r="AA51" s="206">
        <f t="shared" si="3"/>
        <v>1</v>
      </c>
      <c r="AB51" s="206">
        <f t="shared" si="4"/>
        <v>0</v>
      </c>
      <c r="AC51" s="207">
        <f t="shared" si="5"/>
        <v>0</v>
      </c>
      <c r="AD51" s="208" t="str">
        <f t="shared" si="6"/>
        <v>P</v>
      </c>
      <c r="AE51" s="209" t="str">
        <f t="shared" si="18"/>
        <v>P</v>
      </c>
      <c r="AF51" s="210">
        <f t="shared" si="7"/>
        <v>673</v>
      </c>
      <c r="AG51" s="219">
        <f t="shared" si="8"/>
        <v>74.7777777777778</v>
      </c>
      <c r="AH51" s="207">
        <f t="shared" si="9"/>
        <v>8</v>
      </c>
    </row>
    <row r="52" spans="1:36" s="167" customFormat="1" ht="12.75" customHeight="1">
      <c r="A52" s="181">
        <v>45</v>
      </c>
      <c r="B52" s="177"/>
      <c r="C52" s="182" t="s">
        <v>159</v>
      </c>
      <c r="D52" s="179">
        <v>73</v>
      </c>
      <c r="E52" s="180" t="str">
        <f t="shared" si="10"/>
        <v>B</v>
      </c>
      <c r="F52" s="179" t="s">
        <v>47</v>
      </c>
      <c r="G52" s="180" t="str">
        <f t="shared" si="11"/>
        <v>ab</v>
      </c>
      <c r="H52" s="179">
        <v>74</v>
      </c>
      <c r="I52" s="180" t="str">
        <f t="shared" si="12"/>
        <v>B</v>
      </c>
      <c r="J52" s="179">
        <v>79</v>
      </c>
      <c r="K52" s="180" t="str">
        <f t="shared" si="13"/>
        <v>A</v>
      </c>
      <c r="L52" s="179">
        <v>72</v>
      </c>
      <c r="M52" s="180" t="str">
        <f t="shared" si="14"/>
        <v>B</v>
      </c>
      <c r="N52" s="179" t="s">
        <v>47</v>
      </c>
      <c r="O52" s="180" t="str">
        <f t="shared" si="15"/>
        <v>ab</v>
      </c>
      <c r="P52" s="179">
        <v>67</v>
      </c>
      <c r="Q52" s="192" t="str">
        <f t="shared" si="0"/>
        <v>B</v>
      </c>
      <c r="R52" s="193" t="s">
        <v>87</v>
      </c>
      <c r="S52" s="179">
        <v>73</v>
      </c>
      <c r="T52" s="192" t="str">
        <f t="shared" si="16"/>
        <v>B</v>
      </c>
      <c r="U52" s="193" t="s">
        <v>89</v>
      </c>
      <c r="V52" s="179">
        <v>75</v>
      </c>
      <c r="W52" s="192" t="str">
        <f t="shared" si="17"/>
        <v>A</v>
      </c>
      <c r="X52" s="194" t="s">
        <v>77</v>
      </c>
      <c r="Y52" s="205">
        <f t="shared" si="1"/>
        <v>2</v>
      </c>
      <c r="Z52" s="206">
        <f t="shared" si="2"/>
        <v>5</v>
      </c>
      <c r="AA52" s="206">
        <f t="shared" si="3"/>
        <v>0</v>
      </c>
      <c r="AB52" s="206">
        <f t="shared" si="4"/>
        <v>0</v>
      </c>
      <c r="AC52" s="207">
        <f t="shared" si="5"/>
        <v>0</v>
      </c>
      <c r="AD52" s="208" t="str">
        <f t="shared" si="6"/>
        <v>P</v>
      </c>
      <c r="AE52" s="209" t="str">
        <f t="shared" si="18"/>
        <v>P</v>
      </c>
      <c r="AF52" s="210">
        <f t="shared" si="7"/>
        <v>513</v>
      </c>
      <c r="AG52" s="219">
        <f t="shared" si="8"/>
        <v>73.285714285714306</v>
      </c>
      <c r="AH52" s="207">
        <f t="shared" si="9"/>
        <v>31</v>
      </c>
    </row>
    <row r="53" spans="1:36" s="167" customFormat="1" ht="12.75" customHeight="1">
      <c r="A53" s="181">
        <v>46</v>
      </c>
      <c r="B53" s="177"/>
      <c r="C53" s="182" t="s">
        <v>160</v>
      </c>
      <c r="D53" s="179">
        <v>92</v>
      </c>
      <c r="E53" s="180" t="str">
        <f t="shared" si="10"/>
        <v>A</v>
      </c>
      <c r="F53" s="179">
        <v>82</v>
      </c>
      <c r="G53" s="180" t="str">
        <f t="shared" si="11"/>
        <v>A</v>
      </c>
      <c r="H53" s="179">
        <v>80</v>
      </c>
      <c r="I53" s="180" t="str">
        <f t="shared" si="12"/>
        <v>A</v>
      </c>
      <c r="J53" s="179">
        <v>48</v>
      </c>
      <c r="K53" s="180" t="str">
        <f t="shared" si="13"/>
        <v>S</v>
      </c>
      <c r="L53" s="179">
        <v>89</v>
      </c>
      <c r="M53" s="180" t="str">
        <f t="shared" si="14"/>
        <v>A</v>
      </c>
      <c r="N53" s="179">
        <v>92</v>
      </c>
      <c r="O53" s="180" t="str">
        <f t="shared" si="15"/>
        <v>A</v>
      </c>
      <c r="P53" s="179">
        <v>91</v>
      </c>
      <c r="Q53" s="192" t="str">
        <f t="shared" si="0"/>
        <v>A</v>
      </c>
      <c r="R53" s="193" t="s">
        <v>87</v>
      </c>
      <c r="S53" s="179">
        <v>84</v>
      </c>
      <c r="T53" s="192" t="str">
        <f t="shared" si="16"/>
        <v>A</v>
      </c>
      <c r="U53" s="193"/>
      <c r="V53" s="179" t="s">
        <v>47</v>
      </c>
      <c r="W53" s="192" t="str">
        <f t="shared" si="17"/>
        <v>ab</v>
      </c>
      <c r="X53" s="194"/>
      <c r="Y53" s="205">
        <f t="shared" si="1"/>
        <v>7</v>
      </c>
      <c r="Z53" s="206">
        <f t="shared" si="2"/>
        <v>0</v>
      </c>
      <c r="AA53" s="206">
        <f t="shared" si="3"/>
        <v>0</v>
      </c>
      <c r="AB53" s="206">
        <f t="shared" si="4"/>
        <v>1</v>
      </c>
      <c r="AC53" s="207">
        <f t="shared" si="5"/>
        <v>0</v>
      </c>
      <c r="AD53" s="208" t="str">
        <f t="shared" si="6"/>
        <v>P</v>
      </c>
      <c r="AE53" s="209" t="str">
        <f t="shared" si="18"/>
        <v>P</v>
      </c>
      <c r="AF53" s="210">
        <f t="shared" si="7"/>
        <v>658</v>
      </c>
      <c r="AG53" s="219">
        <f t="shared" si="8"/>
        <v>82.25</v>
      </c>
      <c r="AH53" s="207">
        <f t="shared" si="9"/>
        <v>10</v>
      </c>
    </row>
    <row r="54" spans="1:36" s="167" customFormat="1" ht="12.75" customHeight="1">
      <c r="A54" s="181">
        <v>47</v>
      </c>
      <c r="B54" s="177"/>
      <c r="C54" s="182"/>
      <c r="D54" s="179"/>
      <c r="E54" s="180" t="str">
        <f t="shared" si="10"/>
        <v/>
      </c>
      <c r="F54" s="179"/>
      <c r="G54" s="180" t="str">
        <f t="shared" si="11"/>
        <v/>
      </c>
      <c r="H54" s="179"/>
      <c r="I54" s="180" t="str">
        <f t="shared" si="12"/>
        <v/>
      </c>
      <c r="J54" s="179"/>
      <c r="K54" s="180" t="str">
        <f t="shared" si="13"/>
        <v/>
      </c>
      <c r="L54" s="179"/>
      <c r="M54" s="180" t="str">
        <f t="shared" si="14"/>
        <v/>
      </c>
      <c r="N54" s="179"/>
      <c r="O54" s="180" t="str">
        <f t="shared" si="15"/>
        <v/>
      </c>
      <c r="P54" s="179"/>
      <c r="Q54" s="192" t="str">
        <f t="shared" si="0"/>
        <v/>
      </c>
      <c r="R54" s="193"/>
      <c r="S54" s="179"/>
      <c r="T54" s="192" t="str">
        <f t="shared" si="16"/>
        <v/>
      </c>
      <c r="U54" s="193"/>
      <c r="V54" s="179"/>
      <c r="W54" s="192" t="str">
        <f t="shared" si="17"/>
        <v/>
      </c>
      <c r="X54" s="194"/>
      <c r="Y54" s="205" t="str">
        <f t="shared" si="1"/>
        <v/>
      </c>
      <c r="Z54" s="206" t="str">
        <f t="shared" si="2"/>
        <v/>
      </c>
      <c r="AA54" s="206" t="str">
        <f t="shared" si="3"/>
        <v/>
      </c>
      <c r="AB54" s="206" t="str">
        <f t="shared" si="4"/>
        <v/>
      </c>
      <c r="AC54" s="207" t="str">
        <f t="shared" si="5"/>
        <v/>
      </c>
      <c r="AD54" s="208" t="str">
        <f t="shared" si="6"/>
        <v/>
      </c>
      <c r="AE54" s="209" t="str">
        <f t="shared" si="18"/>
        <v/>
      </c>
      <c r="AF54" s="210" t="str">
        <f t="shared" si="7"/>
        <v/>
      </c>
      <c r="AG54" s="219" t="str">
        <f t="shared" si="8"/>
        <v/>
      </c>
      <c r="AH54" s="207" t="str">
        <f t="shared" si="9"/>
        <v/>
      </c>
    </row>
    <row r="55" spans="1:36" s="167" customFormat="1" ht="12.75" customHeight="1">
      <c r="A55" s="181">
        <v>48</v>
      </c>
      <c r="B55" s="177"/>
      <c r="C55" s="182"/>
      <c r="D55" s="179"/>
      <c r="E55" s="180" t="str">
        <f t="shared" si="10"/>
        <v/>
      </c>
      <c r="F55" s="179"/>
      <c r="G55" s="180" t="str">
        <f t="shared" si="11"/>
        <v/>
      </c>
      <c r="H55" s="179"/>
      <c r="I55" s="180" t="str">
        <f t="shared" si="12"/>
        <v/>
      </c>
      <c r="J55" s="179"/>
      <c r="K55" s="180" t="str">
        <f t="shared" si="13"/>
        <v/>
      </c>
      <c r="L55" s="179"/>
      <c r="M55" s="180" t="str">
        <f t="shared" si="14"/>
        <v/>
      </c>
      <c r="N55" s="179"/>
      <c r="O55" s="180" t="str">
        <f t="shared" si="15"/>
        <v/>
      </c>
      <c r="P55" s="179"/>
      <c r="Q55" s="192" t="str">
        <f t="shared" si="0"/>
        <v/>
      </c>
      <c r="R55" s="193"/>
      <c r="S55" s="179"/>
      <c r="T55" s="192" t="str">
        <f t="shared" si="16"/>
        <v/>
      </c>
      <c r="U55" s="193"/>
      <c r="V55" s="179"/>
      <c r="W55" s="192" t="str">
        <f t="shared" si="17"/>
        <v/>
      </c>
      <c r="X55" s="194"/>
      <c r="Y55" s="205" t="str">
        <f t="shared" si="1"/>
        <v/>
      </c>
      <c r="Z55" s="206" t="str">
        <f t="shared" si="2"/>
        <v/>
      </c>
      <c r="AA55" s="206" t="str">
        <f t="shared" si="3"/>
        <v/>
      </c>
      <c r="AB55" s="206" t="str">
        <f t="shared" si="4"/>
        <v/>
      </c>
      <c r="AC55" s="207" t="str">
        <f t="shared" si="5"/>
        <v/>
      </c>
      <c r="AD55" s="208" t="str">
        <f t="shared" si="6"/>
        <v/>
      </c>
      <c r="AE55" s="209" t="str">
        <f t="shared" si="18"/>
        <v/>
      </c>
      <c r="AF55" s="210" t="str">
        <f t="shared" si="7"/>
        <v/>
      </c>
      <c r="AG55" s="219" t="str">
        <f t="shared" si="8"/>
        <v/>
      </c>
      <c r="AH55" s="207" t="str">
        <f t="shared" si="9"/>
        <v/>
      </c>
    </row>
    <row r="56" spans="1:36" s="167" customFormat="1" ht="12.75" customHeight="1">
      <c r="A56" s="181">
        <v>49</v>
      </c>
      <c r="B56" s="177"/>
      <c r="C56" s="182"/>
      <c r="D56" s="179"/>
      <c r="E56" s="180" t="str">
        <f t="shared" si="10"/>
        <v/>
      </c>
      <c r="F56" s="179"/>
      <c r="G56" s="180" t="str">
        <f t="shared" si="11"/>
        <v/>
      </c>
      <c r="H56" s="179"/>
      <c r="I56" s="180" t="str">
        <f t="shared" si="12"/>
        <v/>
      </c>
      <c r="J56" s="179"/>
      <c r="K56" s="180" t="str">
        <f t="shared" si="13"/>
        <v/>
      </c>
      <c r="L56" s="179"/>
      <c r="M56" s="180" t="str">
        <f t="shared" si="14"/>
        <v/>
      </c>
      <c r="N56" s="179"/>
      <c r="O56" s="180" t="str">
        <f t="shared" si="15"/>
        <v/>
      </c>
      <c r="P56" s="179"/>
      <c r="Q56" s="192" t="str">
        <f t="shared" si="0"/>
        <v/>
      </c>
      <c r="R56" s="193"/>
      <c r="S56" s="179"/>
      <c r="T56" s="192" t="str">
        <f t="shared" si="16"/>
        <v/>
      </c>
      <c r="U56" s="193"/>
      <c r="V56" s="179"/>
      <c r="W56" s="192" t="str">
        <f t="shared" si="17"/>
        <v/>
      </c>
      <c r="X56" s="194"/>
      <c r="Y56" s="205" t="str">
        <f t="shared" si="1"/>
        <v/>
      </c>
      <c r="Z56" s="206" t="str">
        <f t="shared" si="2"/>
        <v/>
      </c>
      <c r="AA56" s="206" t="str">
        <f t="shared" si="3"/>
        <v/>
      </c>
      <c r="AB56" s="206" t="str">
        <f t="shared" si="4"/>
        <v/>
      </c>
      <c r="AC56" s="207" t="str">
        <f t="shared" si="5"/>
        <v/>
      </c>
      <c r="AD56" s="208" t="str">
        <f t="shared" si="6"/>
        <v/>
      </c>
      <c r="AE56" s="209" t="str">
        <f t="shared" si="18"/>
        <v/>
      </c>
      <c r="AF56" s="210" t="str">
        <f t="shared" si="7"/>
        <v/>
      </c>
      <c r="AG56" s="219" t="str">
        <f t="shared" si="8"/>
        <v/>
      </c>
      <c r="AH56" s="207" t="str">
        <f t="shared" si="9"/>
        <v/>
      </c>
    </row>
    <row r="57" spans="1:36" s="167" customFormat="1" ht="12.75" customHeight="1">
      <c r="A57" s="181">
        <v>50</v>
      </c>
      <c r="B57" s="177"/>
      <c r="C57" s="182"/>
      <c r="D57" s="179"/>
      <c r="E57" s="180" t="str">
        <f t="shared" si="10"/>
        <v/>
      </c>
      <c r="F57" s="179"/>
      <c r="G57" s="180" t="str">
        <f t="shared" si="11"/>
        <v/>
      </c>
      <c r="H57" s="179"/>
      <c r="I57" s="180" t="str">
        <f t="shared" si="12"/>
        <v/>
      </c>
      <c r="J57" s="179"/>
      <c r="K57" s="180" t="str">
        <f t="shared" si="13"/>
        <v/>
      </c>
      <c r="L57" s="179"/>
      <c r="M57" s="180" t="str">
        <f t="shared" si="14"/>
        <v/>
      </c>
      <c r="N57" s="179"/>
      <c r="O57" s="180" t="str">
        <f t="shared" si="15"/>
        <v/>
      </c>
      <c r="P57" s="179"/>
      <c r="Q57" s="192" t="str">
        <f t="shared" si="0"/>
        <v/>
      </c>
      <c r="R57" s="193"/>
      <c r="S57" s="179"/>
      <c r="T57" s="192" t="str">
        <f t="shared" si="16"/>
        <v/>
      </c>
      <c r="U57" s="193"/>
      <c r="V57" s="179"/>
      <c r="W57" s="192" t="str">
        <f t="shared" si="17"/>
        <v/>
      </c>
      <c r="X57" s="194"/>
      <c r="Y57" s="205" t="str">
        <f t="shared" si="1"/>
        <v/>
      </c>
      <c r="Z57" s="206" t="str">
        <f t="shared" si="2"/>
        <v/>
      </c>
      <c r="AA57" s="206" t="str">
        <f t="shared" si="3"/>
        <v/>
      </c>
      <c r="AB57" s="206" t="str">
        <f t="shared" si="4"/>
        <v/>
      </c>
      <c r="AC57" s="207" t="str">
        <f t="shared" si="5"/>
        <v/>
      </c>
      <c r="AD57" s="208" t="str">
        <f t="shared" si="6"/>
        <v/>
      </c>
      <c r="AE57" s="209" t="str">
        <f t="shared" si="18"/>
        <v/>
      </c>
      <c r="AF57" s="210" t="str">
        <f t="shared" si="7"/>
        <v/>
      </c>
      <c r="AG57" s="219" t="str">
        <f t="shared" si="8"/>
        <v/>
      </c>
      <c r="AH57" s="207" t="str">
        <f t="shared" si="9"/>
        <v/>
      </c>
    </row>
    <row r="58" spans="1:36" s="167" customFormat="1" ht="12.75" customHeight="1">
      <c r="A58" s="181">
        <v>51</v>
      </c>
      <c r="B58" s="177"/>
      <c r="C58" s="182"/>
      <c r="D58" s="179"/>
      <c r="E58" s="180" t="str">
        <f t="shared" si="10"/>
        <v/>
      </c>
      <c r="F58" s="179"/>
      <c r="G58" s="180" t="str">
        <f t="shared" si="11"/>
        <v/>
      </c>
      <c r="H58" s="179"/>
      <c r="I58" s="180" t="str">
        <f t="shared" si="12"/>
        <v/>
      </c>
      <c r="J58" s="179"/>
      <c r="K58" s="180" t="str">
        <f t="shared" si="13"/>
        <v/>
      </c>
      <c r="L58" s="179"/>
      <c r="M58" s="180" t="str">
        <f t="shared" si="14"/>
        <v/>
      </c>
      <c r="N58" s="179"/>
      <c r="O58" s="180" t="str">
        <f t="shared" si="15"/>
        <v/>
      </c>
      <c r="P58" s="179"/>
      <c r="Q58" s="192" t="str">
        <f t="shared" si="0"/>
        <v/>
      </c>
      <c r="R58" s="193"/>
      <c r="S58" s="179"/>
      <c r="T58" s="192" t="str">
        <f t="shared" si="16"/>
        <v/>
      </c>
      <c r="U58" s="193"/>
      <c r="V58" s="179"/>
      <c r="W58" s="192" t="str">
        <f t="shared" si="17"/>
        <v/>
      </c>
      <c r="X58" s="194"/>
      <c r="Y58" s="205" t="str">
        <f t="shared" si="1"/>
        <v/>
      </c>
      <c r="Z58" s="206" t="str">
        <f t="shared" si="2"/>
        <v/>
      </c>
      <c r="AA58" s="206" t="str">
        <f t="shared" si="3"/>
        <v/>
      </c>
      <c r="AB58" s="206" t="str">
        <f t="shared" si="4"/>
        <v/>
      </c>
      <c r="AC58" s="207" t="str">
        <f t="shared" si="5"/>
        <v/>
      </c>
      <c r="AD58" s="208" t="str">
        <f t="shared" si="6"/>
        <v/>
      </c>
      <c r="AE58" s="209" t="str">
        <f t="shared" si="18"/>
        <v/>
      </c>
      <c r="AF58" s="210" t="str">
        <f t="shared" si="7"/>
        <v/>
      </c>
      <c r="AG58" s="219" t="str">
        <f t="shared" si="8"/>
        <v/>
      </c>
      <c r="AH58" s="207" t="str">
        <f t="shared" si="9"/>
        <v/>
      </c>
    </row>
    <row r="59" spans="1:36" s="167" customFormat="1" ht="12.75" customHeight="1">
      <c r="A59" s="181">
        <v>52</v>
      </c>
      <c r="B59" s="177"/>
      <c r="C59" s="182"/>
      <c r="D59" s="179"/>
      <c r="E59" s="180" t="str">
        <f t="shared" si="10"/>
        <v/>
      </c>
      <c r="F59" s="179"/>
      <c r="G59" s="180" t="str">
        <f t="shared" si="11"/>
        <v/>
      </c>
      <c r="H59" s="179"/>
      <c r="I59" s="180" t="str">
        <f t="shared" si="12"/>
        <v/>
      </c>
      <c r="J59" s="179"/>
      <c r="K59" s="180" t="str">
        <f t="shared" si="13"/>
        <v/>
      </c>
      <c r="L59" s="179"/>
      <c r="M59" s="180" t="str">
        <f t="shared" si="14"/>
        <v/>
      </c>
      <c r="N59" s="179"/>
      <c r="O59" s="180" t="str">
        <f t="shared" si="15"/>
        <v/>
      </c>
      <c r="P59" s="179"/>
      <c r="Q59" s="192" t="str">
        <f t="shared" si="0"/>
        <v/>
      </c>
      <c r="R59" s="193"/>
      <c r="S59" s="179"/>
      <c r="T59" s="192" t="str">
        <f t="shared" si="16"/>
        <v/>
      </c>
      <c r="U59" s="193"/>
      <c r="V59" s="179"/>
      <c r="W59" s="192" t="str">
        <f t="shared" si="17"/>
        <v/>
      </c>
      <c r="X59" s="194"/>
      <c r="Y59" s="205" t="str">
        <f t="shared" si="1"/>
        <v/>
      </c>
      <c r="Z59" s="206" t="str">
        <f t="shared" si="2"/>
        <v/>
      </c>
      <c r="AA59" s="206" t="str">
        <f t="shared" si="3"/>
        <v/>
      </c>
      <c r="AB59" s="206" t="str">
        <f t="shared" si="4"/>
        <v/>
      </c>
      <c r="AC59" s="207" t="str">
        <f t="shared" si="5"/>
        <v/>
      </c>
      <c r="AD59" s="208" t="str">
        <f t="shared" si="6"/>
        <v/>
      </c>
      <c r="AE59" s="209" t="str">
        <f t="shared" si="18"/>
        <v/>
      </c>
      <c r="AF59" s="210" t="str">
        <f t="shared" si="7"/>
        <v/>
      </c>
      <c r="AG59" s="219" t="str">
        <f t="shared" si="8"/>
        <v/>
      </c>
      <c r="AH59" s="207" t="str">
        <f t="shared" si="9"/>
        <v/>
      </c>
    </row>
    <row r="60" spans="1:36" s="167" customFormat="1" ht="12.75" customHeight="1">
      <c r="A60" s="181">
        <v>53</v>
      </c>
      <c r="B60" s="177"/>
      <c r="C60" s="182"/>
      <c r="D60" s="179"/>
      <c r="E60" s="180" t="str">
        <f t="shared" si="10"/>
        <v/>
      </c>
      <c r="F60" s="179"/>
      <c r="G60" s="180" t="str">
        <f t="shared" si="11"/>
        <v/>
      </c>
      <c r="H60" s="179"/>
      <c r="I60" s="180" t="str">
        <f t="shared" si="12"/>
        <v/>
      </c>
      <c r="J60" s="179"/>
      <c r="K60" s="180" t="str">
        <f t="shared" si="13"/>
        <v/>
      </c>
      <c r="L60" s="179"/>
      <c r="M60" s="180" t="str">
        <f t="shared" si="14"/>
        <v/>
      </c>
      <c r="N60" s="179"/>
      <c r="O60" s="180" t="str">
        <f t="shared" si="15"/>
        <v/>
      </c>
      <c r="P60" s="179"/>
      <c r="Q60" s="192" t="str">
        <f t="shared" si="0"/>
        <v/>
      </c>
      <c r="R60" s="193"/>
      <c r="S60" s="179"/>
      <c r="T60" s="192" t="str">
        <f t="shared" si="16"/>
        <v/>
      </c>
      <c r="U60" s="193"/>
      <c r="V60" s="179"/>
      <c r="W60" s="192" t="str">
        <f t="shared" si="17"/>
        <v/>
      </c>
      <c r="X60" s="194"/>
      <c r="Y60" s="205" t="str">
        <f t="shared" si="1"/>
        <v/>
      </c>
      <c r="Z60" s="206" t="str">
        <f t="shared" si="2"/>
        <v/>
      </c>
      <c r="AA60" s="206" t="str">
        <f t="shared" si="3"/>
        <v/>
      </c>
      <c r="AB60" s="206" t="str">
        <f t="shared" si="4"/>
        <v/>
      </c>
      <c r="AC60" s="207" t="str">
        <f t="shared" si="5"/>
        <v/>
      </c>
      <c r="AD60" s="208" t="str">
        <f t="shared" si="6"/>
        <v/>
      </c>
      <c r="AE60" s="209" t="str">
        <f t="shared" si="18"/>
        <v/>
      </c>
      <c r="AF60" s="210" t="str">
        <f t="shared" si="7"/>
        <v/>
      </c>
      <c r="AG60" s="219" t="str">
        <f t="shared" si="8"/>
        <v/>
      </c>
      <c r="AH60" s="207" t="str">
        <f t="shared" si="9"/>
        <v/>
      </c>
    </row>
    <row r="61" spans="1:36" s="167" customFormat="1" ht="12.75" customHeight="1">
      <c r="A61" s="181">
        <v>54</v>
      </c>
      <c r="B61" s="177"/>
      <c r="C61" s="182"/>
      <c r="D61" s="179"/>
      <c r="E61" s="180" t="str">
        <f t="shared" si="10"/>
        <v/>
      </c>
      <c r="F61" s="179"/>
      <c r="G61" s="180" t="str">
        <f t="shared" si="11"/>
        <v/>
      </c>
      <c r="H61" s="179"/>
      <c r="I61" s="180" t="str">
        <f t="shared" si="12"/>
        <v/>
      </c>
      <c r="J61" s="179"/>
      <c r="K61" s="180" t="str">
        <f t="shared" si="13"/>
        <v/>
      </c>
      <c r="L61" s="179"/>
      <c r="M61" s="180" t="str">
        <f t="shared" si="14"/>
        <v/>
      </c>
      <c r="N61" s="179"/>
      <c r="O61" s="180" t="str">
        <f t="shared" si="15"/>
        <v/>
      </c>
      <c r="P61" s="179"/>
      <c r="Q61" s="192" t="str">
        <f t="shared" si="0"/>
        <v/>
      </c>
      <c r="R61" s="193"/>
      <c r="S61" s="179"/>
      <c r="T61" s="192" t="str">
        <f t="shared" si="16"/>
        <v/>
      </c>
      <c r="U61" s="193"/>
      <c r="V61" s="179"/>
      <c r="W61" s="192" t="str">
        <f t="shared" si="17"/>
        <v/>
      </c>
      <c r="X61" s="194"/>
      <c r="Y61" s="205" t="str">
        <f t="shared" si="1"/>
        <v/>
      </c>
      <c r="Z61" s="206" t="str">
        <f t="shared" si="2"/>
        <v/>
      </c>
      <c r="AA61" s="206" t="str">
        <f t="shared" si="3"/>
        <v/>
      </c>
      <c r="AB61" s="206" t="str">
        <f t="shared" si="4"/>
        <v/>
      </c>
      <c r="AC61" s="207" t="str">
        <f t="shared" si="5"/>
        <v/>
      </c>
      <c r="AD61" s="208" t="str">
        <f t="shared" si="6"/>
        <v/>
      </c>
      <c r="AE61" s="209" t="str">
        <f t="shared" si="18"/>
        <v/>
      </c>
      <c r="AF61" s="210" t="str">
        <f t="shared" si="7"/>
        <v/>
      </c>
      <c r="AG61" s="219" t="str">
        <f t="shared" si="8"/>
        <v/>
      </c>
      <c r="AH61" s="207" t="str">
        <f t="shared" si="9"/>
        <v/>
      </c>
    </row>
    <row r="62" spans="1:36" s="167" customFormat="1" ht="12.75" customHeight="1">
      <c r="A62" s="181">
        <v>55</v>
      </c>
      <c r="B62" s="177"/>
      <c r="C62" s="182"/>
      <c r="D62" s="179"/>
      <c r="E62" s="180" t="str">
        <f t="shared" si="10"/>
        <v/>
      </c>
      <c r="F62" s="179"/>
      <c r="G62" s="180" t="str">
        <f t="shared" si="11"/>
        <v/>
      </c>
      <c r="H62" s="179"/>
      <c r="I62" s="180" t="str">
        <f t="shared" si="12"/>
        <v/>
      </c>
      <c r="J62" s="179"/>
      <c r="K62" s="180" t="str">
        <f t="shared" si="13"/>
        <v/>
      </c>
      <c r="L62" s="179"/>
      <c r="M62" s="180" t="str">
        <f t="shared" si="14"/>
        <v/>
      </c>
      <c r="N62" s="179"/>
      <c r="O62" s="185" t="str">
        <f t="shared" si="15"/>
        <v/>
      </c>
      <c r="P62" s="179"/>
      <c r="Q62" s="195" t="str">
        <f t="shared" si="0"/>
        <v/>
      </c>
      <c r="R62" s="196"/>
      <c r="S62" s="179"/>
      <c r="T62" s="195" t="str">
        <f t="shared" si="16"/>
        <v/>
      </c>
      <c r="U62" s="196"/>
      <c r="V62" s="179"/>
      <c r="W62" s="195" t="str">
        <f t="shared" si="17"/>
        <v/>
      </c>
      <c r="X62" s="197"/>
      <c r="Y62" s="211" t="str">
        <f t="shared" si="1"/>
        <v/>
      </c>
      <c r="Z62" s="212" t="str">
        <f t="shared" si="2"/>
        <v/>
      </c>
      <c r="AA62" s="212" t="str">
        <f t="shared" si="3"/>
        <v/>
      </c>
      <c r="AB62" s="212" t="str">
        <f t="shared" si="4"/>
        <v/>
      </c>
      <c r="AC62" s="213" t="str">
        <f t="shared" si="5"/>
        <v/>
      </c>
      <c r="AD62" s="214" t="str">
        <f t="shared" si="6"/>
        <v/>
      </c>
      <c r="AE62" s="215" t="str">
        <f t="shared" si="18"/>
        <v/>
      </c>
      <c r="AF62" s="216" t="str">
        <f t="shared" si="7"/>
        <v/>
      </c>
      <c r="AG62" s="220" t="str">
        <f t="shared" si="8"/>
        <v/>
      </c>
      <c r="AH62" s="213" t="str">
        <f t="shared" si="9"/>
        <v/>
      </c>
    </row>
    <row r="63" spans="1:36" s="167" customFormat="1" ht="12.75" customHeight="1">
      <c r="A63" s="342" t="s">
        <v>33</v>
      </c>
      <c r="B63" s="343"/>
      <c r="C63" s="344"/>
      <c r="D63" s="345">
        <f>IF(COUNTA(D8:D62)=0,"",(SUM(D8:D62)))</f>
        <v>2765</v>
      </c>
      <c r="E63" s="346"/>
      <c r="F63" s="345">
        <f>IF(COUNTA(F8:F62)=0,"",(SUM(F8:F62)))</f>
        <v>2010</v>
      </c>
      <c r="G63" s="346"/>
      <c r="H63" s="345">
        <f t="shared" ref="H63" si="19">IF(COUNTA(H8:H62)=0,"",(SUM(H8:H62)))</f>
        <v>2991</v>
      </c>
      <c r="I63" s="346"/>
      <c r="J63" s="345">
        <f t="shared" ref="J63" si="20">IF(COUNTA(J8:J62)=0,"",(SUM(J8:J62)))</f>
        <v>2472</v>
      </c>
      <c r="K63" s="346"/>
      <c r="L63" s="345">
        <f t="shared" ref="L63" si="21">IF(COUNTA(L8:L62)=0,"",(SUM(L8:L62)))</f>
        <v>3218</v>
      </c>
      <c r="M63" s="346"/>
      <c r="N63" s="345">
        <f t="shared" ref="N63" si="22">IF(COUNTA(N8:N62)=0,"",(SUM(N8:N62)))</f>
        <v>2705</v>
      </c>
      <c r="O63" s="346"/>
      <c r="P63" s="345">
        <f t="shared" ref="P63" si="23">IF(COUNTA(P8:P62)=0,"",(SUM(P8:P62)))</f>
        <v>3049</v>
      </c>
      <c r="Q63" s="346"/>
      <c r="R63" s="198"/>
      <c r="S63" s="345">
        <f t="shared" ref="S63" si="24">IF(COUNTA(S8:S62)=0,"",(SUM(S8:S62)))</f>
        <v>2773</v>
      </c>
      <c r="T63" s="346"/>
      <c r="U63" s="199"/>
      <c r="V63" s="345">
        <f t="shared" ref="V63" si="25">IF(COUNTA(V8:V62)=0,"",(SUM(V8:V62)))</f>
        <v>2591</v>
      </c>
      <c r="W63" s="346"/>
      <c r="X63" s="199"/>
      <c r="Y63" s="342" t="s">
        <v>34</v>
      </c>
      <c r="Z63" s="343"/>
      <c r="AA63" s="343"/>
      <c r="AB63" s="343"/>
      <c r="AC63" s="347"/>
      <c r="AD63" s="217">
        <f>IF(OR(COUNTIF(AD8:AD62,"P")&lt;&gt;0,COUNTIF(AD8:AD62,"F")&lt;&gt;0,COUNTIF(AD8:AD62,"ab")&lt;&gt;0),(COUNTIF(AD8:AD62,"ab")),"")</f>
        <v>1</v>
      </c>
      <c r="AE63" s="217">
        <f>IF(OR(COUNTIF(AE8:AE62,"P")&lt;&gt;0,COUNTIF(AE8:AE62,"F")&lt;&gt;0,COUNTIF(AE8:AE62,"ab")&lt;&gt;0,COUNTIF(AE8:AE62,"Q1")&lt;&gt;0,COUNTIF(AE8:AE62,"Q2")&lt;&gt;0,COUNTIF(AE8:AE62,"R1")&lt;&gt;0,COUNTIF(AE8:AE62,"R2")&lt;&gt;0),(COUNTIF(AE8:AE62,"ab")),"")</f>
        <v>0</v>
      </c>
      <c r="AF63" s="348" t="s">
        <v>34</v>
      </c>
      <c r="AG63" s="349"/>
      <c r="AH63" s="350"/>
      <c r="AI63" s="221"/>
      <c r="AJ63" s="221"/>
    </row>
    <row r="64" spans="1:36" s="167" customFormat="1" ht="12.75" customHeight="1">
      <c r="A64" s="351" t="s">
        <v>35</v>
      </c>
      <c r="B64" s="352"/>
      <c r="C64" s="353"/>
      <c r="D64" s="354">
        <f>IF(D63="","",IF(D63=0,0,AVERAGE(D8:D62)))</f>
        <v>67.439024390243901</v>
      </c>
      <c r="E64" s="355"/>
      <c r="F64" s="354">
        <f>IF(F63="","",IF(F63=0,0,AVERAGE(F8:F62)))</f>
        <v>59.117647058823501</v>
      </c>
      <c r="G64" s="355"/>
      <c r="H64" s="354">
        <f t="shared" ref="H64" si="26">IF(H63="","",IF(H63=0,0,AVERAGE(H8:H62)))</f>
        <v>66.466666666666697</v>
      </c>
      <c r="I64" s="355"/>
      <c r="J64" s="354">
        <f t="shared" ref="J64" si="27">IF(J63="","",IF(J63=0,0,AVERAGE(J8:J62)))</f>
        <v>54.933333333333302</v>
      </c>
      <c r="K64" s="355"/>
      <c r="L64" s="354">
        <f t="shared" ref="L64" si="28">IF(L63="","",IF(L63=0,0,AVERAGE(L8:L62)))</f>
        <v>71.511111111111106</v>
      </c>
      <c r="M64" s="355"/>
      <c r="N64" s="354">
        <f t="shared" ref="N64" si="29">IF(N63="","",IF(N63=0,0,AVERAGE(N8:N62)))</f>
        <v>62.906976744185997</v>
      </c>
      <c r="O64" s="355"/>
      <c r="P64" s="354">
        <f t="shared" ref="P64" si="30">IF(P63="","",IF(P63=0,0,AVERAGE(P8:P62)))</f>
        <v>67.755555555555603</v>
      </c>
      <c r="Q64" s="355"/>
      <c r="R64" s="200"/>
      <c r="S64" s="354">
        <f t="shared" ref="S64" si="31">IF(S63="","",IF(S63=0,0,AVERAGE(S8:S62)))</f>
        <v>66.023809523809504</v>
      </c>
      <c r="T64" s="355"/>
      <c r="U64" s="201"/>
      <c r="V64" s="354">
        <f t="shared" ref="V64" si="32">IF(V63="","",IF(V63=0,0,AVERAGE(V8:V62)))</f>
        <v>63.195121951219498</v>
      </c>
      <c r="W64" s="355"/>
      <c r="X64" s="201"/>
      <c r="Y64" s="356" t="s">
        <v>36</v>
      </c>
      <c r="Z64" s="357"/>
      <c r="AA64" s="357"/>
      <c r="AB64" s="357"/>
      <c r="AC64" s="358"/>
      <c r="AD64" s="218">
        <f>IF(OR(COUNTIF(AD8:AD62,"P")&lt;&gt;0,COUNTIF(AD8:AD62,"F")&lt;&gt;0,COUNTIF(AD8:AD62,"ab")&lt;&gt;0),(COUNTIF(AD8:AD62,"P")),"")</f>
        <v>40</v>
      </c>
      <c r="AE64" s="218">
        <f>IF(OR(COUNTIF(AE8:AE62,"P")&lt;&gt;0,COUNTIF(AE8:AE62,"F")&lt;&gt;0,COUNTIF(AE8:AE62,"ab")&lt;&gt;0,COUNTIF(AE8:AE62,"Q1")&lt;&gt;0,COUNTIF(AE8:AE62,"Q2")&lt;&gt;0,COUNTIF(AE8:AE62,"R1")&lt;&gt;0,COUNTIF(AE8:AE62,"R2")&lt;&gt;0),(COUNTIF(AE8:AE62,"P")),"")</f>
        <v>40</v>
      </c>
      <c r="AF64" s="356" t="s">
        <v>36</v>
      </c>
      <c r="AG64" s="357"/>
      <c r="AH64" s="359"/>
    </row>
    <row r="65" spans="1:66" s="167" customFormat="1" ht="13.2">
      <c r="A65" s="222"/>
      <c r="B65" s="223"/>
      <c r="C65" s="224"/>
      <c r="D65" s="225"/>
      <c r="E65" s="226"/>
      <c r="F65" s="227"/>
      <c r="G65" s="226"/>
      <c r="H65" s="227"/>
      <c r="I65" s="226"/>
      <c r="J65" s="227"/>
      <c r="K65" s="226"/>
      <c r="L65" s="227"/>
      <c r="M65" s="226"/>
      <c r="N65" s="227"/>
      <c r="O65" s="226"/>
      <c r="P65" s="227"/>
      <c r="Q65" s="256"/>
      <c r="R65" s="226"/>
      <c r="S65" s="227"/>
      <c r="T65" s="226"/>
      <c r="U65" s="257"/>
      <c r="V65" s="227"/>
      <c r="W65" s="226"/>
      <c r="X65" s="257"/>
      <c r="Y65" s="351" t="s">
        <v>37</v>
      </c>
      <c r="Z65" s="352"/>
      <c r="AA65" s="352"/>
      <c r="AB65" s="352"/>
      <c r="AC65" s="360"/>
      <c r="AD65" s="283">
        <f>IF(OR(COUNTIF(AD8:AD62,"P")&lt;&gt;0,COUNTIF(AD8:AD62,"F")&lt;&gt;0,COUNTIF(AD8:AD62,"ab")&lt;&gt;0),(COUNTIF(AD8:AD62,"F")),"")</f>
        <v>5</v>
      </c>
      <c r="AE65" s="218">
        <f>IF(OR(COUNTIF(AE8:AE62,"P")&lt;&gt;0,COUNTIF(AE8:AE62,"F")&lt;&gt;0,COUNTIF(AE8:AE62,"ab")&lt;&gt;0,COUNTIF(AE8:AE62,"Q1")&lt;&gt;0,COUNTIF(AE8:AE62,"Q2")&lt;&gt;0,COUNTIF(AE8:AE62,"R1")&lt;&gt;0,COUNTIF(AE8:AE62,"R2")&lt;&gt;0),(COUNTIF(AE8:AE62,"Q1")),"")</f>
        <v>0</v>
      </c>
      <c r="AF65" s="356" t="s">
        <v>38</v>
      </c>
      <c r="AG65" s="357"/>
      <c r="AH65" s="359"/>
    </row>
    <row r="66" spans="1:66" s="167" customFormat="1" ht="12" customHeight="1">
      <c r="A66" s="418" t="s">
        <v>39</v>
      </c>
      <c r="B66" s="418"/>
      <c r="C66" s="228" t="s">
        <v>40</v>
      </c>
      <c r="D66" s="229"/>
      <c r="E66" s="192">
        <f>IF(D$63="","",(COUNTIF(E$8:E$62,"A")))</f>
        <v>13</v>
      </c>
      <c r="F66" s="229"/>
      <c r="G66" s="192">
        <f>IF(F$63="","",(COUNTIF(G$8:G$62,"A")))</f>
        <v>5</v>
      </c>
      <c r="H66" s="229"/>
      <c r="I66" s="192">
        <f>IF(H$63="","",(COUNTIF(I$8:I$62,"A")))</f>
        <v>11</v>
      </c>
      <c r="J66" s="229"/>
      <c r="K66" s="192">
        <f>IF(J$63="","",(COUNTIF(K$8:K$62,"A")))</f>
        <v>2</v>
      </c>
      <c r="L66" s="229"/>
      <c r="M66" s="192">
        <f>IF(L$63="","",(COUNTIF(M$8:M$62,"A")))</f>
        <v>21</v>
      </c>
      <c r="N66" s="229"/>
      <c r="O66" s="192">
        <f>IF(N$63="","",(COUNTIF(O$8:O$62,"A")))</f>
        <v>10</v>
      </c>
      <c r="P66" s="229"/>
      <c r="Q66" s="192">
        <f>IF(P$63="","",(COUNTIF(Q$8:Q$62,"A")))</f>
        <v>15</v>
      </c>
      <c r="R66" s="229"/>
      <c r="S66" s="229"/>
      <c r="T66" s="192">
        <f>IF(S$63="","",(COUNTIF(T$8:T$62,"A")))</f>
        <v>12</v>
      </c>
      <c r="U66" s="229"/>
      <c r="V66" s="229"/>
      <c r="W66" s="192">
        <f>IF(V$63="","",(COUNTIF(W$8:W$62,"A")))</f>
        <v>9</v>
      </c>
      <c r="X66" s="302"/>
      <c r="Y66" s="205">
        <f>IF((COUNT($D66:$W66)=0),"",(SUM($D66:$W66)))</f>
        <v>98</v>
      </c>
      <c r="Z66" s="284"/>
      <c r="AA66" s="284"/>
      <c r="AB66" s="284"/>
      <c r="AC66" s="284"/>
      <c r="AD66" s="285"/>
      <c r="AE66" s="218">
        <f>IF(OR(COUNTIF(AE8:AE62,"P")&lt;&gt;0,COUNTIF(AE8:AE62,"F")&lt;&gt;0,COUNTIF(AE8:AE62,"ab")&lt;&gt;0,COUNTIF(AE8:AE62,"Q1")&lt;&gt;0,COUNTIF(AE8:AE62,"Q2")&lt;&gt;0,COUNTIF(AE8:AE62,"R1")&lt;&gt;0,COUNTIF(AE8:AE62,"R2")&lt;&gt;0),(COUNTIF(AE8:AE62,"Q2")),"")</f>
        <v>2</v>
      </c>
      <c r="AF66" s="356" t="s">
        <v>41</v>
      </c>
      <c r="AG66" s="357"/>
      <c r="AH66" s="359"/>
    </row>
    <row r="67" spans="1:66" s="167" customFormat="1" ht="12" customHeight="1">
      <c r="A67" s="418"/>
      <c r="B67" s="418"/>
      <c r="C67" s="228" t="s">
        <v>42</v>
      </c>
      <c r="D67" s="229"/>
      <c r="E67" s="192">
        <f>IF(D$63="","",(COUNTIF(E$8:E$62,"B")))</f>
        <v>14</v>
      </c>
      <c r="F67" s="229"/>
      <c r="G67" s="192">
        <f>IF(F$63="","",(COUNTIF(G$8:G$62,"B")))</f>
        <v>8</v>
      </c>
      <c r="H67" s="229"/>
      <c r="I67" s="192">
        <f>IF(H$63="","",(COUNTIF(I$8:I$62,"B")))</f>
        <v>16</v>
      </c>
      <c r="J67" s="229"/>
      <c r="K67" s="192">
        <f>IF(J$63="","",(COUNTIF(K$8:K$62,"B")))</f>
        <v>10</v>
      </c>
      <c r="L67" s="229"/>
      <c r="M67" s="192">
        <f>IF(L$63="","",(COUNTIF(M$8:M$62,"B")))</f>
        <v>12</v>
      </c>
      <c r="N67" s="229"/>
      <c r="O67" s="192">
        <f>IF(N$63="","",(COUNTIF(O$8:O$62,"B")))</f>
        <v>10</v>
      </c>
      <c r="P67" s="229"/>
      <c r="Q67" s="192">
        <f>IF(P$63="","",(COUNTIF(Q$8:Q$62,"B")))</f>
        <v>14</v>
      </c>
      <c r="R67" s="229"/>
      <c r="S67" s="229"/>
      <c r="T67" s="192">
        <f>IF(S$63="","",(COUNTIF(T$8:T$62,"B")))</f>
        <v>10</v>
      </c>
      <c r="U67" s="229"/>
      <c r="V67" s="229"/>
      <c r="W67" s="192">
        <f>IF(V$63="","",(COUNTIF(W$8:W$62,"B")))</f>
        <v>13</v>
      </c>
      <c r="X67" s="303"/>
      <c r="Y67" s="286"/>
      <c r="Z67" s="240">
        <f>IF((COUNT($D67:$W67)=0),"",SUM($D67:$W67))</f>
        <v>107</v>
      </c>
      <c r="AA67" s="229"/>
      <c r="AB67" s="229"/>
      <c r="AC67" s="229"/>
      <c r="AD67" s="287"/>
      <c r="AE67" s="218">
        <f>IF(OR(COUNTIF(AE8:AE62,"P")&lt;&gt;0,COUNTIF(AE8:AE62,"F")&lt;&gt;0,COUNTIF(AE8:AE62,"ab")&lt;&gt;0,COUNTIF(AE8:AE62,"Q1")&lt;&gt;0,COUNTIF(AE8:AE62,"Q2")&lt;&gt;0,COUNTIF(AE8:AE62,"R1")&lt;&gt;0,COUNTIF(AE8:AE62,"R2")&lt;&gt;0),(COUNTIF(AE8:AE62,"R1")),"")</f>
        <v>0</v>
      </c>
      <c r="AF67" s="356" t="s">
        <v>43</v>
      </c>
      <c r="AG67" s="357"/>
      <c r="AH67" s="359"/>
    </row>
    <row r="68" spans="1:66" s="167" customFormat="1" ht="12" customHeight="1">
      <c r="A68" s="418"/>
      <c r="B68" s="418"/>
      <c r="C68" s="228" t="s">
        <v>44</v>
      </c>
      <c r="D68" s="229"/>
      <c r="E68" s="192">
        <f>IF(D$63="","",(COUNTIF(E$8:E$62,"C")))</f>
        <v>11</v>
      </c>
      <c r="F68" s="229"/>
      <c r="G68" s="192">
        <f>IF(F$63="","",(COUNTIF(G$8:G$62,"C")))</f>
        <v>14</v>
      </c>
      <c r="H68" s="229"/>
      <c r="I68" s="192">
        <f>IF(H$63="","",(COUNTIF(I$8:I$62,"C")))</f>
        <v>17</v>
      </c>
      <c r="J68" s="229"/>
      <c r="K68" s="192">
        <f>IF(J$63="","",(COUNTIF(K$8:K$62,"C")))</f>
        <v>18</v>
      </c>
      <c r="L68" s="229"/>
      <c r="M68" s="192">
        <f>IF(L$63="","",(COUNTIF(M$8:M$62,"C")))</f>
        <v>9</v>
      </c>
      <c r="N68" s="229"/>
      <c r="O68" s="192">
        <f>IF(N$63="","",(COUNTIF(O$8:O$62,"C")))</f>
        <v>15</v>
      </c>
      <c r="P68" s="229"/>
      <c r="Q68" s="192">
        <f>IF(P$63="","",(COUNTIF(Q$8:Q$62,"C")))</f>
        <v>10</v>
      </c>
      <c r="R68" s="229"/>
      <c r="S68" s="229"/>
      <c r="T68" s="192">
        <f>IF(S$63="","",(COUNTIF(T$8:T$62,"C")))</f>
        <v>17</v>
      </c>
      <c r="U68" s="229"/>
      <c r="V68" s="229"/>
      <c r="W68" s="192">
        <f>IF(V$63="","",(COUNTIF(W$8:W$62,"C")))</f>
        <v>13</v>
      </c>
      <c r="X68" s="303"/>
      <c r="Y68" s="286"/>
      <c r="Z68" s="229"/>
      <c r="AA68" s="240">
        <f>IF((COUNT($D68:$W68)=0),"",SUM($D68:$W68))</f>
        <v>124</v>
      </c>
      <c r="AB68" s="229"/>
      <c r="AC68" s="229"/>
      <c r="AD68" s="287"/>
      <c r="AE68" s="218">
        <f>IF(OR(COUNTIF(AE8:AE62,"P")&lt;&gt;0,COUNTIF(AE8:AE62,"F")&lt;&gt;0,COUNTIF(AE8:AE62,"ab")&lt;&gt;0,COUNTIF(AE8:AE62,"Q1")&lt;&gt;0,COUNTIF(AE8:AE62,"Q2")&lt;&gt;0,COUNTIF(AE8:AE62,"R1")&lt;&gt;0,COUNTIF(AE8:AE62,"R2")&lt;&gt;0),(COUNTIF(AE8:AE62,"R2")),"")</f>
        <v>3</v>
      </c>
      <c r="AF68" s="356" t="s">
        <v>45</v>
      </c>
      <c r="AG68" s="357"/>
      <c r="AH68" s="359"/>
    </row>
    <row r="69" spans="1:66" s="167" customFormat="1" ht="12" customHeight="1">
      <c r="A69" s="418"/>
      <c r="B69" s="418"/>
      <c r="C69" s="228" t="s">
        <v>46</v>
      </c>
      <c r="D69" s="229"/>
      <c r="E69" s="192">
        <f>IF(D$63="","",(COUNTIF(E$8:E$62,"S")))</f>
        <v>1</v>
      </c>
      <c r="F69" s="229"/>
      <c r="G69" s="192">
        <f>IF(F$63="","",(COUNTIF(G$8:G$62,"S")))</f>
        <v>7</v>
      </c>
      <c r="H69" s="229"/>
      <c r="I69" s="192">
        <f>IF(H$63="","",(COUNTIF(I$8:I$62,"S")))</f>
        <v>1</v>
      </c>
      <c r="J69" s="229"/>
      <c r="K69" s="192">
        <f>IF(J$63="","",(COUNTIF(K$8:K$62,"S")))</f>
        <v>13</v>
      </c>
      <c r="L69" s="229"/>
      <c r="M69" s="192">
        <f>IF(L$63="","",(COUNTIF(M$8:M$62,"S")))</f>
        <v>2</v>
      </c>
      <c r="N69" s="229"/>
      <c r="O69" s="192">
        <f>IF(N$63="","",(COUNTIF(O$8:O$62,"S")))</f>
        <v>5</v>
      </c>
      <c r="P69" s="229"/>
      <c r="Q69" s="192">
        <f>IF(P$63="","",(COUNTIF(Q$8:Q$62,"S")))</f>
        <v>4</v>
      </c>
      <c r="R69" s="229"/>
      <c r="S69" s="229"/>
      <c r="T69" s="192">
        <f>IF(S$63="","",(COUNTIF(T$8:T$62,"S")))</f>
        <v>1</v>
      </c>
      <c r="U69" s="229"/>
      <c r="V69" s="229"/>
      <c r="W69" s="192">
        <f>IF(V$63="","",(COUNTIF(W$8:W$62,"S")))</f>
        <v>4</v>
      </c>
      <c r="X69" s="303"/>
      <c r="Y69" s="286"/>
      <c r="Z69" s="229"/>
      <c r="AA69" s="229"/>
      <c r="AB69" s="240">
        <f>IF((COUNT($D69:$W69)=0),"",SUM($D69:$W69))</f>
        <v>38</v>
      </c>
      <c r="AC69" s="229"/>
      <c r="AD69" s="287"/>
      <c r="AE69" s="218">
        <f>IF(OR(COUNTIF(AE8:AE62,"P")&lt;&gt;0,COUNTIF(AE8:AE62,"F")&lt;&gt;0,COUNTIF(AE8:AE62,"ab")&lt;&gt;0,COUNTIF(AE8:AE62,"Q1")&lt;&gt;0,COUNTIF(AE8:AE62,"Q2")&lt;&gt;0,COUNTIF(AE8:AE62,"R1")&lt;&gt;0,COUNTIF(AE8:AE62,"R2")&lt;&gt;0),(COUNTIF(AE8:AE62,"F")),"")</f>
        <v>0</v>
      </c>
      <c r="AF69" s="356" t="s">
        <v>37</v>
      </c>
      <c r="AG69" s="357"/>
      <c r="AH69" s="359"/>
    </row>
    <row r="70" spans="1:66" s="167" customFormat="1" ht="12" customHeight="1">
      <c r="A70" s="418"/>
      <c r="B70" s="418"/>
      <c r="C70" s="228" t="s">
        <v>32</v>
      </c>
      <c r="D70" s="229"/>
      <c r="E70" s="192">
        <f>IF(D$63="","",(COUNTIF(E$8:E$62,"W")))</f>
        <v>2</v>
      </c>
      <c r="F70" s="229"/>
      <c r="G70" s="192">
        <f>IF(F$63="","",(COUNTIF(G$8:G$62,"W")))</f>
        <v>0</v>
      </c>
      <c r="H70" s="229"/>
      <c r="I70" s="192">
        <f>IF(H$63="","",(COUNTIF(I$8:I$62,"W")))</f>
        <v>0</v>
      </c>
      <c r="J70" s="229"/>
      <c r="K70" s="192">
        <f>IF(J$63="","",(COUNTIF(K$8:K$62,"W")))</f>
        <v>2</v>
      </c>
      <c r="L70" s="229"/>
      <c r="M70" s="192">
        <f>IF(L$63="","",(COUNTIF(M$8:M$62,"W")))</f>
        <v>1</v>
      </c>
      <c r="N70" s="229"/>
      <c r="O70" s="192">
        <f>IF(N$63="","",(COUNTIF(O$8:O$62,"W")))</f>
        <v>3</v>
      </c>
      <c r="P70" s="229"/>
      <c r="Q70" s="192">
        <f>IF(P$63="","",(COUNTIF(Q$8:Q$62,"W")))</f>
        <v>2</v>
      </c>
      <c r="R70" s="229"/>
      <c r="S70" s="229"/>
      <c r="T70" s="192">
        <f>IF(S$63="","",(COUNTIF(T$8:T$62,"W")))</f>
        <v>2</v>
      </c>
      <c r="U70" s="229"/>
      <c r="V70" s="231"/>
      <c r="W70" s="192">
        <f>IF(V$63="","",(COUNTIF(W$8:W$62,"W")))</f>
        <v>2</v>
      </c>
      <c r="X70" s="304"/>
      <c r="Y70" s="286"/>
      <c r="Z70" s="229"/>
      <c r="AA70" s="229"/>
      <c r="AB70" s="229"/>
      <c r="AC70" s="240">
        <f>IF((COUNT($D70:$W70)=0),"",SUM($D70:$W70))</f>
        <v>14</v>
      </c>
      <c r="AD70" s="287"/>
      <c r="AE70" s="283">
        <f>IF(AND(AE63="",AE64="",AE65="",AE66="",AE67="",AE68="",AE69=""),"",SUM(AE63:AE69))</f>
        <v>45</v>
      </c>
      <c r="AF70" s="351" t="s">
        <v>33</v>
      </c>
      <c r="AG70" s="352"/>
      <c r="AH70" s="353"/>
    </row>
    <row r="71" spans="1:66" s="167" customFormat="1" ht="12" customHeight="1">
      <c r="A71" s="419"/>
      <c r="B71" s="419"/>
      <c r="C71" s="230" t="s">
        <v>47</v>
      </c>
      <c r="D71" s="231"/>
      <c r="E71" s="232">
        <f>IF(D$63="","",(COUNTIF(E$8:E$62,"ab")))</f>
        <v>5</v>
      </c>
      <c r="F71" s="231"/>
      <c r="G71" s="232">
        <f>IF(F$63="","",(COUNTIF(G$8:G$62,"ab")))</f>
        <v>12</v>
      </c>
      <c r="H71" s="231"/>
      <c r="I71" s="232">
        <f>IF(H$63="","",(COUNTIF(I$8:I$62,"ab")))</f>
        <v>1</v>
      </c>
      <c r="J71" s="231"/>
      <c r="K71" s="232">
        <f>IF(J$63="","",(COUNTIF(K$8:K$62,"ab")))</f>
        <v>1</v>
      </c>
      <c r="L71" s="231"/>
      <c r="M71" s="232">
        <f>IF(L$63="","",(COUNTIF(M$8:M$62,"ab")))</f>
        <v>1</v>
      </c>
      <c r="N71" s="231"/>
      <c r="O71" s="232">
        <f>IF(N$63="","",(COUNTIF(O$8:O$62,"ab")))</f>
        <v>3</v>
      </c>
      <c r="P71" s="231"/>
      <c r="Q71" s="232">
        <f>IF(P$63="","",(COUNTIF(Q$8:Q$62,"ab")))</f>
        <v>1</v>
      </c>
      <c r="R71" s="231"/>
      <c r="S71" s="231"/>
      <c r="T71" s="232">
        <f>IF(S$63="","",(COUNTIF(T$8:T$62,"ab")))</f>
        <v>4</v>
      </c>
      <c r="U71" s="267"/>
      <c r="V71" s="268"/>
      <c r="W71" s="269">
        <f>IF(V$63="","",(COUNTIF(W$8:W$62,"ab")))</f>
        <v>5</v>
      </c>
      <c r="X71" s="288"/>
      <c r="Y71" s="288"/>
      <c r="Z71" s="288"/>
      <c r="AA71" s="288"/>
      <c r="AB71" s="288"/>
      <c r="AC71" s="288"/>
      <c r="AD71" s="289">
        <f>IF((COUNT($D71:$W71)=0),"",SUM($D71:$W71))</f>
        <v>33</v>
      </c>
      <c r="AE71" s="290"/>
      <c r="AF71" s="257"/>
      <c r="AG71" s="257"/>
      <c r="AH71" s="288"/>
    </row>
    <row r="72" spans="1:66" s="167" customFormat="1" ht="12" customHeight="1">
      <c r="A72" s="361" t="s">
        <v>33</v>
      </c>
      <c r="B72" s="362"/>
      <c r="C72" s="362"/>
      <c r="D72" s="233"/>
      <c r="E72" s="234">
        <f>IF(D$63="","",(SUM(E$66:E$71)))</f>
        <v>46</v>
      </c>
      <c r="F72" s="233"/>
      <c r="G72" s="234">
        <f>IF(F$63="","",(SUM(G$66:G$71)))</f>
        <v>46</v>
      </c>
      <c r="H72" s="233"/>
      <c r="I72" s="234">
        <f>IF(H$63="","",(SUM(I$66:I$71)))</f>
        <v>46</v>
      </c>
      <c r="J72" s="233"/>
      <c r="K72" s="234">
        <f>IF(J$63="","",(SUM(K$66:K$71)))</f>
        <v>46</v>
      </c>
      <c r="L72" s="233"/>
      <c r="M72" s="234">
        <f>IF(L$63="","",(SUM(M$66:M$71)))</f>
        <v>46</v>
      </c>
      <c r="N72" s="233"/>
      <c r="O72" s="234">
        <f>IF(N$63="","",(SUM(O$66:O$71)))</f>
        <v>46</v>
      </c>
      <c r="P72" s="233"/>
      <c r="Q72" s="234">
        <f>IF(P$63="","",(SUM(Q$66:Q$71)))</f>
        <v>46</v>
      </c>
      <c r="R72" s="233"/>
      <c r="S72" s="233"/>
      <c r="T72" s="234">
        <f>IF(S$63="","",(SUM(T$66:T$71)))</f>
        <v>46</v>
      </c>
      <c r="U72" s="271"/>
      <c r="V72" s="272"/>
      <c r="W72" s="273">
        <f>IF(V$63="","",(SUM(W$66:W$71)))</f>
        <v>46</v>
      </c>
      <c r="X72" s="305"/>
      <c r="Y72" s="274"/>
      <c r="Z72" s="288"/>
      <c r="AA72" s="288"/>
      <c r="AB72" s="288"/>
      <c r="AC72" s="288"/>
      <c r="AD72" s="290"/>
      <c r="AE72" s="290"/>
      <c r="AF72" s="257"/>
      <c r="AG72" s="257"/>
      <c r="AH72" s="288"/>
    </row>
    <row r="73" spans="1:66" s="167" customFormat="1" ht="9.75" customHeight="1">
      <c r="A73" s="221"/>
      <c r="B73" s="221"/>
      <c r="C73" s="221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89"/>
      <c r="AE73" s="289"/>
      <c r="AF73" s="291"/>
      <c r="AG73" s="291"/>
      <c r="AH73" s="235"/>
    </row>
    <row r="74" spans="1:66" s="167" customFormat="1" ht="15" customHeight="1">
      <c r="A74" s="221"/>
      <c r="B74" s="221"/>
      <c r="C74" s="236" t="s">
        <v>48</v>
      </c>
      <c r="D74" s="237">
        <f>IF(D$63="","",(COUNTIFS(D$8:D$62,"&lt;=39",D$8:D$62,"&gt;=30")))</f>
        <v>1</v>
      </c>
      <c r="E74" s="238"/>
      <c r="F74" s="237">
        <f>IF(F$63="","",(COUNTIFS(F$8:F$62,"&lt;=39",F$8:F$62,"&gt;=30")))</f>
        <v>0</v>
      </c>
      <c r="G74" s="238"/>
      <c r="H74" s="237">
        <f>IF(H$63="","",(COUNTIFS(H$8:H$62,"&lt;=39",H$8:H$62,"&gt;=30")))</f>
        <v>0</v>
      </c>
      <c r="I74" s="238"/>
      <c r="J74" s="237">
        <f>IF(J$63="","",(COUNTIFS(J$8:J$62,"&lt;=39",J$8:J$62,"&gt;=30")))</f>
        <v>1</v>
      </c>
      <c r="K74" s="238"/>
      <c r="L74" s="237">
        <f>IF(L$63="","",(COUNTIFS(L$8:L$62,"&lt;=39",L$8:L$62,"&gt;=30")))</f>
        <v>1</v>
      </c>
      <c r="M74" s="238"/>
      <c r="N74" s="237">
        <f>IF(N$63="","",(COUNTIFS(N$8:N$62,"&lt;=39",N$8:N$62,"&gt;=30")))</f>
        <v>3</v>
      </c>
      <c r="O74" s="238"/>
      <c r="P74" s="237">
        <f>IF(P$63="","",(COUNTIFS(P$8:P$62,"&lt;=39",P$8:P$62,"&gt;=30")))</f>
        <v>1</v>
      </c>
      <c r="Q74" s="238"/>
      <c r="R74" s="238"/>
      <c r="S74" s="237">
        <f>IF(S$63="","",(COUNTIFS(S$8:S$62,"&lt;=39",S$8:S$62,"&gt;=30")))</f>
        <v>0</v>
      </c>
      <c r="T74" s="238"/>
      <c r="U74" s="238"/>
      <c r="V74" s="275">
        <f>IF(V$63="","",(COUNTIFS(V$8:V$62,"&lt;=39",V$8:V$62,"&gt;=30")))</f>
        <v>0</v>
      </c>
      <c r="W74" s="276"/>
      <c r="X74" s="277"/>
      <c r="Y74" s="235"/>
      <c r="Z74" s="363" t="s">
        <v>49</v>
      </c>
      <c r="AA74" s="364"/>
      <c r="AB74" s="364"/>
      <c r="AC74" s="364"/>
      <c r="AD74" s="365"/>
      <c r="AE74" s="366" t="s">
        <v>50</v>
      </c>
      <c r="AF74" s="367"/>
      <c r="AG74" s="367"/>
      <c r="AH74" s="368"/>
    </row>
    <row r="75" spans="1:66" s="167" customFormat="1" ht="13.2">
      <c r="A75" s="221"/>
      <c r="B75" s="221"/>
      <c r="C75" s="239" t="s">
        <v>51</v>
      </c>
      <c r="D75" s="240">
        <f>IF(D$63="","",(COUNTIFS(D$8:D$62,"&lt;=29",D$8:D$62,"&gt;=20")))</f>
        <v>0</v>
      </c>
      <c r="E75" s="229"/>
      <c r="F75" s="240">
        <f>IF(F$63="","",(COUNTIFS(F$8:F$62,"&lt;=29",F$8:F$62,"&gt;=20")))</f>
        <v>0</v>
      </c>
      <c r="G75" s="229"/>
      <c r="H75" s="240">
        <f>IF(H$63="","",(COUNTIFS(H$8:H$62,"&lt;=29",H$8:H$62,"&gt;=20")))</f>
        <v>0</v>
      </c>
      <c r="I75" s="229"/>
      <c r="J75" s="240">
        <f>IF(J$63="","",(COUNTIFS(J$8:J$62,"&lt;=29",J$8:J$62,"&gt;=20")))</f>
        <v>1</v>
      </c>
      <c r="K75" s="229"/>
      <c r="L75" s="240">
        <f>IF(L$63="","",(COUNTIFS(L$8:L$62,"&lt;=29",L$8:L$62,"&gt;=20")))</f>
        <v>0</v>
      </c>
      <c r="M75" s="229"/>
      <c r="N75" s="240">
        <f>IF(N$63="","",(COUNTIFS(N$8:N$62,"&lt;=29",N$8:N$62,"&gt;=20")))</f>
        <v>0</v>
      </c>
      <c r="O75" s="229"/>
      <c r="P75" s="240">
        <f>IF(P$63="","",(COUNTIFS(P$8:P$62,"&lt;=29",P$8:P$62,"&gt;=20")))</f>
        <v>1</v>
      </c>
      <c r="Q75" s="229"/>
      <c r="R75" s="229"/>
      <c r="S75" s="240">
        <f>IF(S$63="","",(COUNTIFS(S$8:S$62,"&lt;=29",S$8:S$62,"&gt;=20")))</f>
        <v>1</v>
      </c>
      <c r="T75" s="229"/>
      <c r="U75" s="229"/>
      <c r="V75" s="278">
        <f>IF(V$63="","",(COUNTIFS(V$8:V$62,"&lt;=29",V$8:V$62,"&gt;=20")))</f>
        <v>2</v>
      </c>
      <c r="W75" s="279"/>
      <c r="X75" s="270"/>
      <c r="Y75" s="235"/>
      <c r="Z75" s="363" t="s">
        <v>20</v>
      </c>
      <c r="AA75" s="364"/>
      <c r="AB75" s="364"/>
      <c r="AC75" s="364"/>
      <c r="AD75" s="364"/>
      <c r="AE75" s="364"/>
      <c r="AF75" s="364"/>
      <c r="AG75" s="364"/>
      <c r="AH75" s="365"/>
    </row>
    <row r="76" spans="1:66" s="167" customFormat="1" ht="13.2">
      <c r="A76" s="221"/>
      <c r="B76" s="221"/>
      <c r="C76" s="241" t="s">
        <v>52</v>
      </c>
      <c r="D76" s="240">
        <f>IF(D$63="","",(COUNTIFS(D$8:D$62,"&gt;=10",D$8:D$62,"&lt;=19")))</f>
        <v>1</v>
      </c>
      <c r="E76" s="229"/>
      <c r="F76" s="240">
        <f>IF(F$63="","",(COUNTIFS(F$8:F$62,"&gt;=10",F$8:F$62,"&lt;=19")))</f>
        <v>0</v>
      </c>
      <c r="G76" s="229"/>
      <c r="H76" s="240">
        <f>IF(H$63="","",(COUNTIFS(H$8:H$62,"&gt;=10",H$8:H$62,"&lt;=19")))</f>
        <v>0</v>
      </c>
      <c r="I76" s="229"/>
      <c r="J76" s="240">
        <f>IF(J$63="","",(COUNTIFS(J$8:J$62,"&gt;=10",J$8:J$62,"&lt;=19")))</f>
        <v>0</v>
      </c>
      <c r="K76" s="229"/>
      <c r="L76" s="240">
        <f>IF(L$63="","",(COUNTIFS(L$8:L$62,"&gt;=10",L$8:L$62,"&lt;=19")))</f>
        <v>0</v>
      </c>
      <c r="M76" s="229"/>
      <c r="N76" s="240">
        <f>IF(N$63="","",(COUNTIFS(N$8:N$62,"&gt;=10",N$8:N$62,"&lt;=19")))</f>
        <v>0</v>
      </c>
      <c r="O76" s="229"/>
      <c r="P76" s="240">
        <f>IF(P$63="","",(COUNTIFS(P$8:P$62,"&gt;=10",P$8:P$62,"&lt;=19")))</f>
        <v>0</v>
      </c>
      <c r="Q76" s="229"/>
      <c r="R76" s="229"/>
      <c r="S76" s="240">
        <f>IF(S$63="","",(COUNTIFS(S$8:S$62,"&gt;=10",S$8:S$62,"&lt;=19")))</f>
        <v>0</v>
      </c>
      <c r="T76" s="229"/>
      <c r="U76" s="229"/>
      <c r="V76" s="278">
        <f>IF(V$63="","",(COUNTIFS(V$8:V$62,"&gt;=10",V$8:V$62,"&lt;=19")))</f>
        <v>0</v>
      </c>
      <c r="W76" s="279"/>
      <c r="X76" s="270"/>
      <c r="Z76" s="292" t="s">
        <v>53</v>
      </c>
      <c r="AA76" s="369" t="s">
        <v>54</v>
      </c>
      <c r="AB76" s="370"/>
      <c r="AC76" s="370"/>
      <c r="AD76" s="370"/>
      <c r="AE76" s="370"/>
      <c r="AF76" s="370"/>
      <c r="AG76" s="370"/>
      <c r="AH76" s="371"/>
    </row>
    <row r="77" spans="1:66" s="167" customFormat="1" ht="13.2">
      <c r="A77" s="221"/>
      <c r="B77" s="221"/>
      <c r="C77" s="242" t="s">
        <v>55</v>
      </c>
      <c r="D77" s="243">
        <f>IF(D$63="","",(COUNTIFS(D$8:D$62,"&gt;=0",D$8:D$62,"&lt;=9")))</f>
        <v>0</v>
      </c>
      <c r="E77" s="244"/>
      <c r="F77" s="243">
        <f>IF(F$63="","",(COUNTIFS(F$8:F$62,"&gt;=0",F$8:F$62,"&lt;=9")))</f>
        <v>0</v>
      </c>
      <c r="G77" s="244"/>
      <c r="H77" s="243">
        <f>IF(H$63="","",(COUNTIFS(H$8:H$62,"&gt;=0",H$8:H$62,"&lt;=9")))</f>
        <v>0</v>
      </c>
      <c r="I77" s="244"/>
      <c r="J77" s="243">
        <f>IF(J$63="","",(COUNTIFS(J$8:J$62,"&gt;=0",J$8:J$62,"&lt;=9")))</f>
        <v>0</v>
      </c>
      <c r="K77" s="244"/>
      <c r="L77" s="243">
        <f>IF(L$63="","",(COUNTIFS(L$8:L$62,"&gt;=0",L$8:L$62,"&lt;=9")))</f>
        <v>0</v>
      </c>
      <c r="M77" s="244"/>
      <c r="N77" s="243">
        <f>IF(N$63="","",(COUNTIFS(N$8:N$62,"&gt;=0",N$8:N$62,"&lt;=9")))</f>
        <v>0</v>
      </c>
      <c r="O77" s="244"/>
      <c r="P77" s="243">
        <f>IF(P$63="","",(COUNTIFS(P$8:P$62,"&gt;=0",P$8:P$62,"&lt;=9")))</f>
        <v>0</v>
      </c>
      <c r="Q77" s="244"/>
      <c r="R77" s="244"/>
      <c r="S77" s="243">
        <f>IF(S$63="","",(COUNTIFS(S$8:S$62,"&gt;=0",S$8:S$62,"&lt;=9")))</f>
        <v>1</v>
      </c>
      <c r="T77" s="244"/>
      <c r="U77" s="244"/>
      <c r="V77" s="280">
        <f>IF(V$63="","",(COUNTIFS(V$8:V$62,"&gt;=0",V$8:V$62,"&lt;=9")))</f>
        <v>0</v>
      </c>
      <c r="W77" s="281"/>
      <c r="X77" s="282"/>
      <c r="Y77" s="235"/>
      <c r="Z77" s="293" t="s">
        <v>56</v>
      </c>
      <c r="AA77" s="372" t="s">
        <v>57</v>
      </c>
      <c r="AB77" s="373"/>
      <c r="AC77" s="373"/>
      <c r="AD77" s="373"/>
      <c r="AE77" s="373"/>
      <c r="AF77" s="373"/>
      <c r="AG77" s="373"/>
      <c r="AH77" s="374"/>
    </row>
    <row r="78" spans="1:66" ht="13.5" customHeight="1">
      <c r="A78" s="70"/>
      <c r="B78" s="70"/>
      <c r="C78" s="245"/>
      <c r="D78" s="70"/>
      <c r="E78" s="246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246"/>
      <c r="Z78" s="294" t="s">
        <v>58</v>
      </c>
      <c r="AA78" s="372" t="s">
        <v>59</v>
      </c>
      <c r="AB78" s="373"/>
      <c r="AC78" s="373"/>
      <c r="AD78" s="373"/>
      <c r="AE78" s="373"/>
      <c r="AF78" s="373"/>
      <c r="AG78" s="373"/>
      <c r="AH78" s="374"/>
    </row>
    <row r="79" spans="1:66" s="167" customFormat="1" ht="14.25" customHeight="1">
      <c r="A79" s="221"/>
      <c r="B79" s="247" t="s">
        <v>27</v>
      </c>
      <c r="C79" s="375" t="s">
        <v>60</v>
      </c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76"/>
      <c r="W79" s="377"/>
      <c r="X79" s="221"/>
      <c r="Y79" s="235"/>
      <c r="Z79" s="295" t="s">
        <v>61</v>
      </c>
      <c r="AA79" s="372" t="s">
        <v>62</v>
      </c>
      <c r="AB79" s="373"/>
      <c r="AC79" s="373"/>
      <c r="AD79" s="373"/>
      <c r="AE79" s="373"/>
      <c r="AF79" s="373"/>
      <c r="AG79" s="373"/>
      <c r="AH79" s="374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/>
      <c r="AX79" s="221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  <c r="BM79" s="221"/>
      <c r="BN79" s="221"/>
    </row>
    <row r="80" spans="1:66" s="167" customFormat="1" ht="12" customHeight="1">
      <c r="A80" s="221"/>
      <c r="B80" s="378" t="s">
        <v>15</v>
      </c>
      <c r="C80" s="379"/>
      <c r="D80" s="380" t="s">
        <v>16</v>
      </c>
      <c r="E80" s="381"/>
      <c r="F80" s="381"/>
      <c r="G80" s="381"/>
      <c r="H80" s="381"/>
      <c r="I80" s="381"/>
      <c r="J80" s="381"/>
      <c r="K80" s="381"/>
      <c r="L80" s="381"/>
      <c r="M80" s="382"/>
      <c r="N80" s="380" t="s">
        <v>17</v>
      </c>
      <c r="O80" s="381"/>
      <c r="P80" s="381"/>
      <c r="Q80" s="381"/>
      <c r="R80" s="381"/>
      <c r="S80" s="381"/>
      <c r="T80" s="381"/>
      <c r="U80" s="381"/>
      <c r="V80" s="381"/>
      <c r="W80" s="382"/>
      <c r="X80" s="221"/>
      <c r="Y80" s="235"/>
      <c r="Z80" s="296" t="s">
        <v>63</v>
      </c>
      <c r="AA80" s="372" t="s">
        <v>64</v>
      </c>
      <c r="AB80" s="373"/>
      <c r="AC80" s="373"/>
      <c r="AD80" s="373"/>
      <c r="AE80" s="373"/>
      <c r="AF80" s="373"/>
      <c r="AG80" s="373"/>
      <c r="AH80" s="374"/>
      <c r="AJ80" s="221"/>
      <c r="AK80" s="221"/>
      <c r="AL80" s="221"/>
      <c r="AM80" s="221"/>
      <c r="AN80" s="221"/>
      <c r="AO80" s="221"/>
      <c r="AP80" s="221"/>
      <c r="AQ80" s="221"/>
      <c r="AR80" s="221"/>
      <c r="AS80" s="221"/>
      <c r="AT80" s="221"/>
      <c r="AU80" s="221"/>
      <c r="AV80" s="221"/>
      <c r="AW80" s="221"/>
      <c r="AX80" s="221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</row>
    <row r="81" spans="1:66" s="167" customFormat="1" ht="12" customHeight="1">
      <c r="A81" s="221"/>
      <c r="B81" s="248" t="s">
        <v>65</v>
      </c>
      <c r="C81" s="249" t="s">
        <v>66</v>
      </c>
      <c r="D81" s="383" t="s">
        <v>67</v>
      </c>
      <c r="E81" s="384"/>
      <c r="F81" s="385" t="s">
        <v>68</v>
      </c>
      <c r="G81" s="386"/>
      <c r="H81" s="386"/>
      <c r="I81" s="386"/>
      <c r="J81" s="386"/>
      <c r="K81" s="386"/>
      <c r="L81" s="386"/>
      <c r="M81" s="387"/>
      <c r="N81" s="383" t="s">
        <v>69</v>
      </c>
      <c r="O81" s="384"/>
      <c r="P81" s="386" t="s">
        <v>70</v>
      </c>
      <c r="Q81" s="386"/>
      <c r="R81" s="386"/>
      <c r="S81" s="386"/>
      <c r="T81" s="386"/>
      <c r="U81" s="386"/>
      <c r="V81" s="386"/>
      <c r="W81" s="387"/>
      <c r="X81" s="221"/>
      <c r="Y81" s="235"/>
      <c r="Z81" s="297" t="s">
        <v>71</v>
      </c>
      <c r="AA81" s="372" t="s">
        <v>72</v>
      </c>
      <c r="AB81" s="373"/>
      <c r="AC81" s="373"/>
      <c r="AD81" s="373"/>
      <c r="AE81" s="373"/>
      <c r="AF81" s="373"/>
      <c r="AG81" s="373"/>
      <c r="AH81" s="374"/>
      <c r="AI81" s="221"/>
      <c r="AJ81" s="298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221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</row>
    <row r="82" spans="1:66" s="167" customFormat="1" ht="12" customHeight="1">
      <c r="A82" s="221"/>
      <c r="B82" s="250" t="s">
        <v>73</v>
      </c>
      <c r="C82" s="251" t="s">
        <v>74</v>
      </c>
      <c r="D82" s="388" t="s">
        <v>75</v>
      </c>
      <c r="E82" s="389"/>
      <c r="F82" s="390" t="s">
        <v>76</v>
      </c>
      <c r="G82" s="391"/>
      <c r="H82" s="391"/>
      <c r="I82" s="391"/>
      <c r="J82" s="391"/>
      <c r="K82" s="391"/>
      <c r="L82" s="391"/>
      <c r="M82" s="392"/>
      <c r="N82" s="388" t="s">
        <v>77</v>
      </c>
      <c r="O82" s="389"/>
      <c r="P82" s="391" t="s">
        <v>78</v>
      </c>
      <c r="Q82" s="391"/>
      <c r="R82" s="391"/>
      <c r="S82" s="391"/>
      <c r="T82" s="391"/>
      <c r="U82" s="391"/>
      <c r="V82" s="391"/>
      <c r="W82" s="392"/>
      <c r="X82" s="221"/>
      <c r="Y82" s="416" t="s">
        <v>79</v>
      </c>
      <c r="Z82" s="416"/>
      <c r="AA82" s="416"/>
      <c r="AB82" s="417" t="s">
        <v>80</v>
      </c>
      <c r="AC82" s="417"/>
      <c r="AD82" s="417"/>
      <c r="AE82" s="417"/>
      <c r="AF82" s="417"/>
      <c r="AG82" s="417"/>
      <c r="AH82" s="417"/>
      <c r="AI82" s="221"/>
      <c r="AJ82" s="298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</row>
    <row r="83" spans="1:66" s="167" customFormat="1" ht="12" customHeight="1">
      <c r="A83" s="221"/>
      <c r="B83" s="250" t="s">
        <v>81</v>
      </c>
      <c r="C83" s="251" t="s">
        <v>82</v>
      </c>
      <c r="D83" s="388" t="s">
        <v>83</v>
      </c>
      <c r="E83" s="389"/>
      <c r="F83" s="390" t="s">
        <v>84</v>
      </c>
      <c r="G83" s="391"/>
      <c r="H83" s="391"/>
      <c r="I83" s="391"/>
      <c r="J83" s="391"/>
      <c r="K83" s="391"/>
      <c r="L83" s="391"/>
      <c r="M83" s="392"/>
      <c r="N83" s="388" t="s">
        <v>85</v>
      </c>
      <c r="O83" s="389"/>
      <c r="P83" s="391" t="s">
        <v>86</v>
      </c>
      <c r="Q83" s="391"/>
      <c r="R83" s="391"/>
      <c r="S83" s="391"/>
      <c r="T83" s="391"/>
      <c r="U83" s="391"/>
      <c r="V83" s="391"/>
      <c r="W83" s="392"/>
      <c r="X83" s="221"/>
      <c r="Y83" s="416"/>
      <c r="Z83" s="416"/>
      <c r="AA83" s="416"/>
      <c r="AB83" s="416"/>
      <c r="AC83" s="416"/>
      <c r="AD83" s="416"/>
      <c r="AE83" s="416"/>
      <c r="AF83" s="416"/>
      <c r="AG83" s="416"/>
      <c r="AH83" s="416"/>
      <c r="AI83" s="221"/>
      <c r="AJ83" s="298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</row>
    <row r="84" spans="1:66" s="167" customFormat="1" ht="12" customHeight="1">
      <c r="A84" s="221"/>
      <c r="B84" s="250" t="s">
        <v>87</v>
      </c>
      <c r="C84" s="251" t="s">
        <v>88</v>
      </c>
      <c r="D84" s="388" t="s">
        <v>89</v>
      </c>
      <c r="E84" s="389"/>
      <c r="F84" s="390" t="s">
        <v>90</v>
      </c>
      <c r="G84" s="391"/>
      <c r="H84" s="391"/>
      <c r="I84" s="391"/>
      <c r="J84" s="391"/>
      <c r="K84" s="391"/>
      <c r="L84" s="391"/>
      <c r="M84" s="392"/>
      <c r="N84" s="388" t="s">
        <v>91</v>
      </c>
      <c r="O84" s="389"/>
      <c r="P84" s="391" t="s">
        <v>92</v>
      </c>
      <c r="Q84" s="391"/>
      <c r="R84" s="391"/>
      <c r="S84" s="391"/>
      <c r="T84" s="391"/>
      <c r="U84" s="391"/>
      <c r="V84" s="391"/>
      <c r="W84" s="392"/>
      <c r="X84" s="221"/>
      <c r="Y84" s="415" t="s">
        <v>93</v>
      </c>
      <c r="Z84" s="415"/>
      <c r="AA84" s="415"/>
      <c r="AB84" s="415"/>
      <c r="AC84" s="416" t="s">
        <v>80</v>
      </c>
      <c r="AD84" s="416"/>
      <c r="AE84" s="416"/>
      <c r="AF84" s="416"/>
      <c r="AG84" s="416"/>
      <c r="AH84" s="416"/>
      <c r="AI84" s="221"/>
      <c r="AJ84" s="298"/>
      <c r="AK84" s="221"/>
      <c r="AL84" s="221"/>
      <c r="AM84" s="221"/>
      <c r="AN84" s="221"/>
      <c r="AO84" s="221"/>
      <c r="AP84" s="221"/>
      <c r="AQ84" s="221"/>
      <c r="AR84" s="221"/>
      <c r="AS84" s="221"/>
      <c r="AT84" s="221"/>
      <c r="AU84" s="221"/>
      <c r="AV84" s="221"/>
      <c r="AW84" s="221"/>
      <c r="AX84" s="221"/>
      <c r="AY84" s="221"/>
      <c r="AZ84" s="221"/>
      <c r="BA84" s="221"/>
      <c r="BB84" s="221"/>
      <c r="BC84" s="221"/>
      <c r="BD84" s="221"/>
      <c r="BE84" s="221"/>
      <c r="BF84" s="221"/>
      <c r="BG84" s="221"/>
      <c r="BH84" s="221"/>
      <c r="BI84" s="221"/>
      <c r="BJ84" s="221"/>
      <c r="BK84" s="221"/>
      <c r="BL84" s="221"/>
      <c r="BM84" s="221"/>
      <c r="BN84" s="221"/>
    </row>
    <row r="85" spans="1:66" s="167" customFormat="1" ht="12" customHeight="1">
      <c r="A85" s="221"/>
      <c r="B85" s="250" t="s">
        <v>94</v>
      </c>
      <c r="C85" s="252"/>
      <c r="D85" s="388" t="s">
        <v>95</v>
      </c>
      <c r="E85" s="389"/>
      <c r="F85" s="390" t="s">
        <v>96</v>
      </c>
      <c r="G85" s="391"/>
      <c r="H85" s="391"/>
      <c r="I85" s="391"/>
      <c r="J85" s="391"/>
      <c r="K85" s="391"/>
      <c r="L85" s="391"/>
      <c r="M85" s="392"/>
      <c r="N85" s="388" t="s">
        <v>97</v>
      </c>
      <c r="O85" s="389"/>
      <c r="P85" s="391" t="s">
        <v>98</v>
      </c>
      <c r="Q85" s="391"/>
      <c r="R85" s="391"/>
      <c r="S85" s="391"/>
      <c r="T85" s="391"/>
      <c r="U85" s="391"/>
      <c r="V85" s="391"/>
      <c r="W85" s="392"/>
      <c r="X85" s="221"/>
      <c r="Y85" s="415"/>
      <c r="Z85" s="415"/>
      <c r="AA85" s="415"/>
      <c r="AB85" s="415"/>
      <c r="AC85" s="416"/>
      <c r="AD85" s="416"/>
      <c r="AE85" s="416"/>
      <c r="AF85" s="416"/>
      <c r="AG85" s="416"/>
      <c r="AH85" s="416"/>
      <c r="AI85" s="221"/>
    </row>
    <row r="86" spans="1:66" s="167" customFormat="1" ht="12" customHeight="1">
      <c r="A86" s="221"/>
      <c r="B86" s="250" t="s">
        <v>99</v>
      </c>
      <c r="C86" s="253"/>
      <c r="D86" s="388" t="s">
        <v>100</v>
      </c>
      <c r="E86" s="389"/>
      <c r="F86" s="390" t="s">
        <v>101</v>
      </c>
      <c r="G86" s="391"/>
      <c r="H86" s="391"/>
      <c r="I86" s="391"/>
      <c r="J86" s="391"/>
      <c r="K86" s="391"/>
      <c r="L86" s="391"/>
      <c r="M86" s="392"/>
      <c r="N86" s="388" t="s">
        <v>102</v>
      </c>
      <c r="O86" s="389"/>
      <c r="P86" s="391" t="s">
        <v>103</v>
      </c>
      <c r="Q86" s="391"/>
      <c r="R86" s="391"/>
      <c r="S86" s="391"/>
      <c r="T86" s="391"/>
      <c r="U86" s="391"/>
      <c r="V86" s="391"/>
      <c r="W86" s="392"/>
      <c r="X86" s="221"/>
      <c r="Y86" s="413" t="s">
        <v>104</v>
      </c>
      <c r="Z86" s="413"/>
      <c r="AA86" s="413"/>
      <c r="AB86" s="413"/>
      <c r="AC86" s="413"/>
      <c r="AD86" s="414" t="s">
        <v>80</v>
      </c>
      <c r="AE86" s="414"/>
      <c r="AF86" s="414"/>
      <c r="AG86" s="414"/>
      <c r="AH86" s="414"/>
    </row>
    <row r="87" spans="1:66" s="167" customFormat="1" ht="12" customHeight="1">
      <c r="A87" s="221"/>
      <c r="B87" s="250" t="s">
        <v>105</v>
      </c>
      <c r="C87" s="253"/>
      <c r="D87" s="388" t="s">
        <v>106</v>
      </c>
      <c r="E87" s="389"/>
      <c r="F87" s="393"/>
      <c r="G87" s="394"/>
      <c r="H87" s="394"/>
      <c r="I87" s="394"/>
      <c r="J87" s="394"/>
      <c r="K87" s="394"/>
      <c r="L87" s="394"/>
      <c r="M87" s="395"/>
      <c r="N87" s="388" t="s">
        <v>107</v>
      </c>
      <c r="O87" s="389"/>
      <c r="P87" s="391" t="s">
        <v>108</v>
      </c>
      <c r="Q87" s="391"/>
      <c r="R87" s="391"/>
      <c r="S87" s="391"/>
      <c r="T87" s="391"/>
      <c r="U87" s="391"/>
      <c r="V87" s="391"/>
      <c r="W87" s="392"/>
      <c r="X87" s="221"/>
      <c r="Y87" s="413"/>
      <c r="Z87" s="413"/>
      <c r="AA87" s="413"/>
      <c r="AB87" s="413"/>
      <c r="AC87" s="413"/>
      <c r="AD87" s="414"/>
      <c r="AE87" s="414"/>
      <c r="AF87" s="414"/>
      <c r="AG87" s="414"/>
      <c r="AH87" s="414"/>
      <c r="AI87" s="299"/>
      <c r="AJ87" s="300"/>
      <c r="AK87" s="301"/>
    </row>
    <row r="88" spans="1:66" s="167" customFormat="1" ht="12" customHeight="1">
      <c r="A88" s="221"/>
      <c r="B88" s="254" t="s">
        <v>109</v>
      </c>
      <c r="C88" s="255"/>
      <c r="D88" s="396" t="s">
        <v>110</v>
      </c>
      <c r="E88" s="397"/>
      <c r="F88" s="398"/>
      <c r="G88" s="399"/>
      <c r="H88" s="399"/>
      <c r="I88" s="399"/>
      <c r="J88" s="399"/>
      <c r="K88" s="399"/>
      <c r="L88" s="399"/>
      <c r="M88" s="400"/>
      <c r="N88" s="396" t="s">
        <v>111</v>
      </c>
      <c r="O88" s="397"/>
      <c r="P88" s="399"/>
      <c r="Q88" s="399"/>
      <c r="R88" s="399"/>
      <c r="S88" s="399"/>
      <c r="T88" s="399"/>
      <c r="U88" s="399"/>
      <c r="V88" s="399"/>
      <c r="W88" s="400"/>
      <c r="X88" s="221"/>
      <c r="Y88" s="413"/>
      <c r="Z88" s="413"/>
      <c r="AA88" s="413"/>
      <c r="AB88" s="413"/>
      <c r="AC88" s="413"/>
      <c r="AD88" s="414"/>
      <c r="AE88" s="414"/>
      <c r="AF88" s="414"/>
      <c r="AG88" s="414"/>
      <c r="AH88" s="414"/>
      <c r="AI88" s="299"/>
      <c r="AJ88" s="300"/>
      <c r="AK88" s="301"/>
    </row>
    <row r="89" spans="1:66">
      <c r="A89" s="401" t="s">
        <v>112</v>
      </c>
      <c r="B89" s="401"/>
      <c r="C89" s="401"/>
      <c r="D89" s="401"/>
      <c r="E89" s="401"/>
      <c r="F89" s="401"/>
      <c r="G89" s="401"/>
      <c r="H89" s="401"/>
      <c r="I89" s="401"/>
      <c r="J89" s="401"/>
      <c r="K89" s="401"/>
      <c r="L89" s="401"/>
      <c r="M89" s="401"/>
      <c r="N89" s="401"/>
      <c r="O89" s="401"/>
      <c r="P89" s="401"/>
      <c r="Q89" s="401"/>
      <c r="R89" s="401"/>
      <c r="S89" s="401"/>
      <c r="T89" s="401"/>
      <c r="U89" s="401"/>
      <c r="V89" s="401"/>
      <c r="W89" s="401"/>
      <c r="X89" s="401"/>
      <c r="Y89" s="401"/>
      <c r="Z89" s="401"/>
      <c r="AA89" s="401"/>
      <c r="AB89" s="401"/>
      <c r="AC89" s="401"/>
      <c r="AD89" s="401"/>
      <c r="AE89" s="401"/>
      <c r="AF89" s="401"/>
      <c r="AG89" s="401"/>
      <c r="AH89" s="401"/>
    </row>
  </sheetData>
  <sheetProtection algorithmName="SHA-512" hashValue="FxyUKfqbmsLp7StlOgC0Rpksofu6SL7Wfk5vvGKhNSZbDIcToqQr9Ws+URV1ENaGB/ALLbAfir1PI5HLkLweeg==" saltValue="X5pBxD3IeeP8BJhicS5HVg==" spinCount="100000" sheet="1" objects="1" scenarios="1"/>
  <mergeCells count="115">
    <mergeCell ref="A89:AH89"/>
    <mergeCell ref="A6:A7"/>
    <mergeCell ref="B6:B7"/>
    <mergeCell ref="AD6:AD7"/>
    <mergeCell ref="AE6:AE7"/>
    <mergeCell ref="AF6:AF7"/>
    <mergeCell ref="AG6:AG7"/>
    <mergeCell ref="AH6:AH7"/>
    <mergeCell ref="Y86:AC88"/>
    <mergeCell ref="AD86:AH88"/>
    <mergeCell ref="Y82:AA83"/>
    <mergeCell ref="AB82:AH83"/>
    <mergeCell ref="Y84:AB85"/>
    <mergeCell ref="AC84:AH85"/>
    <mergeCell ref="A66:B71"/>
    <mergeCell ref="D86:E86"/>
    <mergeCell ref="F86:M86"/>
    <mergeCell ref="N86:O86"/>
    <mergeCell ref="P86:W86"/>
    <mergeCell ref="D87:E87"/>
    <mergeCell ref="F87:M87"/>
    <mergeCell ref="N87:O87"/>
    <mergeCell ref="P87:W87"/>
    <mergeCell ref="D88:E88"/>
    <mergeCell ref="F88:M88"/>
    <mergeCell ref="N88:O88"/>
    <mergeCell ref="P88:W88"/>
    <mergeCell ref="D83:E83"/>
    <mergeCell ref="F83:M83"/>
    <mergeCell ref="N83:O83"/>
    <mergeCell ref="P83:W83"/>
    <mergeCell ref="D84:E84"/>
    <mergeCell ref="F84:M84"/>
    <mergeCell ref="N84:O84"/>
    <mergeCell ref="P84:W84"/>
    <mergeCell ref="D85:E85"/>
    <mergeCell ref="F85:M85"/>
    <mergeCell ref="N85:O85"/>
    <mergeCell ref="P85:W85"/>
    <mergeCell ref="D81:E81"/>
    <mergeCell ref="F81:M81"/>
    <mergeCell ref="N81:O81"/>
    <mergeCell ref="P81:W81"/>
    <mergeCell ref="AA81:AH81"/>
    <mergeCell ref="D82:E82"/>
    <mergeCell ref="F82:M82"/>
    <mergeCell ref="N82:O82"/>
    <mergeCell ref="P82:W82"/>
    <mergeCell ref="Z75:AH75"/>
    <mergeCell ref="AA76:AH76"/>
    <mergeCell ref="AA77:AH77"/>
    <mergeCell ref="AA78:AH78"/>
    <mergeCell ref="C79:W79"/>
    <mergeCell ref="AA79:AH79"/>
    <mergeCell ref="B80:C80"/>
    <mergeCell ref="D80:M80"/>
    <mergeCell ref="N80:W80"/>
    <mergeCell ref="AA80:AH80"/>
    <mergeCell ref="Y65:AC65"/>
    <mergeCell ref="AF65:AH65"/>
    <mergeCell ref="AF66:AH66"/>
    <mergeCell ref="AF67:AH67"/>
    <mergeCell ref="AF68:AH68"/>
    <mergeCell ref="AF69:AH69"/>
    <mergeCell ref="AF70:AH70"/>
    <mergeCell ref="A72:C72"/>
    <mergeCell ref="Z74:AD74"/>
    <mergeCell ref="AE74:AH74"/>
    <mergeCell ref="AF63:AH63"/>
    <mergeCell ref="A64:C64"/>
    <mergeCell ref="D64:E64"/>
    <mergeCell ref="F64:G64"/>
    <mergeCell ref="H64:I64"/>
    <mergeCell ref="J64:K64"/>
    <mergeCell ref="L64:M64"/>
    <mergeCell ref="N64:O64"/>
    <mergeCell ref="P64:Q64"/>
    <mergeCell ref="S64:T64"/>
    <mergeCell ref="V64:W64"/>
    <mergeCell ref="Y64:AC64"/>
    <mergeCell ref="AF64:AH64"/>
    <mergeCell ref="Y6:AC6"/>
    <mergeCell ref="A63:C63"/>
    <mergeCell ref="D63:E63"/>
    <mergeCell ref="F63:G63"/>
    <mergeCell ref="H63:I63"/>
    <mergeCell ref="J63:K63"/>
    <mergeCell ref="L63:M63"/>
    <mergeCell ref="N63:O63"/>
    <mergeCell ref="P63:Q63"/>
    <mergeCell ref="S63:T63"/>
    <mergeCell ref="V63:W63"/>
    <mergeCell ref="Y63:AC63"/>
    <mergeCell ref="D6:E6"/>
    <mergeCell ref="F6:G6"/>
    <mergeCell ref="H6:I6"/>
    <mergeCell ref="J6:K6"/>
    <mergeCell ref="L6:M6"/>
    <mergeCell ref="N6:O6"/>
    <mergeCell ref="P6:R6"/>
    <mergeCell ref="S6:U6"/>
    <mergeCell ref="V6:X6"/>
    <mergeCell ref="A3:AH3"/>
    <mergeCell ref="A4:C4"/>
    <mergeCell ref="D4:R4"/>
    <mergeCell ref="S4:V4"/>
    <mergeCell ref="W4:AB4"/>
    <mergeCell ref="AC4:AF4"/>
    <mergeCell ref="AG4:AH4"/>
    <mergeCell ref="A5:C5"/>
    <mergeCell ref="D5:I5"/>
    <mergeCell ref="J5:M5"/>
    <mergeCell ref="N5:R5"/>
    <mergeCell ref="S5:V5"/>
    <mergeCell ref="W5:AH5"/>
  </mergeCells>
  <conditionalFormatting sqref="B8:B62">
    <cfRule type="expression" dxfId="203" priority="1">
      <formula>$AE8="F"</formula>
    </cfRule>
    <cfRule type="expression" dxfId="202" priority="2">
      <formula>$AE8="R2"</formula>
    </cfRule>
    <cfRule type="expression" dxfId="201" priority="3">
      <formula>$AE8="R1"</formula>
    </cfRule>
    <cfRule type="expression" dxfId="200" priority="4">
      <formula>$AE8="Q2"</formula>
    </cfRule>
    <cfRule type="expression" dxfId="199" priority="5">
      <formula>$AE8="Q1"</formula>
    </cfRule>
    <cfRule type="expression" dxfId="198" priority="21">
      <formula>$AE$8="P"</formula>
    </cfRule>
  </conditionalFormatting>
  <conditionalFormatting sqref="D8:D62">
    <cfRule type="cellIs" dxfId="197" priority="64" operator="between">
      <formula>10</formula>
      <formula>19</formula>
    </cfRule>
    <cfRule type="cellIs" dxfId="196" priority="63" operator="between">
      <formula>20</formula>
      <formula>29</formula>
    </cfRule>
    <cfRule type="cellIs" dxfId="195" priority="62" operator="between">
      <formula>30</formula>
      <formula>39</formula>
    </cfRule>
    <cfRule type="cellIs" dxfId="194" priority="66" operator="between">
      <formula>0</formula>
      <formula>9</formula>
    </cfRule>
    <cfRule type="containsBlanks" dxfId="193" priority="65">
      <formula>LEN(TRIM(D8))=0</formula>
    </cfRule>
  </conditionalFormatting>
  <conditionalFormatting sqref="F8:F62">
    <cfRule type="cellIs" dxfId="192" priority="16" operator="between">
      <formula>30</formula>
      <formula>39</formula>
    </cfRule>
    <cfRule type="cellIs" dxfId="191" priority="17" operator="between">
      <formula>20</formula>
      <formula>29</formula>
    </cfRule>
    <cfRule type="cellIs" dxfId="190" priority="18" operator="between">
      <formula>10</formula>
      <formula>19</formula>
    </cfRule>
    <cfRule type="containsBlanks" dxfId="189" priority="19">
      <formula>LEN(TRIM(F8))=0</formula>
    </cfRule>
    <cfRule type="cellIs" dxfId="188" priority="20" operator="between">
      <formula>0</formula>
      <formula>9</formula>
    </cfRule>
  </conditionalFormatting>
  <conditionalFormatting sqref="H8:H62">
    <cfRule type="cellIs" dxfId="187" priority="13" operator="between">
      <formula>10</formula>
      <formula>19</formula>
    </cfRule>
    <cfRule type="cellIs" dxfId="186" priority="11" operator="between">
      <formula>30</formula>
      <formula>39</formula>
    </cfRule>
    <cfRule type="cellIs" dxfId="185" priority="12" operator="between">
      <formula>20</formula>
      <formula>29</formula>
    </cfRule>
    <cfRule type="containsBlanks" dxfId="184" priority="14">
      <formula>LEN(TRIM(H8))=0</formula>
    </cfRule>
    <cfRule type="cellIs" dxfId="183" priority="15" operator="between">
      <formula>0</formula>
      <formula>9</formula>
    </cfRule>
  </conditionalFormatting>
  <conditionalFormatting sqref="J8:J62">
    <cfRule type="cellIs" dxfId="182" priority="6" operator="between">
      <formula>30</formula>
      <formula>39</formula>
    </cfRule>
    <cfRule type="cellIs" dxfId="181" priority="8" operator="between">
      <formula>10</formula>
      <formula>19</formula>
    </cfRule>
    <cfRule type="containsBlanks" dxfId="180" priority="9">
      <formula>LEN(TRIM(J8))=0</formula>
    </cfRule>
    <cfRule type="cellIs" dxfId="179" priority="10" operator="between">
      <formula>0</formula>
      <formula>9</formula>
    </cfRule>
    <cfRule type="cellIs" dxfId="178" priority="7" operator="between">
      <formula>20</formula>
      <formula>29</formula>
    </cfRule>
  </conditionalFormatting>
  <conditionalFormatting sqref="L8:L62">
    <cfRule type="cellIs" dxfId="177" priority="42" operator="between">
      <formula>30</formula>
      <formula>39</formula>
    </cfRule>
    <cfRule type="cellIs" dxfId="176" priority="43" operator="between">
      <formula>20</formula>
      <formula>29</formula>
    </cfRule>
    <cfRule type="cellIs" dxfId="175" priority="44" operator="between">
      <formula>10</formula>
      <formula>19</formula>
    </cfRule>
    <cfRule type="cellIs" dxfId="174" priority="46" operator="between">
      <formula>0</formula>
      <formula>9</formula>
    </cfRule>
    <cfRule type="containsBlanks" dxfId="173" priority="45">
      <formula>LEN(TRIM(L8))=0</formula>
    </cfRule>
  </conditionalFormatting>
  <conditionalFormatting sqref="N8:N62">
    <cfRule type="cellIs" dxfId="172" priority="37" operator="between">
      <formula>30</formula>
      <formula>39</formula>
    </cfRule>
    <cfRule type="cellIs" dxfId="171" priority="38" operator="between">
      <formula>20</formula>
      <formula>29</formula>
    </cfRule>
    <cfRule type="containsBlanks" dxfId="170" priority="40">
      <formula>LEN(TRIM(N8))=0</formula>
    </cfRule>
    <cfRule type="cellIs" dxfId="169" priority="41" operator="between">
      <formula>0</formula>
      <formula>9</formula>
    </cfRule>
    <cfRule type="cellIs" dxfId="168" priority="39" operator="between">
      <formula>10</formula>
      <formula>19</formula>
    </cfRule>
  </conditionalFormatting>
  <conditionalFormatting sqref="P8:P62">
    <cfRule type="cellIs" dxfId="167" priority="33" operator="between">
      <formula>20</formula>
      <formula>29</formula>
    </cfRule>
    <cfRule type="cellIs" dxfId="166" priority="34" operator="between">
      <formula>10</formula>
      <formula>19</formula>
    </cfRule>
    <cfRule type="containsBlanks" dxfId="165" priority="35">
      <formula>LEN(TRIM(P8))=0</formula>
    </cfRule>
    <cfRule type="cellIs" dxfId="164" priority="36" operator="between">
      <formula>0</formula>
      <formula>9</formula>
    </cfRule>
    <cfRule type="cellIs" dxfId="163" priority="32" operator="between">
      <formula>30</formula>
      <formula>39</formula>
    </cfRule>
  </conditionalFormatting>
  <conditionalFormatting sqref="S8:S62">
    <cfRule type="cellIs" dxfId="162" priority="26" operator="between">
      <formula>0</formula>
      <formula>9</formula>
    </cfRule>
    <cfRule type="containsBlanks" dxfId="161" priority="25">
      <formula>LEN(TRIM(S8))=0</formula>
    </cfRule>
    <cfRule type="cellIs" dxfId="160" priority="24" operator="between">
      <formula>10</formula>
      <formula>19</formula>
    </cfRule>
    <cfRule type="cellIs" dxfId="159" priority="23" operator="between">
      <formula>20</formula>
      <formula>29</formula>
    </cfRule>
    <cfRule type="cellIs" dxfId="158" priority="22" operator="between">
      <formula>30</formula>
      <formula>39</formula>
    </cfRule>
  </conditionalFormatting>
  <conditionalFormatting sqref="V8:V62">
    <cfRule type="cellIs" dxfId="157" priority="27" operator="between">
      <formula>30</formula>
      <formula>39</formula>
    </cfRule>
    <cfRule type="cellIs" dxfId="156" priority="28" operator="between">
      <formula>20</formula>
      <formula>29</formula>
    </cfRule>
    <cfRule type="cellIs" dxfId="155" priority="29" operator="between">
      <formula>10</formula>
      <formula>19</formula>
    </cfRule>
    <cfRule type="containsBlanks" dxfId="154" priority="30">
      <formula>LEN(TRIM(V8))=0</formula>
    </cfRule>
    <cfRule type="cellIs" dxfId="153" priority="31" operator="between">
      <formula>0</formula>
      <formula>9</formula>
    </cfRule>
  </conditionalFormatting>
  <dataValidations count="9">
    <dataValidation type="custom" allowBlank="1" showInputMessage="1" showErrorMessage="1" sqref="AK6" xr:uid="{00000000-0002-0000-0600-000000000000}">
      <formula1>EXACT(AK6,LOWER(AK10))</formula1>
    </dataValidation>
    <dataValidation type="custom" allowBlank="1" showInputMessage="1" showErrorMessage="1" sqref="AI74" xr:uid="{00000000-0002-0000-0600-000001000000}">
      <formula1>OR(AND(AI74&gt;=0,AI74&lt;=100),AI74="ab")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8:D10 F8:F10 H8:H10 J8:J10 L8:L10 N8:N10 P8:P10 S8:S10 V8:V10" xr:uid="{00000000-0002-0000-0600-000002000000}">
      <formula1>OR(AND(D8:D62&gt;=0,D8:D62&lt;=100),D8:D62="ab")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11:D23 F11:F23 H11:H23 J11:J23 L11:L23 N11:N23 P11:P23 S11:S23 V11:V23" xr:uid="{00000000-0002-0000-0600-000003000000}">
      <formula1>OR(AND(D11:D66&gt;=0,D11:D66&lt;=100),D11:D66="ab")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24:D53 F24:F53 H24:H53 J24:J53 L24:L53 N24:N53 P24:P53 S24:S53 V24:V53" xr:uid="{00000000-0002-0000-0600-000004000000}">
      <formula1>OR(AND(D24:D83&gt;=0,D24:D83&lt;=100),D24:D83="ab")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54:D62 F54:F62 H54:H62 J54:J62 L54:L62 N54:N62 P54:P62 S54:S62 V54:V62" xr:uid="{00000000-0002-0000-0600-000005000000}">
      <formula1>OR(AND(D54:D114&gt;=0,D54:D114&lt;=100),D54:D114="ab")</formula1>
    </dataValidation>
    <dataValidation type="list" allowBlank="1" showInputMessage="1" showErrorMessage="1" sqref="R8:R62" xr:uid="{00000000-0002-0000-0600-000006000000}">
      <formula1>$B$81:$B$88</formula1>
    </dataValidation>
    <dataValidation type="list" allowBlank="1" showInputMessage="1" showErrorMessage="1" sqref="U8:U62" xr:uid="{00000000-0002-0000-0600-000007000000}">
      <formula1>$D$81:$D$88</formula1>
    </dataValidation>
    <dataValidation type="list" allowBlank="1" showInputMessage="1" showErrorMessage="1" sqref="X8:X62" xr:uid="{00000000-0002-0000-0600-000008000000}">
      <formula1>$N$81:$N$88</formula1>
    </dataValidation>
  </dataValidations>
  <pageMargins left="0.196850393700787" right="0.196850393700787" top="0.23622047244094499" bottom="0" header="0.31496062992126" footer="0.31496062992126"/>
  <pageSetup paperSize="8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N89"/>
  <sheetViews>
    <sheetView topLeftCell="A31" workbookViewId="0">
      <selection activeCell="I62" sqref="I62"/>
    </sheetView>
  </sheetViews>
  <sheetFormatPr defaultColWidth="9.109375" defaultRowHeight="13.8"/>
  <cols>
    <col min="1" max="1" width="3.33203125" style="168" customWidth="1"/>
    <col min="2" max="2" width="5.88671875" style="168" customWidth="1"/>
    <col min="3" max="3" width="25.33203125" style="168" customWidth="1"/>
    <col min="4" max="4" width="3.6640625" style="168" customWidth="1"/>
    <col min="5" max="5" width="3" style="168" customWidth="1"/>
    <col min="6" max="6" width="3.6640625" style="168" customWidth="1"/>
    <col min="7" max="7" width="3" style="168" customWidth="1"/>
    <col min="8" max="8" width="3.6640625" style="168" customWidth="1"/>
    <col min="9" max="9" width="3" style="168" customWidth="1"/>
    <col min="10" max="10" width="3.6640625" style="168" customWidth="1"/>
    <col min="11" max="11" width="3" style="168" customWidth="1"/>
    <col min="12" max="12" width="3.6640625" style="168" customWidth="1"/>
    <col min="13" max="13" width="3" style="168" customWidth="1"/>
    <col min="14" max="14" width="3.6640625" style="168" customWidth="1"/>
    <col min="15" max="15" width="3" style="168" customWidth="1"/>
    <col min="16" max="16" width="3.6640625" style="168" customWidth="1"/>
    <col min="17" max="17" width="3" style="168" customWidth="1"/>
    <col min="18" max="18" width="3.33203125" style="168" customWidth="1"/>
    <col min="19" max="19" width="3.6640625" style="168" customWidth="1"/>
    <col min="20" max="20" width="3" style="168" customWidth="1"/>
    <col min="21" max="21" width="3.33203125" style="168" customWidth="1"/>
    <col min="22" max="22" width="3.6640625" style="168" customWidth="1"/>
    <col min="23" max="23" width="3" style="168" customWidth="1"/>
    <col min="24" max="24" width="3.33203125" style="168" customWidth="1"/>
    <col min="25" max="29" width="3.5546875" style="169" customWidth="1"/>
    <col min="30" max="30" width="3" style="170" customWidth="1"/>
    <col min="31" max="31" width="3.5546875" style="170" customWidth="1"/>
    <col min="32" max="32" width="4.88671875" style="171" customWidth="1"/>
    <col min="33" max="33" width="5.88671875" style="171" customWidth="1"/>
    <col min="34" max="34" width="3.88671875" style="169" customWidth="1"/>
    <col min="35" max="16384" width="9.109375" style="168"/>
  </cols>
  <sheetData>
    <row r="2" spans="1:34" ht="7.5" customHeight="1"/>
    <row r="3" spans="1:34" ht="19.5" customHeight="1">
      <c r="A3" s="308" t="s">
        <v>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</row>
    <row r="4" spans="1:34" s="166" customFormat="1" ht="15.75" customHeight="1">
      <c r="A4" s="310" t="s">
        <v>1</v>
      </c>
      <c r="B4" s="310"/>
      <c r="C4" s="310"/>
      <c r="D4" s="311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3" t="s">
        <v>2</v>
      </c>
      <c r="T4" s="314"/>
      <c r="U4" s="314"/>
      <c r="V4" s="315"/>
      <c r="W4" s="316"/>
      <c r="X4" s="317"/>
      <c r="Y4" s="317"/>
      <c r="Z4" s="317"/>
      <c r="AA4" s="317"/>
      <c r="AB4" s="318"/>
      <c r="AC4" s="319" t="s">
        <v>3</v>
      </c>
      <c r="AD4" s="320"/>
      <c r="AE4" s="321"/>
      <c r="AF4" s="321"/>
      <c r="AG4" s="316"/>
      <c r="AH4" s="318"/>
    </row>
    <row r="5" spans="1:34" s="166" customFormat="1" ht="15.75" customHeight="1">
      <c r="A5" s="310" t="s">
        <v>4</v>
      </c>
      <c r="B5" s="310"/>
      <c r="C5" s="310"/>
      <c r="D5" s="322"/>
      <c r="E5" s="322"/>
      <c r="F5" s="322"/>
      <c r="G5" s="322"/>
      <c r="H5" s="322"/>
      <c r="I5" s="322"/>
      <c r="J5" s="323" t="s">
        <v>5</v>
      </c>
      <c r="K5" s="323"/>
      <c r="L5" s="323"/>
      <c r="M5" s="323"/>
      <c r="N5" s="311"/>
      <c r="O5" s="312"/>
      <c r="P5" s="312"/>
      <c r="Q5" s="312"/>
      <c r="R5" s="312"/>
      <c r="S5" s="324" t="s">
        <v>6</v>
      </c>
      <c r="T5" s="325"/>
      <c r="U5" s="325"/>
      <c r="V5" s="326"/>
      <c r="W5" s="327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9"/>
    </row>
    <row r="6" spans="1:34" ht="76.5" customHeight="1">
      <c r="A6" s="402"/>
      <c r="B6" s="404" t="s">
        <v>7</v>
      </c>
      <c r="C6" s="172" t="s">
        <v>8</v>
      </c>
      <c r="D6" s="330" t="s">
        <v>9</v>
      </c>
      <c r="E6" s="331"/>
      <c r="F6" s="330" t="s">
        <v>10</v>
      </c>
      <c r="G6" s="331"/>
      <c r="H6" s="332" t="s">
        <v>11</v>
      </c>
      <c r="I6" s="333"/>
      <c r="J6" s="330" t="s">
        <v>12</v>
      </c>
      <c r="K6" s="331"/>
      <c r="L6" s="330" t="s">
        <v>13</v>
      </c>
      <c r="M6" s="331"/>
      <c r="N6" s="330" t="s">
        <v>14</v>
      </c>
      <c r="O6" s="334"/>
      <c r="P6" s="335" t="s">
        <v>15</v>
      </c>
      <c r="Q6" s="336"/>
      <c r="R6" s="337"/>
      <c r="S6" s="332" t="s">
        <v>16</v>
      </c>
      <c r="T6" s="338"/>
      <c r="U6" s="333"/>
      <c r="V6" s="332" t="s">
        <v>17</v>
      </c>
      <c r="W6" s="338"/>
      <c r="X6" s="333"/>
      <c r="Y6" s="339" t="s">
        <v>18</v>
      </c>
      <c r="Z6" s="340"/>
      <c r="AA6" s="340"/>
      <c r="AB6" s="340"/>
      <c r="AC6" s="341"/>
      <c r="AD6" s="406" t="s">
        <v>19</v>
      </c>
      <c r="AE6" s="408" t="s">
        <v>20</v>
      </c>
      <c r="AF6" s="332" t="s">
        <v>21</v>
      </c>
      <c r="AG6" s="338" t="s">
        <v>22</v>
      </c>
      <c r="AH6" s="333" t="s">
        <v>23</v>
      </c>
    </row>
    <row r="7" spans="1:34" ht="18" customHeight="1">
      <c r="A7" s="403"/>
      <c r="B7" s="405"/>
      <c r="C7" s="173" t="s">
        <v>24</v>
      </c>
      <c r="D7" s="174" t="s">
        <v>25</v>
      </c>
      <c r="E7" s="175" t="s">
        <v>26</v>
      </c>
      <c r="F7" s="174" t="s">
        <v>25</v>
      </c>
      <c r="G7" s="175" t="s">
        <v>26</v>
      </c>
      <c r="H7" s="174" t="s">
        <v>25</v>
      </c>
      <c r="I7" s="175" t="s">
        <v>26</v>
      </c>
      <c r="J7" s="174" t="s">
        <v>25</v>
      </c>
      <c r="K7" s="175" t="s">
        <v>26</v>
      </c>
      <c r="L7" s="174" t="s">
        <v>25</v>
      </c>
      <c r="M7" s="175" t="s">
        <v>26</v>
      </c>
      <c r="N7" s="174" t="s">
        <v>25</v>
      </c>
      <c r="O7" s="183" t="s">
        <v>26</v>
      </c>
      <c r="P7" s="174" t="s">
        <v>25</v>
      </c>
      <c r="Q7" s="186" t="s">
        <v>26</v>
      </c>
      <c r="R7" s="187" t="s">
        <v>27</v>
      </c>
      <c r="S7" s="174" t="s">
        <v>25</v>
      </c>
      <c r="T7" s="186" t="s">
        <v>26</v>
      </c>
      <c r="U7" s="188" t="s">
        <v>27</v>
      </c>
      <c r="V7" s="174" t="s">
        <v>25</v>
      </c>
      <c r="W7" s="186" t="s">
        <v>26</v>
      </c>
      <c r="X7" s="188" t="s">
        <v>27</v>
      </c>
      <c r="Y7" s="202" t="s">
        <v>28</v>
      </c>
      <c r="Z7" s="203" t="s">
        <v>29</v>
      </c>
      <c r="AA7" s="203" t="s">
        <v>30</v>
      </c>
      <c r="AB7" s="203" t="s">
        <v>31</v>
      </c>
      <c r="AC7" s="204" t="s">
        <v>32</v>
      </c>
      <c r="AD7" s="407"/>
      <c r="AE7" s="409"/>
      <c r="AF7" s="410"/>
      <c r="AG7" s="411"/>
      <c r="AH7" s="412"/>
    </row>
    <row r="8" spans="1:34" s="167" customFormat="1" ht="12.75" customHeight="1">
      <c r="A8" s="176">
        <v>1</v>
      </c>
      <c r="B8" s="177"/>
      <c r="C8" s="178"/>
      <c r="D8" s="179"/>
      <c r="E8" s="180" t="str">
        <f>IF(D8="","",IF(D8="ab","ab",IF(D8&gt;=75,"A",(IF(D8&gt;=65,"B",IF(D8&gt;=50,"C",IF(D8&gt;=40,"S","W")))))))</f>
        <v/>
      </c>
      <c r="F8" s="179"/>
      <c r="G8" s="180" t="str">
        <f>IF(F8="","",IF(F8="ab","ab",IF(F8&gt;=75,"A",(IF(F8&gt;=65,"B",IF(F8&gt;=50,"C",IF(F8&gt;=40,"S","W")))))))</f>
        <v/>
      </c>
      <c r="H8" s="179"/>
      <c r="I8" s="180" t="str">
        <f>IF(H8="","",IF(H8="ab","ab",IF(H8&gt;=75,"A",(IF(H8&gt;=65,"B",IF(H8&gt;=50,"C",IF(H8&gt;=40,"S","W")))))))</f>
        <v/>
      </c>
      <c r="J8" s="179"/>
      <c r="K8" s="180" t="str">
        <f>IF(J8="","",IF(J8="ab","ab",IF(J8&gt;=75,"A",(IF(J8&gt;=65,"B",IF(J8&gt;=50,"C",IF(J8&gt;=40,"S","W")))))))</f>
        <v/>
      </c>
      <c r="L8" s="179"/>
      <c r="M8" s="180" t="str">
        <f>IF(L8="","",IF(L8="ab","ab",IF(L8&gt;=75,"A",(IF(L8&gt;=65,"B",IF(L8&gt;=50,"C",IF(L8&gt;=40,"S","W")))))))</f>
        <v/>
      </c>
      <c r="N8" s="179"/>
      <c r="O8" s="184" t="str">
        <f>IF(N8="","",IF(N8="ab","ab",IF(N8&gt;=75,"A",(IF(N8&gt;=65,"B",IF(N8&gt;=50,"C",IF(N8&gt;=40,"S","W")))))))</f>
        <v/>
      </c>
      <c r="P8" s="179"/>
      <c r="Q8" s="189" t="str">
        <f t="shared" ref="Q8:Q62" si="0">IF(P8="","",IF(P8="ab","ab",IF(P8&gt;=75,"A",(IF(P8&gt;=65,"B",IF(P8&gt;=50,"C",IF(P8&gt;=40,"S","W")))))))</f>
        <v/>
      </c>
      <c r="R8" s="190"/>
      <c r="S8" s="179"/>
      <c r="T8" s="189" t="str">
        <f>IF(S8="","",IF(S8="ab","ab",IF(S8&gt;=75,"A",(IF(S8&gt;=65,"B",IF(S8&gt;=50,"C",IF(S8&gt;=40,"S","W")))))))</f>
        <v/>
      </c>
      <c r="U8" s="190"/>
      <c r="V8" s="179"/>
      <c r="W8" s="189" t="str">
        <f>IF(V8="","",IF(V8="ab","ab",IF(V8&gt;=75,"A",(IF(V8&gt;=65,"B",IF(V8&gt;=50,"C",IF(V8&gt;=40,"S","W")))))))</f>
        <v/>
      </c>
      <c r="X8" s="191"/>
      <c r="Y8" s="205" t="str">
        <f t="shared" ref="Y8:Y62" si="1">IF(AND($D8="ab",$F8="ab",$H8="ab",$J8="ab",$L8="ab",$N8="ab",$P8="ab",$S8="ab",$V8="ab"),"-",IF(COUNT($D8:$W8)=0,"",(COUNTIF($D8:$W8,"A"))))</f>
        <v/>
      </c>
      <c r="Z8" s="206" t="str">
        <f t="shared" ref="Z8:Z62" si="2">IF(AND($D8="ab",$F8="ab",$H8="ab",$J8="ab",$L8="ab",$N8="ab",$P8="ab",$S8="ab",$V8="ab"),"-",IF(COUNT($D8:$W8)=0,"",(COUNTIF($D8:$W8,"B"))))</f>
        <v/>
      </c>
      <c r="AA8" s="206" t="str">
        <f t="shared" ref="AA8:AA62" si="3">IF(AND($D8="ab",$F8="ab",$H8="ab",$J8="ab",$L8="ab",$N8="ab",$P8="ab",$S8="ab",$V8="ab"),"-",IF(COUNT($D8:$W8)=0,"",(COUNTIF($D8:$W8,"C"))))</f>
        <v/>
      </c>
      <c r="AB8" s="206" t="str">
        <f t="shared" ref="AB8:AB62" si="4">IF(AND($D8="ab",$F8="ab",$H8="ab",$J8="ab",$L8="ab",$N8="ab",$P8="ab",$S8="ab",$V8="ab"),"-",IF(COUNT($D8:$W8)=0,"",(COUNTIF($D8:$W8,"S"))))</f>
        <v/>
      </c>
      <c r="AC8" s="207" t="str">
        <f t="shared" ref="AC8:AC62" si="5">IF(AND($D8="ab",$F8="ab",$H8="ab",$J8="ab",$L8="ab",$N8="ab",$P8="ab",$S8="ab",$V8="ab"),"-",IF(COUNT($D8:$W8)=0,"",(COUNTIF($D8:$W8,"W"))))</f>
        <v/>
      </c>
      <c r="AD8" s="208" t="str">
        <f t="shared" ref="AD8:AD62" si="6">IF(AND(D8="ab",F8="ab",H8="ab",J8="ab",L8="ab",N8="ab",P8="ab",S8="ab",V8="ab"),"ab",IF(AND(Y8="",Z8="",AA8="",AB8="",AC8=""),"",IF(AND((D8&gt;=40),(H8&gt;=40),(Y8+Z8+AA8+AB8)&gt;=6,(Y8+Z8+AA8)&gt;=3),"P","F")))</f>
        <v/>
      </c>
      <c r="AE8" s="209" t="str">
        <f>IF(AD8="","",IF(AD8="P","P",IF(AND(AD8="F",H8&gt;=40,D8&gt;=40,(Y8+Z8+AA8+AB8)&gt;=6,(Y8+Z8+AA8)=2),"Q1",IF(AND(AD8="F",(OR(H8&gt;=40,D8&gt;=40)),(Y8+Z8+AA8+AB8)&gt;=5,(Y8+Z8+AA8)&gt;=3),"Q2",IF((COUNTIF(D8:X8,"&gt;=40"))&gt;=5,"R1",IF((COUNTIF(D8:X8,"&gt;=20"))&gt;=5,"R2","F"))))))</f>
        <v/>
      </c>
      <c r="AF8" s="210" t="str">
        <f t="shared" ref="AF8:AF62" si="7">IF(AND(D8="",F8="",H8="",J8="",L8="",N8="",P8="",S8="",V8=""),"",IF(AND(D8="ab",F8="ab",H8="ab",J8="ab",L8="ab",N8="ab",P8="ab",S8="ab",V8="ab"),"ab",IF(COUNT(D8:W8)=0,"",(SUM(D8:V8)))))</f>
        <v/>
      </c>
      <c r="AG8" s="219" t="str">
        <f t="shared" ref="AG8:AG62" si="8">IF(AF8="","",IF(AF8="ab","ab",IF(AF8=0,0,(AVERAGE(D8:V8)))))</f>
        <v/>
      </c>
      <c r="AH8" s="207" t="str">
        <f t="shared" ref="AH8:AH62" si="9">IF(AF8="","",IF(AF8="ab","ab",(RANK(AF8,$AF$8:$AF$62))))</f>
        <v/>
      </c>
    </row>
    <row r="9" spans="1:34" s="167" customFormat="1" ht="12.75" customHeight="1">
      <c r="A9" s="181">
        <v>2</v>
      </c>
      <c r="B9" s="177"/>
      <c r="C9" s="182"/>
      <c r="D9" s="179"/>
      <c r="E9" s="180" t="str">
        <f t="shared" ref="E9:E62" si="10">IF(D9="","",IF(D9="ab","ab",IF(D9&gt;=75,"A",(IF(D9&gt;=65,"B",IF(D9&gt;=50,"C",IF(D9&gt;=40,"S","W")))))))</f>
        <v/>
      </c>
      <c r="F9" s="179"/>
      <c r="G9" s="180" t="str">
        <f t="shared" ref="G9:G62" si="11">IF(F9="","",IF(F9="ab","ab",IF(F9&gt;=75,"A",(IF(F9&gt;=65,"B",IF(F9&gt;=50,"C",IF(F9&gt;=40,"S","W")))))))</f>
        <v/>
      </c>
      <c r="H9" s="179"/>
      <c r="I9" s="180" t="str">
        <f t="shared" ref="I9:I62" si="12">IF(H9="","",IF(H9="ab","ab",IF(H9&gt;=75,"A",(IF(H9&gt;=65,"B",IF(H9&gt;=50,"C",IF(H9&gt;=40,"S","W")))))))</f>
        <v/>
      </c>
      <c r="J9" s="179"/>
      <c r="K9" s="180" t="str">
        <f t="shared" ref="K9:K62" si="13">IF(J9="","",IF(J9="ab","ab",IF(J9&gt;=75,"A",(IF(J9&gt;=65,"B",IF(J9&gt;=50,"C",IF(J9&gt;=40,"S","W")))))))</f>
        <v/>
      </c>
      <c r="L9" s="179"/>
      <c r="M9" s="180" t="str">
        <f t="shared" ref="M9:M62" si="14">IF(L9="","",IF(L9="ab","ab",IF(L9&gt;=75,"A",(IF(L9&gt;=65,"B",IF(L9&gt;=50,"C",IF(L9&gt;=40,"S","W")))))))</f>
        <v/>
      </c>
      <c r="N9" s="179"/>
      <c r="O9" s="180" t="str">
        <f t="shared" ref="O9:O62" si="15">IF(N9="","",IF(N9="ab","ab",IF(N9&gt;=75,"A",(IF(N9&gt;=65,"B",IF(N9&gt;=50,"C",IF(N9&gt;=40,"S","W")))))))</f>
        <v/>
      </c>
      <c r="P9" s="179"/>
      <c r="Q9" s="192" t="str">
        <f t="shared" si="0"/>
        <v/>
      </c>
      <c r="R9" s="193"/>
      <c r="S9" s="179"/>
      <c r="T9" s="192" t="str">
        <f t="shared" ref="T9:T62" si="16">IF(S9="","",IF(S9="ab","ab",IF(S9&gt;=75,"A",(IF(S9&gt;=65,"B",IF(S9&gt;=50,"C",IF(S9&gt;=40,"S","W")))))))</f>
        <v/>
      </c>
      <c r="U9" s="193"/>
      <c r="V9" s="179"/>
      <c r="W9" s="192" t="str">
        <f t="shared" ref="W9:W62" si="17">IF(V9="","",IF(V9="ab","ab",IF(V9&gt;=75,"A",(IF(V9&gt;=65,"B",IF(V9&gt;=50,"C",IF(V9&gt;=40,"S","W")))))))</f>
        <v/>
      </c>
      <c r="X9" s="194"/>
      <c r="Y9" s="205" t="str">
        <f t="shared" si="1"/>
        <v/>
      </c>
      <c r="Z9" s="206" t="str">
        <f t="shared" si="2"/>
        <v/>
      </c>
      <c r="AA9" s="206" t="str">
        <f t="shared" si="3"/>
        <v/>
      </c>
      <c r="AB9" s="206" t="str">
        <f t="shared" si="4"/>
        <v/>
      </c>
      <c r="AC9" s="207" t="str">
        <f t="shared" si="5"/>
        <v/>
      </c>
      <c r="AD9" s="208" t="str">
        <f t="shared" si="6"/>
        <v/>
      </c>
      <c r="AE9" s="209" t="str">
        <f t="shared" ref="AE9:AE62" si="18">IF(AD9="","",IF(AD9="P","P",IF(AND(AD9="F",H9&gt;=40,D9&gt;=40,(Y9+Z9+AA9+AB9)&gt;=6,(Y9+Z9+AA9)=2),"Q1",IF(AND(AD9="F",(OR(H9&gt;=40,D9&gt;=40)),(Y9+Z9+AA9+AB9)&gt;=5,(Y9+Z9+AA9)&gt;=3),"Q2",IF((COUNTIF(D9:X9,"&gt;=40"))&gt;=5,"R1",IF((COUNTIF(D9:X9,"&gt;=20"))&gt;=5,"R2","F"))))))</f>
        <v/>
      </c>
      <c r="AF9" s="210" t="str">
        <f t="shared" si="7"/>
        <v/>
      </c>
      <c r="AG9" s="219" t="str">
        <f t="shared" si="8"/>
        <v/>
      </c>
      <c r="AH9" s="207" t="str">
        <f t="shared" si="9"/>
        <v/>
      </c>
    </row>
    <row r="10" spans="1:34" s="167" customFormat="1" ht="12.75" customHeight="1">
      <c r="A10" s="181">
        <v>3</v>
      </c>
      <c r="B10" s="177"/>
      <c r="C10" s="182"/>
      <c r="D10" s="179"/>
      <c r="E10" s="180" t="str">
        <f t="shared" si="10"/>
        <v/>
      </c>
      <c r="F10" s="179"/>
      <c r="G10" s="180" t="str">
        <f t="shared" si="11"/>
        <v/>
      </c>
      <c r="H10" s="179"/>
      <c r="I10" s="180" t="str">
        <f t="shared" si="12"/>
        <v/>
      </c>
      <c r="J10" s="179"/>
      <c r="K10" s="180" t="str">
        <f t="shared" si="13"/>
        <v/>
      </c>
      <c r="L10" s="179"/>
      <c r="M10" s="180" t="str">
        <f t="shared" si="14"/>
        <v/>
      </c>
      <c r="N10" s="179"/>
      <c r="O10" s="180" t="str">
        <f t="shared" si="15"/>
        <v/>
      </c>
      <c r="P10" s="179"/>
      <c r="Q10" s="192" t="str">
        <f t="shared" si="0"/>
        <v/>
      </c>
      <c r="R10" s="193"/>
      <c r="S10" s="179"/>
      <c r="T10" s="192" t="str">
        <f t="shared" si="16"/>
        <v/>
      </c>
      <c r="U10" s="193"/>
      <c r="V10" s="179"/>
      <c r="W10" s="192" t="str">
        <f t="shared" si="17"/>
        <v/>
      </c>
      <c r="X10" s="194"/>
      <c r="Y10" s="205" t="str">
        <f t="shared" si="1"/>
        <v/>
      </c>
      <c r="Z10" s="206" t="str">
        <f t="shared" si="2"/>
        <v/>
      </c>
      <c r="AA10" s="206" t="str">
        <f t="shared" si="3"/>
        <v/>
      </c>
      <c r="AB10" s="206" t="str">
        <f t="shared" si="4"/>
        <v/>
      </c>
      <c r="AC10" s="207" t="str">
        <f t="shared" si="5"/>
        <v/>
      </c>
      <c r="AD10" s="208" t="str">
        <f t="shared" si="6"/>
        <v/>
      </c>
      <c r="AE10" s="209" t="str">
        <f t="shared" si="18"/>
        <v/>
      </c>
      <c r="AF10" s="210" t="str">
        <f t="shared" si="7"/>
        <v/>
      </c>
      <c r="AG10" s="219" t="str">
        <f t="shared" si="8"/>
        <v/>
      </c>
      <c r="AH10" s="207" t="str">
        <f t="shared" si="9"/>
        <v/>
      </c>
    </row>
    <row r="11" spans="1:34" s="167" customFormat="1" ht="12.75" customHeight="1">
      <c r="A11" s="181">
        <v>4</v>
      </c>
      <c r="B11" s="177"/>
      <c r="C11" s="182"/>
      <c r="D11" s="179"/>
      <c r="E11" s="180" t="str">
        <f t="shared" si="10"/>
        <v/>
      </c>
      <c r="F11" s="179"/>
      <c r="G11" s="180" t="str">
        <f t="shared" si="11"/>
        <v/>
      </c>
      <c r="H11" s="179"/>
      <c r="I11" s="180" t="str">
        <f t="shared" si="12"/>
        <v/>
      </c>
      <c r="J11" s="179"/>
      <c r="K11" s="180" t="str">
        <f t="shared" si="13"/>
        <v/>
      </c>
      <c r="L11" s="179"/>
      <c r="M11" s="180" t="str">
        <f t="shared" si="14"/>
        <v/>
      </c>
      <c r="N11" s="179"/>
      <c r="O11" s="180" t="str">
        <f t="shared" si="15"/>
        <v/>
      </c>
      <c r="P11" s="179"/>
      <c r="Q11" s="192" t="str">
        <f t="shared" si="0"/>
        <v/>
      </c>
      <c r="R11" s="193"/>
      <c r="S11" s="179"/>
      <c r="T11" s="192" t="str">
        <f t="shared" si="16"/>
        <v/>
      </c>
      <c r="U11" s="193"/>
      <c r="V11" s="179"/>
      <c r="W11" s="192" t="str">
        <f t="shared" si="17"/>
        <v/>
      </c>
      <c r="X11" s="194"/>
      <c r="Y11" s="205" t="str">
        <f t="shared" si="1"/>
        <v/>
      </c>
      <c r="Z11" s="206" t="str">
        <f t="shared" si="2"/>
        <v/>
      </c>
      <c r="AA11" s="206" t="str">
        <f t="shared" si="3"/>
        <v/>
      </c>
      <c r="AB11" s="206" t="str">
        <f t="shared" si="4"/>
        <v/>
      </c>
      <c r="AC11" s="207" t="str">
        <f t="shared" si="5"/>
        <v/>
      </c>
      <c r="AD11" s="208" t="str">
        <f t="shared" si="6"/>
        <v/>
      </c>
      <c r="AE11" s="209" t="str">
        <f t="shared" si="18"/>
        <v/>
      </c>
      <c r="AF11" s="210" t="str">
        <f t="shared" si="7"/>
        <v/>
      </c>
      <c r="AG11" s="219" t="str">
        <f t="shared" si="8"/>
        <v/>
      </c>
      <c r="AH11" s="207" t="str">
        <f t="shared" si="9"/>
        <v/>
      </c>
    </row>
    <row r="12" spans="1:34" s="167" customFormat="1" ht="12.75" customHeight="1">
      <c r="A12" s="181">
        <v>5</v>
      </c>
      <c r="B12" s="177"/>
      <c r="C12" s="182"/>
      <c r="D12" s="179"/>
      <c r="E12" s="180" t="str">
        <f t="shared" si="10"/>
        <v/>
      </c>
      <c r="F12" s="179"/>
      <c r="G12" s="180" t="str">
        <f t="shared" si="11"/>
        <v/>
      </c>
      <c r="H12" s="179"/>
      <c r="I12" s="180" t="str">
        <f t="shared" si="12"/>
        <v/>
      </c>
      <c r="J12" s="179"/>
      <c r="K12" s="180" t="str">
        <f t="shared" si="13"/>
        <v/>
      </c>
      <c r="L12" s="179"/>
      <c r="M12" s="180" t="str">
        <f t="shared" si="14"/>
        <v/>
      </c>
      <c r="N12" s="179"/>
      <c r="O12" s="180" t="str">
        <f t="shared" si="15"/>
        <v/>
      </c>
      <c r="P12" s="179"/>
      <c r="Q12" s="192" t="str">
        <f t="shared" si="0"/>
        <v/>
      </c>
      <c r="R12" s="193"/>
      <c r="S12" s="179"/>
      <c r="T12" s="192" t="str">
        <f t="shared" si="16"/>
        <v/>
      </c>
      <c r="U12" s="193"/>
      <c r="V12" s="179"/>
      <c r="W12" s="192" t="str">
        <f t="shared" si="17"/>
        <v/>
      </c>
      <c r="X12" s="194"/>
      <c r="Y12" s="205" t="str">
        <f t="shared" si="1"/>
        <v/>
      </c>
      <c r="Z12" s="206" t="str">
        <f t="shared" si="2"/>
        <v/>
      </c>
      <c r="AA12" s="206" t="str">
        <f t="shared" si="3"/>
        <v/>
      </c>
      <c r="AB12" s="206" t="str">
        <f t="shared" si="4"/>
        <v/>
      </c>
      <c r="AC12" s="207" t="str">
        <f t="shared" si="5"/>
        <v/>
      </c>
      <c r="AD12" s="208" t="str">
        <f t="shared" si="6"/>
        <v/>
      </c>
      <c r="AE12" s="209" t="str">
        <f t="shared" si="18"/>
        <v/>
      </c>
      <c r="AF12" s="210" t="str">
        <f t="shared" si="7"/>
        <v/>
      </c>
      <c r="AG12" s="219" t="str">
        <f t="shared" si="8"/>
        <v/>
      </c>
      <c r="AH12" s="207" t="str">
        <f t="shared" si="9"/>
        <v/>
      </c>
    </row>
    <row r="13" spans="1:34" s="167" customFormat="1" ht="12.75" customHeight="1">
      <c r="A13" s="181">
        <v>6</v>
      </c>
      <c r="B13" s="177"/>
      <c r="C13" s="182"/>
      <c r="D13" s="179"/>
      <c r="E13" s="180" t="str">
        <f t="shared" si="10"/>
        <v/>
      </c>
      <c r="F13" s="179"/>
      <c r="G13" s="180" t="str">
        <f t="shared" si="11"/>
        <v/>
      </c>
      <c r="H13" s="179"/>
      <c r="I13" s="180" t="str">
        <f t="shared" si="12"/>
        <v/>
      </c>
      <c r="J13" s="179"/>
      <c r="K13" s="180" t="str">
        <f t="shared" si="13"/>
        <v/>
      </c>
      <c r="L13" s="179"/>
      <c r="M13" s="180" t="str">
        <f t="shared" si="14"/>
        <v/>
      </c>
      <c r="N13" s="179"/>
      <c r="O13" s="180" t="str">
        <f t="shared" si="15"/>
        <v/>
      </c>
      <c r="P13" s="179"/>
      <c r="Q13" s="192" t="str">
        <f t="shared" si="0"/>
        <v/>
      </c>
      <c r="R13" s="193"/>
      <c r="S13" s="179"/>
      <c r="T13" s="192" t="str">
        <f t="shared" si="16"/>
        <v/>
      </c>
      <c r="U13" s="193"/>
      <c r="V13" s="179"/>
      <c r="W13" s="192" t="str">
        <f t="shared" si="17"/>
        <v/>
      </c>
      <c r="X13" s="194"/>
      <c r="Y13" s="205" t="str">
        <f t="shared" si="1"/>
        <v/>
      </c>
      <c r="Z13" s="206" t="str">
        <f t="shared" si="2"/>
        <v/>
      </c>
      <c r="AA13" s="206" t="str">
        <f t="shared" si="3"/>
        <v/>
      </c>
      <c r="AB13" s="206" t="str">
        <f t="shared" si="4"/>
        <v/>
      </c>
      <c r="AC13" s="207" t="str">
        <f t="shared" si="5"/>
        <v/>
      </c>
      <c r="AD13" s="208" t="str">
        <f t="shared" si="6"/>
        <v/>
      </c>
      <c r="AE13" s="209" t="str">
        <f t="shared" si="18"/>
        <v/>
      </c>
      <c r="AF13" s="210" t="str">
        <f t="shared" si="7"/>
        <v/>
      </c>
      <c r="AG13" s="219" t="str">
        <f t="shared" si="8"/>
        <v/>
      </c>
      <c r="AH13" s="207" t="str">
        <f t="shared" si="9"/>
        <v/>
      </c>
    </row>
    <row r="14" spans="1:34" s="167" customFormat="1" ht="12.75" customHeight="1">
      <c r="A14" s="181">
        <v>7</v>
      </c>
      <c r="B14" s="177"/>
      <c r="C14" s="182"/>
      <c r="D14" s="179"/>
      <c r="E14" s="180" t="str">
        <f t="shared" si="10"/>
        <v/>
      </c>
      <c r="F14" s="179"/>
      <c r="G14" s="180" t="str">
        <f t="shared" si="11"/>
        <v/>
      </c>
      <c r="H14" s="179"/>
      <c r="I14" s="180" t="str">
        <f t="shared" si="12"/>
        <v/>
      </c>
      <c r="J14" s="179"/>
      <c r="K14" s="180" t="str">
        <f t="shared" si="13"/>
        <v/>
      </c>
      <c r="L14" s="179"/>
      <c r="M14" s="180" t="str">
        <f t="shared" si="14"/>
        <v/>
      </c>
      <c r="N14" s="179"/>
      <c r="O14" s="180" t="str">
        <f t="shared" si="15"/>
        <v/>
      </c>
      <c r="P14" s="179"/>
      <c r="Q14" s="192" t="str">
        <f t="shared" si="0"/>
        <v/>
      </c>
      <c r="R14" s="193"/>
      <c r="S14" s="179"/>
      <c r="T14" s="192" t="str">
        <f t="shared" si="16"/>
        <v/>
      </c>
      <c r="U14" s="193"/>
      <c r="V14" s="179"/>
      <c r="W14" s="192" t="str">
        <f t="shared" si="17"/>
        <v/>
      </c>
      <c r="X14" s="194"/>
      <c r="Y14" s="205" t="str">
        <f t="shared" si="1"/>
        <v/>
      </c>
      <c r="Z14" s="206" t="str">
        <f t="shared" si="2"/>
        <v/>
      </c>
      <c r="AA14" s="206" t="str">
        <f t="shared" si="3"/>
        <v/>
      </c>
      <c r="AB14" s="206" t="str">
        <f t="shared" si="4"/>
        <v/>
      </c>
      <c r="AC14" s="207" t="str">
        <f t="shared" si="5"/>
        <v/>
      </c>
      <c r="AD14" s="208" t="str">
        <f t="shared" si="6"/>
        <v/>
      </c>
      <c r="AE14" s="209" t="str">
        <f t="shared" si="18"/>
        <v/>
      </c>
      <c r="AF14" s="210" t="str">
        <f t="shared" si="7"/>
        <v/>
      </c>
      <c r="AG14" s="219" t="str">
        <f t="shared" si="8"/>
        <v/>
      </c>
      <c r="AH14" s="207" t="str">
        <f t="shared" si="9"/>
        <v/>
      </c>
    </row>
    <row r="15" spans="1:34" s="167" customFormat="1" ht="12.75" customHeight="1">
      <c r="A15" s="181">
        <v>8</v>
      </c>
      <c r="B15" s="177"/>
      <c r="C15" s="182"/>
      <c r="D15" s="179"/>
      <c r="E15" s="180" t="str">
        <f t="shared" si="10"/>
        <v/>
      </c>
      <c r="F15" s="179"/>
      <c r="G15" s="180" t="str">
        <f t="shared" si="11"/>
        <v/>
      </c>
      <c r="H15" s="179"/>
      <c r="I15" s="180" t="str">
        <f t="shared" si="12"/>
        <v/>
      </c>
      <c r="J15" s="179"/>
      <c r="K15" s="180" t="str">
        <f t="shared" si="13"/>
        <v/>
      </c>
      <c r="L15" s="179"/>
      <c r="M15" s="180" t="str">
        <f t="shared" si="14"/>
        <v/>
      </c>
      <c r="N15" s="179"/>
      <c r="O15" s="180" t="str">
        <f t="shared" si="15"/>
        <v/>
      </c>
      <c r="P15" s="179"/>
      <c r="Q15" s="192" t="str">
        <f t="shared" si="0"/>
        <v/>
      </c>
      <c r="R15" s="193"/>
      <c r="S15" s="179"/>
      <c r="T15" s="192" t="str">
        <f t="shared" si="16"/>
        <v/>
      </c>
      <c r="U15" s="193"/>
      <c r="V15" s="179"/>
      <c r="W15" s="192" t="str">
        <f t="shared" si="17"/>
        <v/>
      </c>
      <c r="X15" s="194"/>
      <c r="Y15" s="205" t="str">
        <f t="shared" si="1"/>
        <v/>
      </c>
      <c r="Z15" s="206" t="str">
        <f t="shared" si="2"/>
        <v/>
      </c>
      <c r="AA15" s="206" t="str">
        <f t="shared" si="3"/>
        <v/>
      </c>
      <c r="AB15" s="206" t="str">
        <f t="shared" si="4"/>
        <v/>
      </c>
      <c r="AC15" s="207" t="str">
        <f t="shared" si="5"/>
        <v/>
      </c>
      <c r="AD15" s="208" t="str">
        <f t="shared" si="6"/>
        <v/>
      </c>
      <c r="AE15" s="209" t="str">
        <f t="shared" si="18"/>
        <v/>
      </c>
      <c r="AF15" s="210" t="str">
        <f t="shared" si="7"/>
        <v/>
      </c>
      <c r="AG15" s="219" t="str">
        <f t="shared" si="8"/>
        <v/>
      </c>
      <c r="AH15" s="207" t="str">
        <f t="shared" si="9"/>
        <v/>
      </c>
    </row>
    <row r="16" spans="1:34" s="167" customFormat="1" ht="12.75" customHeight="1">
      <c r="A16" s="181">
        <v>9</v>
      </c>
      <c r="B16" s="177"/>
      <c r="C16" s="182"/>
      <c r="D16" s="179"/>
      <c r="E16" s="180" t="str">
        <f t="shared" si="10"/>
        <v/>
      </c>
      <c r="F16" s="179"/>
      <c r="G16" s="180" t="str">
        <f t="shared" si="11"/>
        <v/>
      </c>
      <c r="H16" s="179"/>
      <c r="I16" s="180" t="str">
        <f t="shared" si="12"/>
        <v/>
      </c>
      <c r="J16" s="179"/>
      <c r="K16" s="180" t="str">
        <f t="shared" si="13"/>
        <v/>
      </c>
      <c r="L16" s="179"/>
      <c r="M16" s="180" t="str">
        <f t="shared" si="14"/>
        <v/>
      </c>
      <c r="N16" s="179"/>
      <c r="O16" s="180" t="str">
        <f t="shared" si="15"/>
        <v/>
      </c>
      <c r="P16" s="179"/>
      <c r="Q16" s="192" t="str">
        <f t="shared" si="0"/>
        <v/>
      </c>
      <c r="R16" s="193"/>
      <c r="S16" s="179"/>
      <c r="T16" s="192" t="str">
        <f t="shared" si="16"/>
        <v/>
      </c>
      <c r="U16" s="193"/>
      <c r="V16" s="179"/>
      <c r="W16" s="192" t="str">
        <f t="shared" si="17"/>
        <v/>
      </c>
      <c r="X16" s="194"/>
      <c r="Y16" s="205" t="str">
        <f t="shared" si="1"/>
        <v/>
      </c>
      <c r="Z16" s="206" t="str">
        <f t="shared" si="2"/>
        <v/>
      </c>
      <c r="AA16" s="206" t="str">
        <f t="shared" si="3"/>
        <v/>
      </c>
      <c r="AB16" s="206" t="str">
        <f t="shared" si="4"/>
        <v/>
      </c>
      <c r="AC16" s="207" t="str">
        <f t="shared" si="5"/>
        <v/>
      </c>
      <c r="AD16" s="208" t="str">
        <f t="shared" si="6"/>
        <v/>
      </c>
      <c r="AE16" s="209" t="str">
        <f t="shared" si="18"/>
        <v/>
      </c>
      <c r="AF16" s="210" t="str">
        <f t="shared" si="7"/>
        <v/>
      </c>
      <c r="AG16" s="219" t="str">
        <f t="shared" si="8"/>
        <v/>
      </c>
      <c r="AH16" s="207" t="str">
        <f t="shared" si="9"/>
        <v/>
      </c>
    </row>
    <row r="17" spans="1:34" s="167" customFormat="1" ht="12.75" customHeight="1">
      <c r="A17" s="181">
        <v>10</v>
      </c>
      <c r="B17" s="177"/>
      <c r="C17" s="182"/>
      <c r="D17" s="179"/>
      <c r="E17" s="180" t="str">
        <f t="shared" si="10"/>
        <v/>
      </c>
      <c r="F17" s="179"/>
      <c r="G17" s="180" t="str">
        <f t="shared" si="11"/>
        <v/>
      </c>
      <c r="H17" s="179"/>
      <c r="I17" s="180" t="str">
        <f t="shared" si="12"/>
        <v/>
      </c>
      <c r="J17" s="179"/>
      <c r="K17" s="180" t="str">
        <f t="shared" si="13"/>
        <v/>
      </c>
      <c r="L17" s="179"/>
      <c r="M17" s="180" t="str">
        <f t="shared" si="14"/>
        <v/>
      </c>
      <c r="N17" s="179"/>
      <c r="O17" s="180" t="str">
        <f t="shared" si="15"/>
        <v/>
      </c>
      <c r="P17" s="179"/>
      <c r="Q17" s="192" t="str">
        <f t="shared" si="0"/>
        <v/>
      </c>
      <c r="R17" s="193"/>
      <c r="S17" s="179"/>
      <c r="T17" s="192" t="str">
        <f t="shared" si="16"/>
        <v/>
      </c>
      <c r="U17" s="193"/>
      <c r="V17" s="179"/>
      <c r="W17" s="192" t="str">
        <f t="shared" si="17"/>
        <v/>
      </c>
      <c r="X17" s="194"/>
      <c r="Y17" s="205" t="str">
        <f t="shared" si="1"/>
        <v/>
      </c>
      <c r="Z17" s="206" t="str">
        <f t="shared" si="2"/>
        <v/>
      </c>
      <c r="AA17" s="206" t="str">
        <f t="shared" si="3"/>
        <v/>
      </c>
      <c r="AB17" s="206" t="str">
        <f t="shared" si="4"/>
        <v/>
      </c>
      <c r="AC17" s="207" t="str">
        <f t="shared" si="5"/>
        <v/>
      </c>
      <c r="AD17" s="208" t="str">
        <f t="shared" si="6"/>
        <v/>
      </c>
      <c r="AE17" s="209" t="str">
        <f t="shared" si="18"/>
        <v/>
      </c>
      <c r="AF17" s="210" t="str">
        <f t="shared" si="7"/>
        <v/>
      </c>
      <c r="AG17" s="219" t="str">
        <f t="shared" si="8"/>
        <v/>
      </c>
      <c r="AH17" s="207" t="str">
        <f t="shared" si="9"/>
        <v/>
      </c>
    </row>
    <row r="18" spans="1:34" s="167" customFormat="1" ht="12.75" customHeight="1">
      <c r="A18" s="181">
        <v>11</v>
      </c>
      <c r="B18" s="177"/>
      <c r="C18" s="182"/>
      <c r="D18" s="179"/>
      <c r="E18" s="180" t="str">
        <f t="shared" si="10"/>
        <v/>
      </c>
      <c r="F18" s="179"/>
      <c r="G18" s="180" t="str">
        <f t="shared" si="11"/>
        <v/>
      </c>
      <c r="H18" s="179"/>
      <c r="I18" s="180" t="str">
        <f t="shared" si="12"/>
        <v/>
      </c>
      <c r="J18" s="179"/>
      <c r="K18" s="180" t="str">
        <f t="shared" si="13"/>
        <v/>
      </c>
      <c r="L18" s="179"/>
      <c r="M18" s="180" t="str">
        <f t="shared" si="14"/>
        <v/>
      </c>
      <c r="N18" s="179"/>
      <c r="O18" s="180" t="str">
        <f t="shared" si="15"/>
        <v/>
      </c>
      <c r="P18" s="179"/>
      <c r="Q18" s="192" t="str">
        <f t="shared" si="0"/>
        <v/>
      </c>
      <c r="R18" s="193"/>
      <c r="S18" s="179"/>
      <c r="T18" s="192" t="str">
        <f t="shared" si="16"/>
        <v/>
      </c>
      <c r="U18" s="193"/>
      <c r="V18" s="179"/>
      <c r="W18" s="192" t="str">
        <f t="shared" si="17"/>
        <v/>
      </c>
      <c r="X18" s="194"/>
      <c r="Y18" s="205" t="str">
        <f t="shared" si="1"/>
        <v/>
      </c>
      <c r="Z18" s="206" t="str">
        <f t="shared" si="2"/>
        <v/>
      </c>
      <c r="AA18" s="206" t="str">
        <f t="shared" si="3"/>
        <v/>
      </c>
      <c r="AB18" s="206" t="str">
        <f t="shared" si="4"/>
        <v/>
      </c>
      <c r="AC18" s="207" t="str">
        <f t="shared" si="5"/>
        <v/>
      </c>
      <c r="AD18" s="208" t="str">
        <f t="shared" si="6"/>
        <v/>
      </c>
      <c r="AE18" s="209" t="str">
        <f t="shared" si="18"/>
        <v/>
      </c>
      <c r="AF18" s="210" t="str">
        <f t="shared" si="7"/>
        <v/>
      </c>
      <c r="AG18" s="219" t="str">
        <f t="shared" si="8"/>
        <v/>
      </c>
      <c r="AH18" s="207" t="str">
        <f t="shared" si="9"/>
        <v/>
      </c>
    </row>
    <row r="19" spans="1:34" s="167" customFormat="1" ht="12.75" customHeight="1">
      <c r="A19" s="181">
        <v>12</v>
      </c>
      <c r="B19" s="177"/>
      <c r="C19" s="182"/>
      <c r="D19" s="179"/>
      <c r="E19" s="180" t="str">
        <f t="shared" si="10"/>
        <v/>
      </c>
      <c r="F19" s="179"/>
      <c r="G19" s="180" t="str">
        <f t="shared" si="11"/>
        <v/>
      </c>
      <c r="H19" s="179"/>
      <c r="I19" s="180" t="str">
        <f t="shared" si="12"/>
        <v/>
      </c>
      <c r="J19" s="179"/>
      <c r="K19" s="180" t="str">
        <f t="shared" si="13"/>
        <v/>
      </c>
      <c r="L19" s="179"/>
      <c r="M19" s="180" t="str">
        <f t="shared" si="14"/>
        <v/>
      </c>
      <c r="N19" s="179"/>
      <c r="O19" s="180" t="str">
        <f t="shared" si="15"/>
        <v/>
      </c>
      <c r="P19" s="179"/>
      <c r="Q19" s="192" t="str">
        <f t="shared" si="0"/>
        <v/>
      </c>
      <c r="R19" s="193"/>
      <c r="S19" s="179"/>
      <c r="T19" s="192" t="str">
        <f t="shared" si="16"/>
        <v/>
      </c>
      <c r="U19" s="193"/>
      <c r="V19" s="179"/>
      <c r="W19" s="192" t="str">
        <f t="shared" si="17"/>
        <v/>
      </c>
      <c r="X19" s="194"/>
      <c r="Y19" s="205" t="str">
        <f t="shared" si="1"/>
        <v/>
      </c>
      <c r="Z19" s="206" t="str">
        <f t="shared" si="2"/>
        <v/>
      </c>
      <c r="AA19" s="206" t="str">
        <f t="shared" si="3"/>
        <v/>
      </c>
      <c r="AB19" s="206" t="str">
        <f t="shared" si="4"/>
        <v/>
      </c>
      <c r="AC19" s="207" t="str">
        <f t="shared" si="5"/>
        <v/>
      </c>
      <c r="AD19" s="208" t="str">
        <f t="shared" si="6"/>
        <v/>
      </c>
      <c r="AE19" s="209" t="str">
        <f t="shared" si="18"/>
        <v/>
      </c>
      <c r="AF19" s="210" t="str">
        <f t="shared" si="7"/>
        <v/>
      </c>
      <c r="AG19" s="219" t="str">
        <f t="shared" si="8"/>
        <v/>
      </c>
      <c r="AH19" s="207" t="str">
        <f t="shared" si="9"/>
        <v/>
      </c>
    </row>
    <row r="20" spans="1:34" s="167" customFormat="1" ht="12.75" customHeight="1">
      <c r="A20" s="181">
        <v>13</v>
      </c>
      <c r="B20" s="177"/>
      <c r="C20" s="182"/>
      <c r="D20" s="179"/>
      <c r="E20" s="180" t="str">
        <f t="shared" si="10"/>
        <v/>
      </c>
      <c r="F20" s="179"/>
      <c r="G20" s="180" t="str">
        <f t="shared" si="11"/>
        <v/>
      </c>
      <c r="H20" s="179"/>
      <c r="I20" s="180" t="str">
        <f t="shared" si="12"/>
        <v/>
      </c>
      <c r="J20" s="179"/>
      <c r="K20" s="180" t="str">
        <f t="shared" si="13"/>
        <v/>
      </c>
      <c r="L20" s="179"/>
      <c r="M20" s="180" t="str">
        <f t="shared" si="14"/>
        <v/>
      </c>
      <c r="N20" s="179"/>
      <c r="O20" s="180" t="str">
        <f t="shared" si="15"/>
        <v/>
      </c>
      <c r="P20" s="179"/>
      <c r="Q20" s="192" t="str">
        <f t="shared" si="0"/>
        <v/>
      </c>
      <c r="R20" s="193"/>
      <c r="S20" s="179"/>
      <c r="T20" s="192" t="str">
        <f t="shared" si="16"/>
        <v/>
      </c>
      <c r="U20" s="193"/>
      <c r="V20" s="179"/>
      <c r="W20" s="192" t="str">
        <f t="shared" si="17"/>
        <v/>
      </c>
      <c r="X20" s="194"/>
      <c r="Y20" s="205" t="str">
        <f t="shared" si="1"/>
        <v/>
      </c>
      <c r="Z20" s="206" t="str">
        <f t="shared" si="2"/>
        <v/>
      </c>
      <c r="AA20" s="206" t="str">
        <f t="shared" si="3"/>
        <v/>
      </c>
      <c r="AB20" s="206" t="str">
        <f t="shared" si="4"/>
        <v/>
      </c>
      <c r="AC20" s="207" t="str">
        <f t="shared" si="5"/>
        <v/>
      </c>
      <c r="AD20" s="208" t="str">
        <f t="shared" si="6"/>
        <v/>
      </c>
      <c r="AE20" s="209" t="str">
        <f t="shared" si="18"/>
        <v/>
      </c>
      <c r="AF20" s="210" t="str">
        <f t="shared" si="7"/>
        <v/>
      </c>
      <c r="AG20" s="219" t="str">
        <f t="shared" si="8"/>
        <v/>
      </c>
      <c r="AH20" s="207" t="str">
        <f t="shared" si="9"/>
        <v/>
      </c>
    </row>
    <row r="21" spans="1:34" s="167" customFormat="1" ht="12.75" customHeight="1">
      <c r="A21" s="181">
        <v>14</v>
      </c>
      <c r="B21" s="177"/>
      <c r="C21" s="182"/>
      <c r="D21" s="179"/>
      <c r="E21" s="180" t="str">
        <f t="shared" si="10"/>
        <v/>
      </c>
      <c r="F21" s="179"/>
      <c r="G21" s="180" t="str">
        <f t="shared" si="11"/>
        <v/>
      </c>
      <c r="H21" s="179"/>
      <c r="I21" s="180" t="str">
        <f t="shared" si="12"/>
        <v/>
      </c>
      <c r="J21" s="179"/>
      <c r="K21" s="180" t="str">
        <f t="shared" si="13"/>
        <v/>
      </c>
      <c r="L21" s="179"/>
      <c r="M21" s="180" t="str">
        <f t="shared" si="14"/>
        <v/>
      </c>
      <c r="N21" s="179"/>
      <c r="O21" s="180" t="str">
        <f t="shared" si="15"/>
        <v/>
      </c>
      <c r="P21" s="179"/>
      <c r="Q21" s="192" t="str">
        <f t="shared" si="0"/>
        <v/>
      </c>
      <c r="R21" s="193"/>
      <c r="S21" s="179"/>
      <c r="T21" s="192" t="str">
        <f t="shared" si="16"/>
        <v/>
      </c>
      <c r="U21" s="193"/>
      <c r="V21" s="179"/>
      <c r="W21" s="192" t="str">
        <f t="shared" si="17"/>
        <v/>
      </c>
      <c r="X21" s="194"/>
      <c r="Y21" s="205" t="str">
        <f t="shared" si="1"/>
        <v/>
      </c>
      <c r="Z21" s="206" t="str">
        <f t="shared" si="2"/>
        <v/>
      </c>
      <c r="AA21" s="206" t="str">
        <f t="shared" si="3"/>
        <v/>
      </c>
      <c r="AB21" s="206" t="str">
        <f t="shared" si="4"/>
        <v/>
      </c>
      <c r="AC21" s="207" t="str">
        <f t="shared" si="5"/>
        <v/>
      </c>
      <c r="AD21" s="208" t="str">
        <f t="shared" si="6"/>
        <v/>
      </c>
      <c r="AE21" s="209" t="str">
        <f t="shared" si="18"/>
        <v/>
      </c>
      <c r="AF21" s="210" t="str">
        <f t="shared" si="7"/>
        <v/>
      </c>
      <c r="AG21" s="219" t="str">
        <f t="shared" si="8"/>
        <v/>
      </c>
      <c r="AH21" s="207" t="str">
        <f t="shared" si="9"/>
        <v/>
      </c>
    </row>
    <row r="22" spans="1:34" s="167" customFormat="1" ht="12.75" customHeight="1">
      <c r="A22" s="181">
        <v>15</v>
      </c>
      <c r="B22" s="177"/>
      <c r="C22" s="182"/>
      <c r="D22" s="179"/>
      <c r="E22" s="180" t="str">
        <f t="shared" si="10"/>
        <v/>
      </c>
      <c r="F22" s="179"/>
      <c r="G22" s="180" t="str">
        <f t="shared" si="11"/>
        <v/>
      </c>
      <c r="H22" s="179"/>
      <c r="I22" s="180" t="str">
        <f t="shared" si="12"/>
        <v/>
      </c>
      <c r="J22" s="179"/>
      <c r="K22" s="180" t="str">
        <f t="shared" si="13"/>
        <v/>
      </c>
      <c r="L22" s="179"/>
      <c r="M22" s="180" t="str">
        <f t="shared" si="14"/>
        <v/>
      </c>
      <c r="N22" s="179"/>
      <c r="O22" s="180" t="str">
        <f t="shared" si="15"/>
        <v/>
      </c>
      <c r="P22" s="179"/>
      <c r="Q22" s="192" t="str">
        <f t="shared" si="0"/>
        <v/>
      </c>
      <c r="R22" s="193"/>
      <c r="S22" s="179"/>
      <c r="T22" s="192" t="str">
        <f t="shared" si="16"/>
        <v/>
      </c>
      <c r="U22" s="193"/>
      <c r="V22" s="179"/>
      <c r="W22" s="192" t="str">
        <f t="shared" si="17"/>
        <v/>
      </c>
      <c r="X22" s="194"/>
      <c r="Y22" s="205" t="str">
        <f t="shared" si="1"/>
        <v/>
      </c>
      <c r="Z22" s="206" t="str">
        <f t="shared" si="2"/>
        <v/>
      </c>
      <c r="AA22" s="206" t="str">
        <f t="shared" si="3"/>
        <v/>
      </c>
      <c r="AB22" s="206" t="str">
        <f t="shared" si="4"/>
        <v/>
      </c>
      <c r="AC22" s="207" t="str">
        <f t="shared" si="5"/>
        <v/>
      </c>
      <c r="AD22" s="208" t="str">
        <f t="shared" si="6"/>
        <v/>
      </c>
      <c r="AE22" s="209" t="str">
        <f t="shared" si="18"/>
        <v/>
      </c>
      <c r="AF22" s="210" t="str">
        <f t="shared" si="7"/>
        <v/>
      </c>
      <c r="AG22" s="219" t="str">
        <f t="shared" si="8"/>
        <v/>
      </c>
      <c r="AH22" s="207" t="str">
        <f t="shared" si="9"/>
        <v/>
      </c>
    </row>
    <row r="23" spans="1:34" s="167" customFormat="1" ht="12.75" customHeight="1">
      <c r="A23" s="181">
        <v>16</v>
      </c>
      <c r="B23" s="177"/>
      <c r="C23" s="182"/>
      <c r="D23" s="179"/>
      <c r="E23" s="180" t="str">
        <f t="shared" si="10"/>
        <v/>
      </c>
      <c r="F23" s="179"/>
      <c r="G23" s="180" t="str">
        <f t="shared" si="11"/>
        <v/>
      </c>
      <c r="H23" s="179"/>
      <c r="I23" s="180" t="str">
        <f t="shared" si="12"/>
        <v/>
      </c>
      <c r="J23" s="179"/>
      <c r="K23" s="180" t="str">
        <f t="shared" si="13"/>
        <v/>
      </c>
      <c r="L23" s="179"/>
      <c r="M23" s="180" t="str">
        <f t="shared" si="14"/>
        <v/>
      </c>
      <c r="N23" s="179"/>
      <c r="O23" s="180" t="str">
        <f t="shared" si="15"/>
        <v/>
      </c>
      <c r="P23" s="179"/>
      <c r="Q23" s="192" t="str">
        <f t="shared" si="0"/>
        <v/>
      </c>
      <c r="R23" s="193"/>
      <c r="S23" s="179"/>
      <c r="T23" s="192" t="str">
        <f t="shared" si="16"/>
        <v/>
      </c>
      <c r="U23" s="193"/>
      <c r="V23" s="179"/>
      <c r="W23" s="192" t="str">
        <f t="shared" si="17"/>
        <v/>
      </c>
      <c r="X23" s="194"/>
      <c r="Y23" s="205" t="str">
        <f t="shared" si="1"/>
        <v/>
      </c>
      <c r="Z23" s="206" t="str">
        <f t="shared" si="2"/>
        <v/>
      </c>
      <c r="AA23" s="206" t="str">
        <f t="shared" si="3"/>
        <v/>
      </c>
      <c r="AB23" s="206" t="str">
        <f t="shared" si="4"/>
        <v/>
      </c>
      <c r="AC23" s="207" t="str">
        <f t="shared" si="5"/>
        <v/>
      </c>
      <c r="AD23" s="208" t="str">
        <f t="shared" si="6"/>
        <v/>
      </c>
      <c r="AE23" s="209" t="str">
        <f t="shared" si="18"/>
        <v/>
      </c>
      <c r="AF23" s="210" t="str">
        <f t="shared" si="7"/>
        <v/>
      </c>
      <c r="AG23" s="219" t="str">
        <f t="shared" si="8"/>
        <v/>
      </c>
      <c r="AH23" s="207" t="str">
        <f t="shared" si="9"/>
        <v/>
      </c>
    </row>
    <row r="24" spans="1:34" s="167" customFormat="1" ht="12.75" customHeight="1">
      <c r="A24" s="181">
        <v>17</v>
      </c>
      <c r="B24" s="177"/>
      <c r="C24" s="182"/>
      <c r="D24" s="179"/>
      <c r="E24" s="180" t="str">
        <f t="shared" si="10"/>
        <v/>
      </c>
      <c r="F24" s="179"/>
      <c r="G24" s="180" t="str">
        <f t="shared" si="11"/>
        <v/>
      </c>
      <c r="H24" s="179"/>
      <c r="I24" s="180" t="str">
        <f t="shared" si="12"/>
        <v/>
      </c>
      <c r="J24" s="179"/>
      <c r="K24" s="180" t="str">
        <f t="shared" si="13"/>
        <v/>
      </c>
      <c r="L24" s="179"/>
      <c r="M24" s="180" t="str">
        <f t="shared" si="14"/>
        <v/>
      </c>
      <c r="N24" s="179"/>
      <c r="O24" s="180" t="str">
        <f t="shared" si="15"/>
        <v/>
      </c>
      <c r="P24" s="179"/>
      <c r="Q24" s="192" t="str">
        <f t="shared" si="0"/>
        <v/>
      </c>
      <c r="R24" s="193"/>
      <c r="S24" s="179"/>
      <c r="T24" s="192" t="str">
        <f t="shared" si="16"/>
        <v/>
      </c>
      <c r="U24" s="193"/>
      <c r="V24" s="179"/>
      <c r="W24" s="192" t="str">
        <f t="shared" si="17"/>
        <v/>
      </c>
      <c r="X24" s="194"/>
      <c r="Y24" s="205" t="str">
        <f t="shared" si="1"/>
        <v/>
      </c>
      <c r="Z24" s="206" t="str">
        <f t="shared" si="2"/>
        <v/>
      </c>
      <c r="AA24" s="206" t="str">
        <f t="shared" si="3"/>
        <v/>
      </c>
      <c r="AB24" s="206" t="str">
        <f t="shared" si="4"/>
        <v/>
      </c>
      <c r="AC24" s="207" t="str">
        <f t="shared" si="5"/>
        <v/>
      </c>
      <c r="AD24" s="208" t="str">
        <f t="shared" si="6"/>
        <v/>
      </c>
      <c r="AE24" s="209" t="str">
        <f t="shared" si="18"/>
        <v/>
      </c>
      <c r="AF24" s="210" t="str">
        <f t="shared" si="7"/>
        <v/>
      </c>
      <c r="AG24" s="219" t="str">
        <f t="shared" si="8"/>
        <v/>
      </c>
      <c r="AH24" s="207" t="str">
        <f t="shared" si="9"/>
        <v/>
      </c>
    </row>
    <row r="25" spans="1:34" s="167" customFormat="1" ht="12.75" customHeight="1">
      <c r="A25" s="181">
        <v>18</v>
      </c>
      <c r="B25" s="177"/>
      <c r="C25" s="182"/>
      <c r="D25" s="179"/>
      <c r="E25" s="180" t="str">
        <f t="shared" si="10"/>
        <v/>
      </c>
      <c r="F25" s="179"/>
      <c r="G25" s="180" t="str">
        <f t="shared" si="11"/>
        <v/>
      </c>
      <c r="H25" s="179"/>
      <c r="I25" s="180" t="str">
        <f t="shared" si="12"/>
        <v/>
      </c>
      <c r="J25" s="179"/>
      <c r="K25" s="180" t="str">
        <f t="shared" si="13"/>
        <v/>
      </c>
      <c r="L25" s="179"/>
      <c r="M25" s="180" t="str">
        <f t="shared" si="14"/>
        <v/>
      </c>
      <c r="N25" s="179"/>
      <c r="O25" s="180" t="str">
        <f t="shared" si="15"/>
        <v/>
      </c>
      <c r="P25" s="179"/>
      <c r="Q25" s="192" t="str">
        <f t="shared" si="0"/>
        <v/>
      </c>
      <c r="R25" s="193"/>
      <c r="S25" s="179"/>
      <c r="T25" s="192" t="str">
        <f t="shared" si="16"/>
        <v/>
      </c>
      <c r="U25" s="193"/>
      <c r="V25" s="179"/>
      <c r="W25" s="192" t="str">
        <f t="shared" si="17"/>
        <v/>
      </c>
      <c r="X25" s="194"/>
      <c r="Y25" s="205" t="str">
        <f t="shared" si="1"/>
        <v/>
      </c>
      <c r="Z25" s="206" t="str">
        <f t="shared" si="2"/>
        <v/>
      </c>
      <c r="AA25" s="206" t="str">
        <f t="shared" si="3"/>
        <v/>
      </c>
      <c r="AB25" s="206" t="str">
        <f t="shared" si="4"/>
        <v/>
      </c>
      <c r="AC25" s="207" t="str">
        <f t="shared" si="5"/>
        <v/>
      </c>
      <c r="AD25" s="208" t="str">
        <f t="shared" si="6"/>
        <v/>
      </c>
      <c r="AE25" s="209" t="str">
        <f t="shared" si="18"/>
        <v/>
      </c>
      <c r="AF25" s="210" t="str">
        <f t="shared" si="7"/>
        <v/>
      </c>
      <c r="AG25" s="219" t="str">
        <f t="shared" si="8"/>
        <v/>
      </c>
      <c r="AH25" s="207" t="str">
        <f t="shared" si="9"/>
        <v/>
      </c>
    </row>
    <row r="26" spans="1:34" s="167" customFormat="1" ht="12.75" customHeight="1">
      <c r="A26" s="181">
        <v>19</v>
      </c>
      <c r="B26" s="177"/>
      <c r="C26" s="182"/>
      <c r="D26" s="179"/>
      <c r="E26" s="180" t="str">
        <f t="shared" si="10"/>
        <v/>
      </c>
      <c r="F26" s="179"/>
      <c r="G26" s="180" t="str">
        <f t="shared" si="11"/>
        <v/>
      </c>
      <c r="H26" s="179"/>
      <c r="I26" s="180" t="str">
        <f t="shared" si="12"/>
        <v/>
      </c>
      <c r="J26" s="179"/>
      <c r="K26" s="180" t="str">
        <f t="shared" si="13"/>
        <v/>
      </c>
      <c r="L26" s="179"/>
      <c r="M26" s="180" t="str">
        <f t="shared" si="14"/>
        <v/>
      </c>
      <c r="N26" s="179"/>
      <c r="O26" s="180" t="str">
        <f t="shared" si="15"/>
        <v/>
      </c>
      <c r="P26" s="179"/>
      <c r="Q26" s="192" t="str">
        <f t="shared" si="0"/>
        <v/>
      </c>
      <c r="R26" s="193"/>
      <c r="S26" s="179"/>
      <c r="T26" s="192" t="str">
        <f t="shared" si="16"/>
        <v/>
      </c>
      <c r="U26" s="193"/>
      <c r="V26" s="179"/>
      <c r="W26" s="192" t="str">
        <f t="shared" si="17"/>
        <v/>
      </c>
      <c r="X26" s="194"/>
      <c r="Y26" s="205" t="str">
        <f t="shared" si="1"/>
        <v/>
      </c>
      <c r="Z26" s="206" t="str">
        <f t="shared" si="2"/>
        <v/>
      </c>
      <c r="AA26" s="206" t="str">
        <f t="shared" si="3"/>
        <v/>
      </c>
      <c r="AB26" s="206" t="str">
        <f t="shared" si="4"/>
        <v/>
      </c>
      <c r="AC26" s="207" t="str">
        <f t="shared" si="5"/>
        <v/>
      </c>
      <c r="AD26" s="208" t="str">
        <f t="shared" si="6"/>
        <v/>
      </c>
      <c r="AE26" s="209" t="str">
        <f t="shared" si="18"/>
        <v/>
      </c>
      <c r="AF26" s="210" t="str">
        <f t="shared" si="7"/>
        <v/>
      </c>
      <c r="AG26" s="219" t="str">
        <f t="shared" si="8"/>
        <v/>
      </c>
      <c r="AH26" s="207" t="str">
        <f t="shared" si="9"/>
        <v/>
      </c>
    </row>
    <row r="27" spans="1:34" s="167" customFormat="1" ht="12.75" customHeight="1">
      <c r="A27" s="181">
        <v>20</v>
      </c>
      <c r="B27" s="177"/>
      <c r="C27" s="182"/>
      <c r="D27" s="179"/>
      <c r="E27" s="180" t="str">
        <f t="shared" si="10"/>
        <v/>
      </c>
      <c r="F27" s="179"/>
      <c r="G27" s="180" t="str">
        <f t="shared" si="11"/>
        <v/>
      </c>
      <c r="H27" s="179"/>
      <c r="I27" s="180" t="str">
        <f t="shared" si="12"/>
        <v/>
      </c>
      <c r="J27" s="179"/>
      <c r="K27" s="180" t="str">
        <f t="shared" si="13"/>
        <v/>
      </c>
      <c r="L27" s="179"/>
      <c r="M27" s="180" t="str">
        <f t="shared" si="14"/>
        <v/>
      </c>
      <c r="N27" s="179"/>
      <c r="O27" s="180" t="str">
        <f t="shared" si="15"/>
        <v/>
      </c>
      <c r="P27" s="179"/>
      <c r="Q27" s="192" t="str">
        <f t="shared" si="0"/>
        <v/>
      </c>
      <c r="R27" s="193"/>
      <c r="S27" s="179"/>
      <c r="T27" s="192" t="str">
        <f t="shared" si="16"/>
        <v/>
      </c>
      <c r="U27" s="193"/>
      <c r="V27" s="179"/>
      <c r="W27" s="192" t="str">
        <f t="shared" si="17"/>
        <v/>
      </c>
      <c r="X27" s="194"/>
      <c r="Y27" s="205" t="str">
        <f t="shared" si="1"/>
        <v/>
      </c>
      <c r="Z27" s="206" t="str">
        <f t="shared" si="2"/>
        <v/>
      </c>
      <c r="AA27" s="206" t="str">
        <f t="shared" si="3"/>
        <v/>
      </c>
      <c r="AB27" s="206" t="str">
        <f t="shared" si="4"/>
        <v/>
      </c>
      <c r="AC27" s="207" t="str">
        <f t="shared" si="5"/>
        <v/>
      </c>
      <c r="AD27" s="208" t="str">
        <f t="shared" si="6"/>
        <v/>
      </c>
      <c r="AE27" s="209" t="str">
        <f t="shared" si="18"/>
        <v/>
      </c>
      <c r="AF27" s="210" t="str">
        <f t="shared" si="7"/>
        <v/>
      </c>
      <c r="AG27" s="219" t="str">
        <f t="shared" si="8"/>
        <v/>
      </c>
      <c r="AH27" s="207" t="str">
        <f t="shared" si="9"/>
        <v/>
      </c>
    </row>
    <row r="28" spans="1:34" s="167" customFormat="1" ht="12.75" customHeight="1">
      <c r="A28" s="181">
        <v>21</v>
      </c>
      <c r="B28" s="177"/>
      <c r="C28" s="182"/>
      <c r="D28" s="179"/>
      <c r="E28" s="180" t="str">
        <f t="shared" si="10"/>
        <v/>
      </c>
      <c r="F28" s="179"/>
      <c r="G28" s="180" t="str">
        <f t="shared" si="11"/>
        <v/>
      </c>
      <c r="H28" s="179"/>
      <c r="I28" s="180" t="str">
        <f t="shared" si="12"/>
        <v/>
      </c>
      <c r="J28" s="179"/>
      <c r="K28" s="180" t="str">
        <f t="shared" si="13"/>
        <v/>
      </c>
      <c r="L28" s="179"/>
      <c r="M28" s="180" t="str">
        <f t="shared" si="14"/>
        <v/>
      </c>
      <c r="N28" s="179"/>
      <c r="O28" s="180" t="str">
        <f t="shared" si="15"/>
        <v/>
      </c>
      <c r="P28" s="179"/>
      <c r="Q28" s="192" t="str">
        <f t="shared" si="0"/>
        <v/>
      </c>
      <c r="R28" s="193"/>
      <c r="S28" s="179"/>
      <c r="T28" s="192" t="str">
        <f t="shared" si="16"/>
        <v/>
      </c>
      <c r="U28" s="193"/>
      <c r="V28" s="179"/>
      <c r="W28" s="192" t="str">
        <f t="shared" si="17"/>
        <v/>
      </c>
      <c r="X28" s="194"/>
      <c r="Y28" s="205" t="str">
        <f t="shared" si="1"/>
        <v/>
      </c>
      <c r="Z28" s="206" t="str">
        <f t="shared" si="2"/>
        <v/>
      </c>
      <c r="AA28" s="206" t="str">
        <f t="shared" si="3"/>
        <v/>
      </c>
      <c r="AB28" s="206" t="str">
        <f t="shared" si="4"/>
        <v/>
      </c>
      <c r="AC28" s="207" t="str">
        <f t="shared" si="5"/>
        <v/>
      </c>
      <c r="AD28" s="208" t="str">
        <f t="shared" si="6"/>
        <v/>
      </c>
      <c r="AE28" s="209" t="str">
        <f t="shared" si="18"/>
        <v/>
      </c>
      <c r="AF28" s="210" t="str">
        <f t="shared" si="7"/>
        <v/>
      </c>
      <c r="AG28" s="219" t="str">
        <f t="shared" si="8"/>
        <v/>
      </c>
      <c r="AH28" s="207" t="str">
        <f t="shared" si="9"/>
        <v/>
      </c>
    </row>
    <row r="29" spans="1:34" s="167" customFormat="1" ht="12.75" customHeight="1">
      <c r="A29" s="181">
        <v>22</v>
      </c>
      <c r="B29" s="177"/>
      <c r="C29" s="182"/>
      <c r="D29" s="179"/>
      <c r="E29" s="180" t="str">
        <f t="shared" si="10"/>
        <v/>
      </c>
      <c r="F29" s="179"/>
      <c r="G29" s="180" t="str">
        <f t="shared" si="11"/>
        <v/>
      </c>
      <c r="H29" s="179"/>
      <c r="I29" s="180" t="str">
        <f t="shared" si="12"/>
        <v/>
      </c>
      <c r="J29" s="179"/>
      <c r="K29" s="180" t="str">
        <f t="shared" si="13"/>
        <v/>
      </c>
      <c r="L29" s="179"/>
      <c r="M29" s="180" t="str">
        <f t="shared" si="14"/>
        <v/>
      </c>
      <c r="N29" s="179"/>
      <c r="O29" s="180" t="str">
        <f t="shared" si="15"/>
        <v/>
      </c>
      <c r="P29" s="179"/>
      <c r="Q29" s="192" t="str">
        <f t="shared" si="0"/>
        <v/>
      </c>
      <c r="R29" s="193"/>
      <c r="S29" s="179"/>
      <c r="T29" s="192" t="str">
        <f t="shared" si="16"/>
        <v/>
      </c>
      <c r="U29" s="193"/>
      <c r="V29" s="179"/>
      <c r="W29" s="192" t="str">
        <f t="shared" si="17"/>
        <v/>
      </c>
      <c r="X29" s="194"/>
      <c r="Y29" s="205" t="str">
        <f t="shared" si="1"/>
        <v/>
      </c>
      <c r="Z29" s="206" t="str">
        <f t="shared" si="2"/>
        <v/>
      </c>
      <c r="AA29" s="206" t="str">
        <f t="shared" si="3"/>
        <v/>
      </c>
      <c r="AB29" s="206" t="str">
        <f t="shared" si="4"/>
        <v/>
      </c>
      <c r="AC29" s="207" t="str">
        <f t="shared" si="5"/>
        <v/>
      </c>
      <c r="AD29" s="208" t="str">
        <f t="shared" si="6"/>
        <v/>
      </c>
      <c r="AE29" s="209" t="str">
        <f t="shared" si="18"/>
        <v/>
      </c>
      <c r="AF29" s="210" t="str">
        <f t="shared" si="7"/>
        <v/>
      </c>
      <c r="AG29" s="219" t="str">
        <f t="shared" si="8"/>
        <v/>
      </c>
      <c r="AH29" s="207" t="str">
        <f t="shared" si="9"/>
        <v/>
      </c>
    </row>
    <row r="30" spans="1:34" s="167" customFormat="1" ht="12.75" customHeight="1">
      <c r="A30" s="181">
        <v>23</v>
      </c>
      <c r="B30" s="177"/>
      <c r="C30" s="182"/>
      <c r="D30" s="179"/>
      <c r="E30" s="180" t="str">
        <f t="shared" si="10"/>
        <v/>
      </c>
      <c r="F30" s="179"/>
      <c r="G30" s="180" t="str">
        <f t="shared" si="11"/>
        <v/>
      </c>
      <c r="H30" s="179"/>
      <c r="I30" s="180" t="str">
        <f t="shared" si="12"/>
        <v/>
      </c>
      <c r="J30" s="179"/>
      <c r="K30" s="180" t="str">
        <f t="shared" si="13"/>
        <v/>
      </c>
      <c r="L30" s="179"/>
      <c r="M30" s="180" t="str">
        <f t="shared" si="14"/>
        <v/>
      </c>
      <c r="N30" s="179"/>
      <c r="O30" s="180" t="str">
        <f t="shared" si="15"/>
        <v/>
      </c>
      <c r="P30" s="179"/>
      <c r="Q30" s="192" t="str">
        <f t="shared" si="0"/>
        <v/>
      </c>
      <c r="R30" s="193"/>
      <c r="S30" s="179"/>
      <c r="T30" s="192" t="str">
        <f t="shared" si="16"/>
        <v/>
      </c>
      <c r="U30" s="193"/>
      <c r="V30" s="179"/>
      <c r="W30" s="192" t="str">
        <f t="shared" si="17"/>
        <v/>
      </c>
      <c r="X30" s="194"/>
      <c r="Y30" s="205" t="str">
        <f t="shared" si="1"/>
        <v/>
      </c>
      <c r="Z30" s="206" t="str">
        <f t="shared" si="2"/>
        <v/>
      </c>
      <c r="AA30" s="206" t="str">
        <f t="shared" si="3"/>
        <v/>
      </c>
      <c r="AB30" s="206" t="str">
        <f t="shared" si="4"/>
        <v/>
      </c>
      <c r="AC30" s="207" t="str">
        <f t="shared" si="5"/>
        <v/>
      </c>
      <c r="AD30" s="208" t="str">
        <f t="shared" si="6"/>
        <v/>
      </c>
      <c r="AE30" s="209" t="str">
        <f t="shared" si="18"/>
        <v/>
      </c>
      <c r="AF30" s="210" t="str">
        <f t="shared" si="7"/>
        <v/>
      </c>
      <c r="AG30" s="219" t="str">
        <f t="shared" si="8"/>
        <v/>
      </c>
      <c r="AH30" s="207" t="str">
        <f t="shared" si="9"/>
        <v/>
      </c>
    </row>
    <row r="31" spans="1:34" s="167" customFormat="1" ht="12.75" customHeight="1">
      <c r="A31" s="181">
        <v>24</v>
      </c>
      <c r="B31" s="177"/>
      <c r="C31" s="182"/>
      <c r="D31" s="179"/>
      <c r="E31" s="180" t="str">
        <f t="shared" si="10"/>
        <v/>
      </c>
      <c r="F31" s="179"/>
      <c r="G31" s="180" t="str">
        <f t="shared" si="11"/>
        <v/>
      </c>
      <c r="H31" s="179"/>
      <c r="I31" s="180" t="str">
        <f t="shared" si="12"/>
        <v/>
      </c>
      <c r="J31" s="179"/>
      <c r="K31" s="180" t="str">
        <f t="shared" si="13"/>
        <v/>
      </c>
      <c r="L31" s="179"/>
      <c r="M31" s="180" t="str">
        <f t="shared" si="14"/>
        <v/>
      </c>
      <c r="N31" s="179"/>
      <c r="O31" s="180" t="str">
        <f t="shared" si="15"/>
        <v/>
      </c>
      <c r="P31" s="179"/>
      <c r="Q31" s="192" t="str">
        <f t="shared" si="0"/>
        <v/>
      </c>
      <c r="R31" s="193"/>
      <c r="S31" s="179"/>
      <c r="T31" s="192" t="str">
        <f t="shared" si="16"/>
        <v/>
      </c>
      <c r="U31" s="193"/>
      <c r="V31" s="179"/>
      <c r="W31" s="192" t="str">
        <f t="shared" si="17"/>
        <v/>
      </c>
      <c r="X31" s="194"/>
      <c r="Y31" s="205" t="str">
        <f t="shared" si="1"/>
        <v/>
      </c>
      <c r="Z31" s="206" t="str">
        <f t="shared" si="2"/>
        <v/>
      </c>
      <c r="AA31" s="206" t="str">
        <f t="shared" si="3"/>
        <v/>
      </c>
      <c r="AB31" s="206" t="str">
        <f t="shared" si="4"/>
        <v/>
      </c>
      <c r="AC31" s="207" t="str">
        <f t="shared" si="5"/>
        <v/>
      </c>
      <c r="AD31" s="208" t="str">
        <f t="shared" si="6"/>
        <v/>
      </c>
      <c r="AE31" s="209" t="str">
        <f t="shared" si="18"/>
        <v/>
      </c>
      <c r="AF31" s="210" t="str">
        <f t="shared" si="7"/>
        <v/>
      </c>
      <c r="AG31" s="219" t="str">
        <f t="shared" si="8"/>
        <v/>
      </c>
      <c r="AH31" s="207" t="str">
        <f t="shared" si="9"/>
        <v/>
      </c>
    </row>
    <row r="32" spans="1:34" s="167" customFormat="1" ht="12.75" customHeight="1">
      <c r="A32" s="181">
        <v>25</v>
      </c>
      <c r="B32" s="177"/>
      <c r="C32" s="182"/>
      <c r="D32" s="179"/>
      <c r="E32" s="180" t="str">
        <f t="shared" si="10"/>
        <v/>
      </c>
      <c r="F32" s="179"/>
      <c r="G32" s="180" t="str">
        <f t="shared" si="11"/>
        <v/>
      </c>
      <c r="H32" s="179"/>
      <c r="I32" s="180" t="str">
        <f t="shared" si="12"/>
        <v/>
      </c>
      <c r="J32" s="179"/>
      <c r="K32" s="180" t="str">
        <f t="shared" si="13"/>
        <v/>
      </c>
      <c r="L32" s="179"/>
      <c r="M32" s="180" t="str">
        <f t="shared" si="14"/>
        <v/>
      </c>
      <c r="N32" s="179"/>
      <c r="O32" s="180" t="str">
        <f t="shared" si="15"/>
        <v/>
      </c>
      <c r="P32" s="179"/>
      <c r="Q32" s="192" t="str">
        <f t="shared" si="0"/>
        <v/>
      </c>
      <c r="R32" s="193"/>
      <c r="S32" s="179"/>
      <c r="T32" s="192" t="str">
        <f t="shared" si="16"/>
        <v/>
      </c>
      <c r="U32" s="193"/>
      <c r="V32" s="179"/>
      <c r="W32" s="192" t="str">
        <f t="shared" si="17"/>
        <v/>
      </c>
      <c r="X32" s="194"/>
      <c r="Y32" s="205" t="str">
        <f t="shared" si="1"/>
        <v/>
      </c>
      <c r="Z32" s="206" t="str">
        <f t="shared" si="2"/>
        <v/>
      </c>
      <c r="AA32" s="206" t="str">
        <f t="shared" si="3"/>
        <v/>
      </c>
      <c r="AB32" s="206" t="str">
        <f t="shared" si="4"/>
        <v/>
      </c>
      <c r="AC32" s="207" t="str">
        <f t="shared" si="5"/>
        <v/>
      </c>
      <c r="AD32" s="208" t="str">
        <f t="shared" si="6"/>
        <v/>
      </c>
      <c r="AE32" s="209" t="str">
        <f t="shared" si="18"/>
        <v/>
      </c>
      <c r="AF32" s="210" t="str">
        <f t="shared" si="7"/>
        <v/>
      </c>
      <c r="AG32" s="219" t="str">
        <f t="shared" si="8"/>
        <v/>
      </c>
      <c r="AH32" s="207" t="str">
        <f t="shared" si="9"/>
        <v/>
      </c>
    </row>
    <row r="33" spans="1:34" s="167" customFormat="1" ht="12.75" customHeight="1">
      <c r="A33" s="181">
        <v>26</v>
      </c>
      <c r="B33" s="177"/>
      <c r="C33" s="182"/>
      <c r="D33" s="179"/>
      <c r="E33" s="180" t="str">
        <f t="shared" si="10"/>
        <v/>
      </c>
      <c r="F33" s="179"/>
      <c r="G33" s="180" t="str">
        <f t="shared" si="11"/>
        <v/>
      </c>
      <c r="H33" s="179"/>
      <c r="I33" s="180" t="str">
        <f t="shared" si="12"/>
        <v/>
      </c>
      <c r="J33" s="179"/>
      <c r="K33" s="180" t="str">
        <f t="shared" si="13"/>
        <v/>
      </c>
      <c r="L33" s="179"/>
      <c r="M33" s="180" t="str">
        <f t="shared" si="14"/>
        <v/>
      </c>
      <c r="N33" s="179"/>
      <c r="O33" s="180" t="str">
        <f t="shared" si="15"/>
        <v/>
      </c>
      <c r="P33" s="179"/>
      <c r="Q33" s="192" t="str">
        <f t="shared" si="0"/>
        <v/>
      </c>
      <c r="R33" s="193"/>
      <c r="S33" s="179"/>
      <c r="T33" s="192" t="str">
        <f t="shared" si="16"/>
        <v/>
      </c>
      <c r="U33" s="193"/>
      <c r="V33" s="179"/>
      <c r="W33" s="192" t="str">
        <f t="shared" si="17"/>
        <v/>
      </c>
      <c r="X33" s="194"/>
      <c r="Y33" s="205" t="str">
        <f t="shared" si="1"/>
        <v/>
      </c>
      <c r="Z33" s="206" t="str">
        <f t="shared" si="2"/>
        <v/>
      </c>
      <c r="AA33" s="206" t="str">
        <f t="shared" si="3"/>
        <v/>
      </c>
      <c r="AB33" s="206" t="str">
        <f t="shared" si="4"/>
        <v/>
      </c>
      <c r="AC33" s="207" t="str">
        <f t="shared" si="5"/>
        <v/>
      </c>
      <c r="AD33" s="208" t="str">
        <f t="shared" si="6"/>
        <v/>
      </c>
      <c r="AE33" s="209" t="str">
        <f t="shared" si="18"/>
        <v/>
      </c>
      <c r="AF33" s="210" t="str">
        <f t="shared" si="7"/>
        <v/>
      </c>
      <c r="AG33" s="219" t="str">
        <f t="shared" si="8"/>
        <v/>
      </c>
      <c r="AH33" s="207" t="str">
        <f t="shared" si="9"/>
        <v/>
      </c>
    </row>
    <row r="34" spans="1:34" s="167" customFormat="1" ht="12.75" customHeight="1">
      <c r="A34" s="181">
        <v>27</v>
      </c>
      <c r="B34" s="177"/>
      <c r="C34" s="182"/>
      <c r="D34" s="179"/>
      <c r="E34" s="180" t="str">
        <f t="shared" si="10"/>
        <v/>
      </c>
      <c r="F34" s="179"/>
      <c r="G34" s="180" t="str">
        <f t="shared" si="11"/>
        <v/>
      </c>
      <c r="H34" s="179"/>
      <c r="I34" s="180" t="str">
        <f t="shared" si="12"/>
        <v/>
      </c>
      <c r="J34" s="179"/>
      <c r="K34" s="180" t="str">
        <f t="shared" si="13"/>
        <v/>
      </c>
      <c r="L34" s="179"/>
      <c r="M34" s="180" t="str">
        <f t="shared" si="14"/>
        <v/>
      </c>
      <c r="N34" s="179"/>
      <c r="O34" s="180" t="str">
        <f t="shared" si="15"/>
        <v/>
      </c>
      <c r="P34" s="179"/>
      <c r="Q34" s="192" t="str">
        <f t="shared" si="0"/>
        <v/>
      </c>
      <c r="R34" s="193"/>
      <c r="S34" s="179"/>
      <c r="T34" s="192" t="str">
        <f t="shared" si="16"/>
        <v/>
      </c>
      <c r="U34" s="193"/>
      <c r="V34" s="179"/>
      <c r="W34" s="192" t="str">
        <f t="shared" si="17"/>
        <v/>
      </c>
      <c r="X34" s="194"/>
      <c r="Y34" s="205" t="str">
        <f t="shared" si="1"/>
        <v/>
      </c>
      <c r="Z34" s="206" t="str">
        <f t="shared" si="2"/>
        <v/>
      </c>
      <c r="AA34" s="206" t="str">
        <f t="shared" si="3"/>
        <v/>
      </c>
      <c r="AB34" s="206" t="str">
        <f t="shared" si="4"/>
        <v/>
      </c>
      <c r="AC34" s="207" t="str">
        <f t="shared" si="5"/>
        <v/>
      </c>
      <c r="AD34" s="208" t="str">
        <f t="shared" si="6"/>
        <v/>
      </c>
      <c r="AE34" s="209" t="str">
        <f t="shared" si="18"/>
        <v/>
      </c>
      <c r="AF34" s="210" t="str">
        <f t="shared" si="7"/>
        <v/>
      </c>
      <c r="AG34" s="219" t="str">
        <f t="shared" si="8"/>
        <v/>
      </c>
      <c r="AH34" s="207" t="str">
        <f t="shared" si="9"/>
        <v/>
      </c>
    </row>
    <row r="35" spans="1:34" s="167" customFormat="1" ht="12.75" customHeight="1">
      <c r="A35" s="181">
        <v>28</v>
      </c>
      <c r="B35" s="177"/>
      <c r="C35" s="182"/>
      <c r="D35" s="179"/>
      <c r="E35" s="180" t="str">
        <f t="shared" si="10"/>
        <v/>
      </c>
      <c r="F35" s="179"/>
      <c r="G35" s="180" t="str">
        <f t="shared" si="11"/>
        <v/>
      </c>
      <c r="H35" s="179"/>
      <c r="I35" s="180" t="str">
        <f t="shared" si="12"/>
        <v/>
      </c>
      <c r="J35" s="179"/>
      <c r="K35" s="180" t="str">
        <f t="shared" si="13"/>
        <v/>
      </c>
      <c r="L35" s="179"/>
      <c r="M35" s="180" t="str">
        <f t="shared" si="14"/>
        <v/>
      </c>
      <c r="N35" s="179"/>
      <c r="O35" s="180" t="str">
        <f t="shared" si="15"/>
        <v/>
      </c>
      <c r="P35" s="179"/>
      <c r="Q35" s="192" t="str">
        <f t="shared" si="0"/>
        <v/>
      </c>
      <c r="R35" s="193"/>
      <c r="S35" s="179"/>
      <c r="T35" s="192" t="str">
        <f t="shared" si="16"/>
        <v/>
      </c>
      <c r="U35" s="193"/>
      <c r="V35" s="179"/>
      <c r="W35" s="192" t="str">
        <f t="shared" si="17"/>
        <v/>
      </c>
      <c r="X35" s="194"/>
      <c r="Y35" s="205" t="str">
        <f t="shared" si="1"/>
        <v/>
      </c>
      <c r="Z35" s="206" t="str">
        <f t="shared" si="2"/>
        <v/>
      </c>
      <c r="AA35" s="206" t="str">
        <f t="shared" si="3"/>
        <v/>
      </c>
      <c r="AB35" s="206" t="str">
        <f t="shared" si="4"/>
        <v/>
      </c>
      <c r="AC35" s="207" t="str">
        <f t="shared" si="5"/>
        <v/>
      </c>
      <c r="AD35" s="208" t="str">
        <f t="shared" si="6"/>
        <v/>
      </c>
      <c r="AE35" s="209" t="str">
        <f t="shared" si="18"/>
        <v/>
      </c>
      <c r="AF35" s="210" t="str">
        <f t="shared" si="7"/>
        <v/>
      </c>
      <c r="AG35" s="219" t="str">
        <f t="shared" si="8"/>
        <v/>
      </c>
      <c r="AH35" s="207" t="str">
        <f t="shared" si="9"/>
        <v/>
      </c>
    </row>
    <row r="36" spans="1:34" s="167" customFormat="1" ht="12.75" customHeight="1">
      <c r="A36" s="181">
        <v>29</v>
      </c>
      <c r="B36" s="177"/>
      <c r="C36" s="182"/>
      <c r="D36" s="179"/>
      <c r="E36" s="180" t="str">
        <f t="shared" si="10"/>
        <v/>
      </c>
      <c r="F36" s="179"/>
      <c r="G36" s="180" t="str">
        <f t="shared" si="11"/>
        <v/>
      </c>
      <c r="H36" s="179"/>
      <c r="I36" s="180" t="str">
        <f t="shared" si="12"/>
        <v/>
      </c>
      <c r="J36" s="179"/>
      <c r="K36" s="180" t="str">
        <f t="shared" si="13"/>
        <v/>
      </c>
      <c r="L36" s="179"/>
      <c r="M36" s="180" t="str">
        <f t="shared" si="14"/>
        <v/>
      </c>
      <c r="N36" s="179"/>
      <c r="O36" s="180" t="str">
        <f t="shared" si="15"/>
        <v/>
      </c>
      <c r="P36" s="179"/>
      <c r="Q36" s="192" t="str">
        <f t="shared" si="0"/>
        <v/>
      </c>
      <c r="R36" s="193"/>
      <c r="S36" s="179"/>
      <c r="T36" s="192" t="str">
        <f t="shared" si="16"/>
        <v/>
      </c>
      <c r="U36" s="193"/>
      <c r="V36" s="179"/>
      <c r="W36" s="192" t="str">
        <f t="shared" si="17"/>
        <v/>
      </c>
      <c r="X36" s="194"/>
      <c r="Y36" s="205" t="str">
        <f t="shared" si="1"/>
        <v/>
      </c>
      <c r="Z36" s="206" t="str">
        <f t="shared" si="2"/>
        <v/>
      </c>
      <c r="AA36" s="206" t="str">
        <f t="shared" si="3"/>
        <v/>
      </c>
      <c r="AB36" s="206" t="str">
        <f t="shared" si="4"/>
        <v/>
      </c>
      <c r="AC36" s="207" t="str">
        <f t="shared" si="5"/>
        <v/>
      </c>
      <c r="AD36" s="208" t="str">
        <f t="shared" si="6"/>
        <v/>
      </c>
      <c r="AE36" s="209" t="str">
        <f t="shared" si="18"/>
        <v/>
      </c>
      <c r="AF36" s="210" t="str">
        <f t="shared" si="7"/>
        <v/>
      </c>
      <c r="AG36" s="219" t="str">
        <f t="shared" si="8"/>
        <v/>
      </c>
      <c r="AH36" s="207" t="str">
        <f t="shared" si="9"/>
        <v/>
      </c>
    </row>
    <row r="37" spans="1:34" s="167" customFormat="1" ht="12.75" customHeight="1">
      <c r="A37" s="181">
        <v>30</v>
      </c>
      <c r="B37" s="177"/>
      <c r="C37" s="182"/>
      <c r="D37" s="179"/>
      <c r="E37" s="180" t="str">
        <f t="shared" si="10"/>
        <v/>
      </c>
      <c r="F37" s="179"/>
      <c r="G37" s="180" t="str">
        <f t="shared" si="11"/>
        <v/>
      </c>
      <c r="H37" s="179"/>
      <c r="I37" s="180" t="str">
        <f t="shared" si="12"/>
        <v/>
      </c>
      <c r="J37" s="179"/>
      <c r="K37" s="180" t="str">
        <f t="shared" si="13"/>
        <v/>
      </c>
      <c r="L37" s="179"/>
      <c r="M37" s="180" t="str">
        <f t="shared" si="14"/>
        <v/>
      </c>
      <c r="N37" s="179"/>
      <c r="O37" s="180" t="str">
        <f t="shared" si="15"/>
        <v/>
      </c>
      <c r="P37" s="179"/>
      <c r="Q37" s="192" t="str">
        <f t="shared" si="0"/>
        <v/>
      </c>
      <c r="R37" s="193"/>
      <c r="S37" s="179"/>
      <c r="T37" s="192" t="str">
        <f t="shared" si="16"/>
        <v/>
      </c>
      <c r="U37" s="193"/>
      <c r="V37" s="179"/>
      <c r="W37" s="192" t="str">
        <f t="shared" si="17"/>
        <v/>
      </c>
      <c r="X37" s="194"/>
      <c r="Y37" s="205" t="str">
        <f t="shared" si="1"/>
        <v/>
      </c>
      <c r="Z37" s="206" t="str">
        <f t="shared" si="2"/>
        <v/>
      </c>
      <c r="AA37" s="206" t="str">
        <f t="shared" si="3"/>
        <v/>
      </c>
      <c r="AB37" s="206" t="str">
        <f t="shared" si="4"/>
        <v/>
      </c>
      <c r="AC37" s="207" t="str">
        <f t="shared" si="5"/>
        <v/>
      </c>
      <c r="AD37" s="208" t="str">
        <f t="shared" si="6"/>
        <v/>
      </c>
      <c r="AE37" s="209" t="str">
        <f t="shared" si="18"/>
        <v/>
      </c>
      <c r="AF37" s="210" t="str">
        <f t="shared" si="7"/>
        <v/>
      </c>
      <c r="AG37" s="219" t="str">
        <f t="shared" si="8"/>
        <v/>
      </c>
      <c r="AH37" s="207" t="str">
        <f t="shared" si="9"/>
        <v/>
      </c>
    </row>
    <row r="38" spans="1:34" s="167" customFormat="1" ht="12.75" customHeight="1">
      <c r="A38" s="181">
        <v>31</v>
      </c>
      <c r="B38" s="177"/>
      <c r="C38" s="182"/>
      <c r="D38" s="179"/>
      <c r="E38" s="180" t="str">
        <f t="shared" si="10"/>
        <v/>
      </c>
      <c r="F38" s="179"/>
      <c r="G38" s="180" t="str">
        <f t="shared" si="11"/>
        <v/>
      </c>
      <c r="H38" s="179"/>
      <c r="I38" s="180" t="str">
        <f t="shared" si="12"/>
        <v/>
      </c>
      <c r="J38" s="179"/>
      <c r="K38" s="180" t="str">
        <f t="shared" si="13"/>
        <v/>
      </c>
      <c r="L38" s="179"/>
      <c r="M38" s="180" t="str">
        <f t="shared" si="14"/>
        <v/>
      </c>
      <c r="N38" s="179"/>
      <c r="O38" s="180" t="str">
        <f t="shared" si="15"/>
        <v/>
      </c>
      <c r="P38" s="179"/>
      <c r="Q38" s="192" t="str">
        <f t="shared" si="0"/>
        <v/>
      </c>
      <c r="R38" s="193"/>
      <c r="S38" s="179"/>
      <c r="T38" s="192" t="str">
        <f t="shared" si="16"/>
        <v/>
      </c>
      <c r="U38" s="193"/>
      <c r="V38" s="179"/>
      <c r="W38" s="192" t="str">
        <f t="shared" si="17"/>
        <v/>
      </c>
      <c r="X38" s="194"/>
      <c r="Y38" s="205" t="str">
        <f t="shared" si="1"/>
        <v/>
      </c>
      <c r="Z38" s="206" t="str">
        <f t="shared" si="2"/>
        <v/>
      </c>
      <c r="AA38" s="206" t="str">
        <f t="shared" si="3"/>
        <v/>
      </c>
      <c r="AB38" s="206" t="str">
        <f t="shared" si="4"/>
        <v/>
      </c>
      <c r="AC38" s="207" t="str">
        <f t="shared" si="5"/>
        <v/>
      </c>
      <c r="AD38" s="208" t="str">
        <f t="shared" si="6"/>
        <v/>
      </c>
      <c r="AE38" s="209" t="str">
        <f t="shared" si="18"/>
        <v/>
      </c>
      <c r="AF38" s="210" t="str">
        <f t="shared" si="7"/>
        <v/>
      </c>
      <c r="AG38" s="219" t="str">
        <f t="shared" si="8"/>
        <v/>
      </c>
      <c r="AH38" s="207" t="str">
        <f t="shared" si="9"/>
        <v/>
      </c>
    </row>
    <row r="39" spans="1:34" s="167" customFormat="1" ht="12.75" customHeight="1">
      <c r="A39" s="181">
        <v>32</v>
      </c>
      <c r="B39" s="177"/>
      <c r="C39" s="182"/>
      <c r="D39" s="179"/>
      <c r="E39" s="180" t="str">
        <f t="shared" si="10"/>
        <v/>
      </c>
      <c r="F39" s="179"/>
      <c r="G39" s="180" t="str">
        <f t="shared" si="11"/>
        <v/>
      </c>
      <c r="H39" s="179"/>
      <c r="I39" s="180" t="str">
        <f t="shared" si="12"/>
        <v/>
      </c>
      <c r="J39" s="179"/>
      <c r="K39" s="180" t="str">
        <f t="shared" si="13"/>
        <v/>
      </c>
      <c r="L39" s="179"/>
      <c r="M39" s="180" t="str">
        <f t="shared" si="14"/>
        <v/>
      </c>
      <c r="N39" s="179"/>
      <c r="O39" s="180" t="str">
        <f t="shared" si="15"/>
        <v/>
      </c>
      <c r="P39" s="179"/>
      <c r="Q39" s="192" t="str">
        <f t="shared" si="0"/>
        <v/>
      </c>
      <c r="R39" s="193"/>
      <c r="S39" s="179"/>
      <c r="T39" s="192" t="str">
        <f t="shared" si="16"/>
        <v/>
      </c>
      <c r="U39" s="193"/>
      <c r="V39" s="179"/>
      <c r="W39" s="192" t="str">
        <f t="shared" si="17"/>
        <v/>
      </c>
      <c r="X39" s="194"/>
      <c r="Y39" s="205" t="str">
        <f t="shared" si="1"/>
        <v/>
      </c>
      <c r="Z39" s="206" t="str">
        <f t="shared" si="2"/>
        <v/>
      </c>
      <c r="AA39" s="206" t="str">
        <f t="shared" si="3"/>
        <v/>
      </c>
      <c r="AB39" s="206" t="str">
        <f t="shared" si="4"/>
        <v/>
      </c>
      <c r="AC39" s="207" t="str">
        <f t="shared" si="5"/>
        <v/>
      </c>
      <c r="AD39" s="208" t="str">
        <f t="shared" si="6"/>
        <v/>
      </c>
      <c r="AE39" s="209" t="str">
        <f t="shared" si="18"/>
        <v/>
      </c>
      <c r="AF39" s="210" t="str">
        <f t="shared" si="7"/>
        <v/>
      </c>
      <c r="AG39" s="219" t="str">
        <f t="shared" si="8"/>
        <v/>
      </c>
      <c r="AH39" s="207" t="str">
        <f t="shared" si="9"/>
        <v/>
      </c>
    </row>
    <row r="40" spans="1:34" s="167" customFormat="1" ht="12.75" customHeight="1">
      <c r="A40" s="181">
        <v>33</v>
      </c>
      <c r="B40" s="177"/>
      <c r="C40" s="182"/>
      <c r="D40" s="179"/>
      <c r="E40" s="180" t="str">
        <f t="shared" si="10"/>
        <v/>
      </c>
      <c r="F40" s="179"/>
      <c r="G40" s="180" t="str">
        <f t="shared" si="11"/>
        <v/>
      </c>
      <c r="H40" s="179"/>
      <c r="I40" s="180" t="str">
        <f t="shared" si="12"/>
        <v/>
      </c>
      <c r="J40" s="179"/>
      <c r="K40" s="180" t="str">
        <f t="shared" si="13"/>
        <v/>
      </c>
      <c r="L40" s="179"/>
      <c r="M40" s="180" t="str">
        <f t="shared" si="14"/>
        <v/>
      </c>
      <c r="N40" s="179"/>
      <c r="O40" s="180" t="str">
        <f t="shared" si="15"/>
        <v/>
      </c>
      <c r="P40" s="179"/>
      <c r="Q40" s="192" t="str">
        <f t="shared" si="0"/>
        <v/>
      </c>
      <c r="R40" s="193"/>
      <c r="S40" s="179"/>
      <c r="T40" s="192" t="str">
        <f t="shared" si="16"/>
        <v/>
      </c>
      <c r="U40" s="193"/>
      <c r="V40" s="179"/>
      <c r="W40" s="192" t="str">
        <f t="shared" si="17"/>
        <v/>
      </c>
      <c r="X40" s="194"/>
      <c r="Y40" s="205" t="str">
        <f t="shared" si="1"/>
        <v/>
      </c>
      <c r="Z40" s="206" t="str">
        <f t="shared" si="2"/>
        <v/>
      </c>
      <c r="AA40" s="206" t="str">
        <f t="shared" si="3"/>
        <v/>
      </c>
      <c r="AB40" s="206" t="str">
        <f t="shared" si="4"/>
        <v/>
      </c>
      <c r="AC40" s="207" t="str">
        <f t="shared" si="5"/>
        <v/>
      </c>
      <c r="AD40" s="208" t="str">
        <f t="shared" si="6"/>
        <v/>
      </c>
      <c r="AE40" s="209" t="str">
        <f t="shared" si="18"/>
        <v/>
      </c>
      <c r="AF40" s="210" t="str">
        <f t="shared" si="7"/>
        <v/>
      </c>
      <c r="AG40" s="219" t="str">
        <f t="shared" si="8"/>
        <v/>
      </c>
      <c r="AH40" s="207" t="str">
        <f t="shared" si="9"/>
        <v/>
      </c>
    </row>
    <row r="41" spans="1:34" s="167" customFormat="1" ht="12.75" customHeight="1">
      <c r="A41" s="181">
        <v>34</v>
      </c>
      <c r="B41" s="177"/>
      <c r="C41" s="182"/>
      <c r="D41" s="179"/>
      <c r="E41" s="180" t="str">
        <f t="shared" si="10"/>
        <v/>
      </c>
      <c r="F41" s="179"/>
      <c r="G41" s="180" t="str">
        <f t="shared" si="11"/>
        <v/>
      </c>
      <c r="H41" s="179"/>
      <c r="I41" s="180" t="str">
        <f t="shared" si="12"/>
        <v/>
      </c>
      <c r="J41" s="179"/>
      <c r="K41" s="180" t="str">
        <f t="shared" si="13"/>
        <v/>
      </c>
      <c r="L41" s="179"/>
      <c r="M41" s="180" t="str">
        <f t="shared" si="14"/>
        <v/>
      </c>
      <c r="N41" s="179"/>
      <c r="O41" s="180" t="str">
        <f t="shared" si="15"/>
        <v/>
      </c>
      <c r="P41" s="179"/>
      <c r="Q41" s="192" t="str">
        <f t="shared" si="0"/>
        <v/>
      </c>
      <c r="R41" s="193"/>
      <c r="S41" s="179"/>
      <c r="T41" s="192" t="str">
        <f t="shared" si="16"/>
        <v/>
      </c>
      <c r="U41" s="193"/>
      <c r="V41" s="179"/>
      <c r="W41" s="192" t="str">
        <f t="shared" si="17"/>
        <v/>
      </c>
      <c r="X41" s="194"/>
      <c r="Y41" s="205" t="str">
        <f t="shared" si="1"/>
        <v/>
      </c>
      <c r="Z41" s="206" t="str">
        <f t="shared" si="2"/>
        <v/>
      </c>
      <c r="AA41" s="206" t="str">
        <f t="shared" si="3"/>
        <v/>
      </c>
      <c r="AB41" s="206" t="str">
        <f t="shared" si="4"/>
        <v/>
      </c>
      <c r="AC41" s="207" t="str">
        <f t="shared" si="5"/>
        <v/>
      </c>
      <c r="AD41" s="208" t="str">
        <f t="shared" si="6"/>
        <v/>
      </c>
      <c r="AE41" s="209" t="str">
        <f t="shared" si="18"/>
        <v/>
      </c>
      <c r="AF41" s="210" t="str">
        <f t="shared" si="7"/>
        <v/>
      </c>
      <c r="AG41" s="219" t="str">
        <f t="shared" si="8"/>
        <v/>
      </c>
      <c r="AH41" s="207" t="str">
        <f t="shared" si="9"/>
        <v/>
      </c>
    </row>
    <row r="42" spans="1:34" s="167" customFormat="1" ht="12.75" customHeight="1">
      <c r="A42" s="181">
        <v>35</v>
      </c>
      <c r="B42" s="177"/>
      <c r="C42" s="182"/>
      <c r="D42" s="179"/>
      <c r="E42" s="180" t="str">
        <f t="shared" si="10"/>
        <v/>
      </c>
      <c r="F42" s="179"/>
      <c r="G42" s="180" t="str">
        <f t="shared" si="11"/>
        <v/>
      </c>
      <c r="H42" s="179"/>
      <c r="I42" s="180" t="str">
        <f t="shared" si="12"/>
        <v/>
      </c>
      <c r="J42" s="179"/>
      <c r="K42" s="180" t="str">
        <f t="shared" si="13"/>
        <v/>
      </c>
      <c r="L42" s="179"/>
      <c r="M42" s="180" t="str">
        <f t="shared" si="14"/>
        <v/>
      </c>
      <c r="N42" s="179"/>
      <c r="O42" s="180" t="str">
        <f t="shared" si="15"/>
        <v/>
      </c>
      <c r="P42" s="179"/>
      <c r="Q42" s="192" t="str">
        <f t="shared" si="0"/>
        <v/>
      </c>
      <c r="R42" s="193"/>
      <c r="S42" s="179"/>
      <c r="T42" s="192" t="str">
        <f t="shared" si="16"/>
        <v/>
      </c>
      <c r="U42" s="193"/>
      <c r="V42" s="179"/>
      <c r="W42" s="192" t="str">
        <f t="shared" si="17"/>
        <v/>
      </c>
      <c r="X42" s="194"/>
      <c r="Y42" s="205" t="str">
        <f t="shared" si="1"/>
        <v/>
      </c>
      <c r="Z42" s="206" t="str">
        <f t="shared" si="2"/>
        <v/>
      </c>
      <c r="AA42" s="206" t="str">
        <f t="shared" si="3"/>
        <v/>
      </c>
      <c r="AB42" s="206" t="str">
        <f t="shared" si="4"/>
        <v/>
      </c>
      <c r="AC42" s="207" t="str">
        <f t="shared" si="5"/>
        <v/>
      </c>
      <c r="AD42" s="208" t="str">
        <f t="shared" si="6"/>
        <v/>
      </c>
      <c r="AE42" s="209" t="str">
        <f t="shared" si="18"/>
        <v/>
      </c>
      <c r="AF42" s="210" t="str">
        <f t="shared" si="7"/>
        <v/>
      </c>
      <c r="AG42" s="219" t="str">
        <f t="shared" si="8"/>
        <v/>
      </c>
      <c r="AH42" s="207" t="str">
        <f t="shared" si="9"/>
        <v/>
      </c>
    </row>
    <row r="43" spans="1:34" s="167" customFormat="1" ht="12.75" customHeight="1">
      <c r="A43" s="181">
        <v>36</v>
      </c>
      <c r="B43" s="177"/>
      <c r="C43" s="182"/>
      <c r="D43" s="179"/>
      <c r="E43" s="180" t="str">
        <f t="shared" si="10"/>
        <v/>
      </c>
      <c r="F43" s="179"/>
      <c r="G43" s="180" t="str">
        <f t="shared" si="11"/>
        <v/>
      </c>
      <c r="H43" s="179"/>
      <c r="I43" s="180" t="str">
        <f t="shared" si="12"/>
        <v/>
      </c>
      <c r="J43" s="179"/>
      <c r="K43" s="180" t="str">
        <f t="shared" si="13"/>
        <v/>
      </c>
      <c r="L43" s="179"/>
      <c r="M43" s="180" t="str">
        <f t="shared" si="14"/>
        <v/>
      </c>
      <c r="N43" s="179"/>
      <c r="O43" s="180" t="str">
        <f t="shared" si="15"/>
        <v/>
      </c>
      <c r="P43" s="179"/>
      <c r="Q43" s="192" t="str">
        <f t="shared" si="0"/>
        <v/>
      </c>
      <c r="R43" s="193"/>
      <c r="S43" s="179"/>
      <c r="T43" s="192" t="str">
        <f t="shared" si="16"/>
        <v/>
      </c>
      <c r="U43" s="193"/>
      <c r="V43" s="179"/>
      <c r="W43" s="192" t="str">
        <f t="shared" si="17"/>
        <v/>
      </c>
      <c r="X43" s="194"/>
      <c r="Y43" s="205" t="str">
        <f t="shared" si="1"/>
        <v/>
      </c>
      <c r="Z43" s="206" t="str">
        <f t="shared" si="2"/>
        <v/>
      </c>
      <c r="AA43" s="206" t="str">
        <f t="shared" si="3"/>
        <v/>
      </c>
      <c r="AB43" s="206" t="str">
        <f t="shared" si="4"/>
        <v/>
      </c>
      <c r="AC43" s="207" t="str">
        <f t="shared" si="5"/>
        <v/>
      </c>
      <c r="AD43" s="208" t="str">
        <f t="shared" si="6"/>
        <v/>
      </c>
      <c r="AE43" s="209" t="str">
        <f t="shared" si="18"/>
        <v/>
      </c>
      <c r="AF43" s="210" t="str">
        <f t="shared" si="7"/>
        <v/>
      </c>
      <c r="AG43" s="219" t="str">
        <f t="shared" si="8"/>
        <v/>
      </c>
      <c r="AH43" s="207" t="str">
        <f t="shared" si="9"/>
        <v/>
      </c>
    </row>
    <row r="44" spans="1:34" s="167" customFormat="1" ht="12.75" customHeight="1">
      <c r="A44" s="181">
        <v>37</v>
      </c>
      <c r="B44" s="177"/>
      <c r="C44" s="182"/>
      <c r="D44" s="179"/>
      <c r="E44" s="180" t="str">
        <f t="shared" si="10"/>
        <v/>
      </c>
      <c r="F44" s="179"/>
      <c r="G44" s="180" t="str">
        <f t="shared" si="11"/>
        <v/>
      </c>
      <c r="H44" s="179"/>
      <c r="I44" s="180" t="str">
        <f t="shared" si="12"/>
        <v/>
      </c>
      <c r="J44" s="179"/>
      <c r="K44" s="180" t="str">
        <f t="shared" si="13"/>
        <v/>
      </c>
      <c r="L44" s="179"/>
      <c r="M44" s="180" t="str">
        <f t="shared" si="14"/>
        <v/>
      </c>
      <c r="N44" s="179"/>
      <c r="O44" s="180" t="str">
        <f t="shared" si="15"/>
        <v/>
      </c>
      <c r="P44" s="179"/>
      <c r="Q44" s="192" t="str">
        <f t="shared" si="0"/>
        <v/>
      </c>
      <c r="R44" s="193"/>
      <c r="S44" s="179"/>
      <c r="T44" s="192" t="str">
        <f t="shared" si="16"/>
        <v/>
      </c>
      <c r="U44" s="193"/>
      <c r="V44" s="179"/>
      <c r="W44" s="192" t="str">
        <f t="shared" si="17"/>
        <v/>
      </c>
      <c r="X44" s="194"/>
      <c r="Y44" s="205" t="str">
        <f t="shared" si="1"/>
        <v/>
      </c>
      <c r="Z44" s="206" t="str">
        <f t="shared" si="2"/>
        <v/>
      </c>
      <c r="AA44" s="206" t="str">
        <f t="shared" si="3"/>
        <v/>
      </c>
      <c r="AB44" s="206" t="str">
        <f t="shared" si="4"/>
        <v/>
      </c>
      <c r="AC44" s="207" t="str">
        <f t="shared" si="5"/>
        <v/>
      </c>
      <c r="AD44" s="208" t="str">
        <f t="shared" si="6"/>
        <v/>
      </c>
      <c r="AE44" s="209" t="str">
        <f t="shared" si="18"/>
        <v/>
      </c>
      <c r="AF44" s="210" t="str">
        <f t="shared" si="7"/>
        <v/>
      </c>
      <c r="AG44" s="219" t="str">
        <f t="shared" si="8"/>
        <v/>
      </c>
      <c r="AH44" s="207" t="str">
        <f t="shared" si="9"/>
        <v/>
      </c>
    </row>
    <row r="45" spans="1:34" s="167" customFormat="1" ht="12.75" customHeight="1">
      <c r="A45" s="181">
        <v>38</v>
      </c>
      <c r="B45" s="177"/>
      <c r="C45" s="182"/>
      <c r="D45" s="179"/>
      <c r="E45" s="180" t="str">
        <f t="shared" si="10"/>
        <v/>
      </c>
      <c r="F45" s="179"/>
      <c r="G45" s="180" t="str">
        <f t="shared" si="11"/>
        <v/>
      </c>
      <c r="H45" s="179"/>
      <c r="I45" s="180" t="str">
        <f t="shared" si="12"/>
        <v/>
      </c>
      <c r="J45" s="179"/>
      <c r="K45" s="180" t="str">
        <f t="shared" si="13"/>
        <v/>
      </c>
      <c r="L45" s="179"/>
      <c r="M45" s="180" t="str">
        <f t="shared" si="14"/>
        <v/>
      </c>
      <c r="N45" s="179"/>
      <c r="O45" s="180" t="str">
        <f t="shared" si="15"/>
        <v/>
      </c>
      <c r="P45" s="179"/>
      <c r="Q45" s="192" t="str">
        <f t="shared" si="0"/>
        <v/>
      </c>
      <c r="R45" s="193"/>
      <c r="S45" s="179"/>
      <c r="T45" s="192" t="str">
        <f t="shared" si="16"/>
        <v/>
      </c>
      <c r="U45" s="193"/>
      <c r="V45" s="179"/>
      <c r="W45" s="192" t="str">
        <f t="shared" si="17"/>
        <v/>
      </c>
      <c r="X45" s="194"/>
      <c r="Y45" s="205" t="str">
        <f t="shared" si="1"/>
        <v/>
      </c>
      <c r="Z45" s="206" t="str">
        <f t="shared" si="2"/>
        <v/>
      </c>
      <c r="AA45" s="206" t="str">
        <f t="shared" si="3"/>
        <v/>
      </c>
      <c r="AB45" s="206" t="str">
        <f t="shared" si="4"/>
        <v/>
      </c>
      <c r="AC45" s="207" t="str">
        <f t="shared" si="5"/>
        <v/>
      </c>
      <c r="AD45" s="208" t="str">
        <f t="shared" si="6"/>
        <v/>
      </c>
      <c r="AE45" s="209" t="str">
        <f t="shared" si="18"/>
        <v/>
      </c>
      <c r="AF45" s="210" t="str">
        <f t="shared" si="7"/>
        <v/>
      </c>
      <c r="AG45" s="219" t="str">
        <f t="shared" si="8"/>
        <v/>
      </c>
      <c r="AH45" s="207" t="str">
        <f t="shared" si="9"/>
        <v/>
      </c>
    </row>
    <row r="46" spans="1:34" s="167" customFormat="1" ht="12.75" customHeight="1">
      <c r="A46" s="181">
        <v>39</v>
      </c>
      <c r="B46" s="177"/>
      <c r="C46" s="182"/>
      <c r="D46" s="179"/>
      <c r="E46" s="180" t="str">
        <f t="shared" si="10"/>
        <v/>
      </c>
      <c r="F46" s="179"/>
      <c r="G46" s="180" t="str">
        <f t="shared" si="11"/>
        <v/>
      </c>
      <c r="H46" s="179"/>
      <c r="I46" s="180" t="str">
        <f t="shared" si="12"/>
        <v/>
      </c>
      <c r="J46" s="179"/>
      <c r="K46" s="180" t="str">
        <f t="shared" si="13"/>
        <v/>
      </c>
      <c r="L46" s="179"/>
      <c r="M46" s="180" t="str">
        <f t="shared" si="14"/>
        <v/>
      </c>
      <c r="N46" s="179"/>
      <c r="O46" s="180" t="str">
        <f t="shared" si="15"/>
        <v/>
      </c>
      <c r="P46" s="179"/>
      <c r="Q46" s="192" t="str">
        <f t="shared" si="0"/>
        <v/>
      </c>
      <c r="R46" s="193"/>
      <c r="S46" s="179"/>
      <c r="T46" s="192" t="str">
        <f t="shared" si="16"/>
        <v/>
      </c>
      <c r="U46" s="193"/>
      <c r="V46" s="179"/>
      <c r="W46" s="192" t="str">
        <f t="shared" si="17"/>
        <v/>
      </c>
      <c r="X46" s="194"/>
      <c r="Y46" s="205" t="str">
        <f t="shared" si="1"/>
        <v/>
      </c>
      <c r="Z46" s="206" t="str">
        <f t="shared" si="2"/>
        <v/>
      </c>
      <c r="AA46" s="206" t="str">
        <f t="shared" si="3"/>
        <v/>
      </c>
      <c r="AB46" s="206" t="str">
        <f t="shared" si="4"/>
        <v/>
      </c>
      <c r="AC46" s="207" t="str">
        <f t="shared" si="5"/>
        <v/>
      </c>
      <c r="AD46" s="208" t="str">
        <f t="shared" si="6"/>
        <v/>
      </c>
      <c r="AE46" s="209" t="str">
        <f t="shared" si="18"/>
        <v/>
      </c>
      <c r="AF46" s="210" t="str">
        <f t="shared" si="7"/>
        <v/>
      </c>
      <c r="AG46" s="219" t="str">
        <f t="shared" si="8"/>
        <v/>
      </c>
      <c r="AH46" s="207" t="str">
        <f t="shared" si="9"/>
        <v/>
      </c>
    </row>
    <row r="47" spans="1:34" s="167" customFormat="1" ht="12.75" customHeight="1">
      <c r="A47" s="181">
        <v>40</v>
      </c>
      <c r="B47" s="177"/>
      <c r="C47" s="182"/>
      <c r="D47" s="179"/>
      <c r="E47" s="180" t="str">
        <f t="shared" si="10"/>
        <v/>
      </c>
      <c r="F47" s="179"/>
      <c r="G47" s="180" t="str">
        <f t="shared" si="11"/>
        <v/>
      </c>
      <c r="H47" s="179"/>
      <c r="I47" s="180" t="str">
        <f t="shared" si="12"/>
        <v/>
      </c>
      <c r="J47" s="179"/>
      <c r="K47" s="180" t="str">
        <f t="shared" si="13"/>
        <v/>
      </c>
      <c r="L47" s="179"/>
      <c r="M47" s="180" t="str">
        <f t="shared" si="14"/>
        <v/>
      </c>
      <c r="N47" s="179"/>
      <c r="O47" s="180" t="str">
        <f t="shared" si="15"/>
        <v/>
      </c>
      <c r="P47" s="179"/>
      <c r="Q47" s="192" t="str">
        <f t="shared" si="0"/>
        <v/>
      </c>
      <c r="R47" s="193"/>
      <c r="S47" s="179"/>
      <c r="T47" s="192" t="str">
        <f t="shared" si="16"/>
        <v/>
      </c>
      <c r="U47" s="193"/>
      <c r="V47" s="179"/>
      <c r="W47" s="192" t="str">
        <f t="shared" si="17"/>
        <v/>
      </c>
      <c r="X47" s="194"/>
      <c r="Y47" s="205" t="str">
        <f t="shared" si="1"/>
        <v/>
      </c>
      <c r="Z47" s="206" t="str">
        <f t="shared" si="2"/>
        <v/>
      </c>
      <c r="AA47" s="206" t="str">
        <f t="shared" si="3"/>
        <v/>
      </c>
      <c r="AB47" s="206" t="str">
        <f t="shared" si="4"/>
        <v/>
      </c>
      <c r="AC47" s="207" t="str">
        <f t="shared" si="5"/>
        <v/>
      </c>
      <c r="AD47" s="208" t="str">
        <f t="shared" si="6"/>
        <v/>
      </c>
      <c r="AE47" s="209" t="str">
        <f t="shared" si="18"/>
        <v/>
      </c>
      <c r="AF47" s="210" t="str">
        <f t="shared" si="7"/>
        <v/>
      </c>
      <c r="AG47" s="219" t="str">
        <f t="shared" si="8"/>
        <v/>
      </c>
      <c r="AH47" s="207" t="str">
        <f t="shared" si="9"/>
        <v/>
      </c>
    </row>
    <row r="48" spans="1:34" s="167" customFormat="1" ht="12.75" customHeight="1">
      <c r="A48" s="181">
        <v>41</v>
      </c>
      <c r="B48" s="177"/>
      <c r="C48" s="182"/>
      <c r="D48" s="179"/>
      <c r="E48" s="180" t="str">
        <f t="shared" si="10"/>
        <v/>
      </c>
      <c r="F48" s="179"/>
      <c r="G48" s="180" t="str">
        <f t="shared" si="11"/>
        <v/>
      </c>
      <c r="H48" s="179"/>
      <c r="I48" s="180" t="str">
        <f t="shared" si="12"/>
        <v/>
      </c>
      <c r="J48" s="179"/>
      <c r="K48" s="180" t="str">
        <f t="shared" si="13"/>
        <v/>
      </c>
      <c r="L48" s="179"/>
      <c r="M48" s="180" t="str">
        <f t="shared" si="14"/>
        <v/>
      </c>
      <c r="N48" s="179"/>
      <c r="O48" s="180" t="str">
        <f t="shared" si="15"/>
        <v/>
      </c>
      <c r="P48" s="179"/>
      <c r="Q48" s="192" t="str">
        <f t="shared" si="0"/>
        <v/>
      </c>
      <c r="R48" s="193"/>
      <c r="S48" s="179"/>
      <c r="T48" s="192" t="str">
        <f t="shared" si="16"/>
        <v/>
      </c>
      <c r="U48" s="193"/>
      <c r="V48" s="179"/>
      <c r="W48" s="192" t="str">
        <f t="shared" si="17"/>
        <v/>
      </c>
      <c r="X48" s="194"/>
      <c r="Y48" s="205" t="str">
        <f t="shared" si="1"/>
        <v/>
      </c>
      <c r="Z48" s="206" t="str">
        <f t="shared" si="2"/>
        <v/>
      </c>
      <c r="AA48" s="206" t="str">
        <f t="shared" si="3"/>
        <v/>
      </c>
      <c r="AB48" s="206" t="str">
        <f t="shared" si="4"/>
        <v/>
      </c>
      <c r="AC48" s="207" t="str">
        <f t="shared" si="5"/>
        <v/>
      </c>
      <c r="AD48" s="208" t="str">
        <f t="shared" si="6"/>
        <v/>
      </c>
      <c r="AE48" s="209" t="str">
        <f t="shared" si="18"/>
        <v/>
      </c>
      <c r="AF48" s="210" t="str">
        <f t="shared" si="7"/>
        <v/>
      </c>
      <c r="AG48" s="219" t="str">
        <f t="shared" si="8"/>
        <v/>
      </c>
      <c r="AH48" s="207" t="str">
        <f t="shared" si="9"/>
        <v/>
      </c>
    </row>
    <row r="49" spans="1:36" s="167" customFormat="1" ht="12.75" customHeight="1">
      <c r="A49" s="181">
        <v>42</v>
      </c>
      <c r="B49" s="177"/>
      <c r="C49" s="182"/>
      <c r="D49" s="179"/>
      <c r="E49" s="180" t="str">
        <f t="shared" si="10"/>
        <v/>
      </c>
      <c r="F49" s="179"/>
      <c r="G49" s="180" t="str">
        <f t="shared" si="11"/>
        <v/>
      </c>
      <c r="H49" s="179"/>
      <c r="I49" s="180" t="str">
        <f t="shared" si="12"/>
        <v/>
      </c>
      <c r="J49" s="179"/>
      <c r="K49" s="180" t="str">
        <f t="shared" si="13"/>
        <v/>
      </c>
      <c r="L49" s="179"/>
      <c r="M49" s="180" t="str">
        <f t="shared" si="14"/>
        <v/>
      </c>
      <c r="N49" s="179"/>
      <c r="O49" s="180" t="str">
        <f t="shared" si="15"/>
        <v/>
      </c>
      <c r="P49" s="179"/>
      <c r="Q49" s="192" t="str">
        <f t="shared" si="0"/>
        <v/>
      </c>
      <c r="R49" s="193"/>
      <c r="S49" s="179"/>
      <c r="T49" s="192" t="str">
        <f t="shared" si="16"/>
        <v/>
      </c>
      <c r="U49" s="193"/>
      <c r="V49" s="179"/>
      <c r="W49" s="192" t="str">
        <f t="shared" si="17"/>
        <v/>
      </c>
      <c r="X49" s="194"/>
      <c r="Y49" s="205" t="str">
        <f t="shared" si="1"/>
        <v/>
      </c>
      <c r="Z49" s="206" t="str">
        <f t="shared" si="2"/>
        <v/>
      </c>
      <c r="AA49" s="206" t="str">
        <f t="shared" si="3"/>
        <v/>
      </c>
      <c r="AB49" s="206" t="str">
        <f t="shared" si="4"/>
        <v/>
      </c>
      <c r="AC49" s="207" t="str">
        <f t="shared" si="5"/>
        <v/>
      </c>
      <c r="AD49" s="208" t="str">
        <f t="shared" si="6"/>
        <v/>
      </c>
      <c r="AE49" s="209" t="str">
        <f t="shared" si="18"/>
        <v/>
      </c>
      <c r="AF49" s="210" t="str">
        <f t="shared" si="7"/>
        <v/>
      </c>
      <c r="AG49" s="219" t="str">
        <f t="shared" si="8"/>
        <v/>
      </c>
      <c r="AH49" s="207" t="str">
        <f t="shared" si="9"/>
        <v/>
      </c>
    </row>
    <row r="50" spans="1:36" s="167" customFormat="1" ht="12.75" customHeight="1">
      <c r="A50" s="181">
        <v>43</v>
      </c>
      <c r="B50" s="177"/>
      <c r="C50" s="182"/>
      <c r="D50" s="179"/>
      <c r="E50" s="180" t="str">
        <f t="shared" si="10"/>
        <v/>
      </c>
      <c r="F50" s="179"/>
      <c r="G50" s="180" t="str">
        <f t="shared" si="11"/>
        <v/>
      </c>
      <c r="H50" s="179"/>
      <c r="I50" s="180" t="str">
        <f t="shared" si="12"/>
        <v/>
      </c>
      <c r="J50" s="179"/>
      <c r="K50" s="180" t="str">
        <f t="shared" si="13"/>
        <v/>
      </c>
      <c r="L50" s="179"/>
      <c r="M50" s="180" t="str">
        <f t="shared" si="14"/>
        <v/>
      </c>
      <c r="N50" s="179"/>
      <c r="O50" s="180" t="str">
        <f t="shared" si="15"/>
        <v/>
      </c>
      <c r="P50" s="179"/>
      <c r="Q50" s="192" t="str">
        <f t="shared" si="0"/>
        <v/>
      </c>
      <c r="R50" s="193"/>
      <c r="S50" s="179"/>
      <c r="T50" s="192" t="str">
        <f t="shared" si="16"/>
        <v/>
      </c>
      <c r="U50" s="193"/>
      <c r="V50" s="179"/>
      <c r="W50" s="192" t="str">
        <f t="shared" si="17"/>
        <v/>
      </c>
      <c r="X50" s="194"/>
      <c r="Y50" s="205" t="str">
        <f t="shared" si="1"/>
        <v/>
      </c>
      <c r="Z50" s="206" t="str">
        <f t="shared" si="2"/>
        <v/>
      </c>
      <c r="AA50" s="206" t="str">
        <f t="shared" si="3"/>
        <v/>
      </c>
      <c r="AB50" s="206" t="str">
        <f t="shared" si="4"/>
        <v/>
      </c>
      <c r="AC50" s="207" t="str">
        <f t="shared" si="5"/>
        <v/>
      </c>
      <c r="AD50" s="208" t="str">
        <f t="shared" si="6"/>
        <v/>
      </c>
      <c r="AE50" s="209" t="str">
        <f t="shared" si="18"/>
        <v/>
      </c>
      <c r="AF50" s="210" t="str">
        <f t="shared" si="7"/>
        <v/>
      </c>
      <c r="AG50" s="219" t="str">
        <f t="shared" si="8"/>
        <v/>
      </c>
      <c r="AH50" s="207" t="str">
        <f t="shared" si="9"/>
        <v/>
      </c>
    </row>
    <row r="51" spans="1:36" s="167" customFormat="1" ht="12.75" customHeight="1">
      <c r="A51" s="181">
        <v>44</v>
      </c>
      <c r="B51" s="177"/>
      <c r="C51" s="182"/>
      <c r="D51" s="179"/>
      <c r="E51" s="180" t="str">
        <f t="shared" si="10"/>
        <v/>
      </c>
      <c r="F51" s="179"/>
      <c r="G51" s="180" t="str">
        <f t="shared" si="11"/>
        <v/>
      </c>
      <c r="H51" s="179"/>
      <c r="I51" s="180" t="str">
        <f t="shared" si="12"/>
        <v/>
      </c>
      <c r="J51" s="179"/>
      <c r="K51" s="180" t="str">
        <f t="shared" si="13"/>
        <v/>
      </c>
      <c r="L51" s="179"/>
      <c r="M51" s="180" t="str">
        <f t="shared" si="14"/>
        <v/>
      </c>
      <c r="N51" s="179"/>
      <c r="O51" s="180" t="str">
        <f t="shared" si="15"/>
        <v/>
      </c>
      <c r="P51" s="179"/>
      <c r="Q51" s="192" t="str">
        <f t="shared" si="0"/>
        <v/>
      </c>
      <c r="R51" s="193"/>
      <c r="S51" s="179"/>
      <c r="T51" s="192" t="str">
        <f t="shared" si="16"/>
        <v/>
      </c>
      <c r="U51" s="193"/>
      <c r="V51" s="179"/>
      <c r="W51" s="192" t="str">
        <f t="shared" si="17"/>
        <v/>
      </c>
      <c r="X51" s="194"/>
      <c r="Y51" s="205" t="str">
        <f t="shared" si="1"/>
        <v/>
      </c>
      <c r="Z51" s="206" t="str">
        <f t="shared" si="2"/>
        <v/>
      </c>
      <c r="AA51" s="206" t="str">
        <f t="shared" si="3"/>
        <v/>
      </c>
      <c r="AB51" s="206" t="str">
        <f t="shared" si="4"/>
        <v/>
      </c>
      <c r="AC51" s="207" t="str">
        <f t="shared" si="5"/>
        <v/>
      </c>
      <c r="AD51" s="208" t="str">
        <f t="shared" si="6"/>
        <v/>
      </c>
      <c r="AE51" s="209" t="str">
        <f t="shared" si="18"/>
        <v/>
      </c>
      <c r="AF51" s="210" t="str">
        <f t="shared" si="7"/>
        <v/>
      </c>
      <c r="AG51" s="219" t="str">
        <f t="shared" si="8"/>
        <v/>
      </c>
      <c r="AH51" s="207" t="str">
        <f t="shared" si="9"/>
        <v/>
      </c>
    </row>
    <row r="52" spans="1:36" s="167" customFormat="1" ht="12.75" customHeight="1">
      <c r="A52" s="181">
        <v>45</v>
      </c>
      <c r="B52" s="177"/>
      <c r="C52" s="182"/>
      <c r="D52" s="179"/>
      <c r="E52" s="180" t="str">
        <f t="shared" si="10"/>
        <v/>
      </c>
      <c r="F52" s="179"/>
      <c r="G52" s="180" t="str">
        <f t="shared" si="11"/>
        <v/>
      </c>
      <c r="H52" s="179"/>
      <c r="I52" s="180" t="str">
        <f t="shared" si="12"/>
        <v/>
      </c>
      <c r="J52" s="179"/>
      <c r="K52" s="180" t="str">
        <f t="shared" si="13"/>
        <v/>
      </c>
      <c r="L52" s="179"/>
      <c r="M52" s="180" t="str">
        <f t="shared" si="14"/>
        <v/>
      </c>
      <c r="N52" s="179"/>
      <c r="O52" s="180" t="str">
        <f t="shared" si="15"/>
        <v/>
      </c>
      <c r="P52" s="179"/>
      <c r="Q52" s="192" t="str">
        <f t="shared" si="0"/>
        <v/>
      </c>
      <c r="R52" s="193"/>
      <c r="S52" s="179"/>
      <c r="T52" s="192" t="str">
        <f t="shared" si="16"/>
        <v/>
      </c>
      <c r="U52" s="193"/>
      <c r="V52" s="179"/>
      <c r="W52" s="192" t="str">
        <f t="shared" si="17"/>
        <v/>
      </c>
      <c r="X52" s="194"/>
      <c r="Y52" s="205" t="str">
        <f t="shared" si="1"/>
        <v/>
      </c>
      <c r="Z52" s="206" t="str">
        <f t="shared" si="2"/>
        <v/>
      </c>
      <c r="AA52" s="206" t="str">
        <f t="shared" si="3"/>
        <v/>
      </c>
      <c r="AB52" s="206" t="str">
        <f t="shared" si="4"/>
        <v/>
      </c>
      <c r="AC52" s="207" t="str">
        <f t="shared" si="5"/>
        <v/>
      </c>
      <c r="AD52" s="208" t="str">
        <f t="shared" si="6"/>
        <v/>
      </c>
      <c r="AE52" s="209" t="str">
        <f t="shared" si="18"/>
        <v/>
      </c>
      <c r="AF52" s="210" t="str">
        <f t="shared" si="7"/>
        <v/>
      </c>
      <c r="AG52" s="219" t="str">
        <f t="shared" si="8"/>
        <v/>
      </c>
      <c r="AH52" s="207" t="str">
        <f t="shared" si="9"/>
        <v/>
      </c>
    </row>
    <row r="53" spans="1:36" s="167" customFormat="1" ht="12.75" customHeight="1">
      <c r="A53" s="181">
        <v>46</v>
      </c>
      <c r="B53" s="177"/>
      <c r="C53" s="182"/>
      <c r="D53" s="179"/>
      <c r="E53" s="180" t="str">
        <f t="shared" si="10"/>
        <v/>
      </c>
      <c r="F53" s="179"/>
      <c r="G53" s="180" t="str">
        <f t="shared" si="11"/>
        <v/>
      </c>
      <c r="H53" s="179"/>
      <c r="I53" s="180" t="str">
        <f t="shared" si="12"/>
        <v/>
      </c>
      <c r="J53" s="179"/>
      <c r="K53" s="180" t="str">
        <f t="shared" si="13"/>
        <v/>
      </c>
      <c r="L53" s="179"/>
      <c r="M53" s="180" t="str">
        <f t="shared" si="14"/>
        <v/>
      </c>
      <c r="N53" s="179"/>
      <c r="O53" s="180" t="str">
        <f t="shared" si="15"/>
        <v/>
      </c>
      <c r="P53" s="179"/>
      <c r="Q53" s="192" t="str">
        <f t="shared" si="0"/>
        <v/>
      </c>
      <c r="R53" s="193"/>
      <c r="S53" s="179"/>
      <c r="T53" s="192" t="str">
        <f t="shared" si="16"/>
        <v/>
      </c>
      <c r="U53" s="193"/>
      <c r="V53" s="179"/>
      <c r="W53" s="192" t="str">
        <f t="shared" si="17"/>
        <v/>
      </c>
      <c r="X53" s="194"/>
      <c r="Y53" s="205" t="str">
        <f t="shared" si="1"/>
        <v/>
      </c>
      <c r="Z53" s="206" t="str">
        <f t="shared" si="2"/>
        <v/>
      </c>
      <c r="AA53" s="206" t="str">
        <f t="shared" si="3"/>
        <v/>
      </c>
      <c r="AB53" s="206" t="str">
        <f t="shared" si="4"/>
        <v/>
      </c>
      <c r="AC53" s="207" t="str">
        <f t="shared" si="5"/>
        <v/>
      </c>
      <c r="AD53" s="208" t="str">
        <f t="shared" si="6"/>
        <v/>
      </c>
      <c r="AE53" s="209" t="str">
        <f t="shared" si="18"/>
        <v/>
      </c>
      <c r="AF53" s="210" t="str">
        <f t="shared" si="7"/>
        <v/>
      </c>
      <c r="AG53" s="219" t="str">
        <f t="shared" si="8"/>
        <v/>
      </c>
      <c r="AH53" s="207" t="str">
        <f t="shared" si="9"/>
        <v/>
      </c>
    </row>
    <row r="54" spans="1:36" s="167" customFormat="1" ht="12.75" customHeight="1">
      <c r="A54" s="181">
        <v>47</v>
      </c>
      <c r="B54" s="177"/>
      <c r="C54" s="182"/>
      <c r="D54" s="179"/>
      <c r="E54" s="180" t="str">
        <f t="shared" si="10"/>
        <v/>
      </c>
      <c r="F54" s="179"/>
      <c r="G54" s="180" t="str">
        <f t="shared" si="11"/>
        <v/>
      </c>
      <c r="H54" s="179"/>
      <c r="I54" s="180" t="str">
        <f t="shared" si="12"/>
        <v/>
      </c>
      <c r="J54" s="179"/>
      <c r="K54" s="180" t="str">
        <f t="shared" si="13"/>
        <v/>
      </c>
      <c r="L54" s="179"/>
      <c r="M54" s="180" t="str">
        <f t="shared" si="14"/>
        <v/>
      </c>
      <c r="N54" s="179"/>
      <c r="O54" s="180" t="str">
        <f t="shared" si="15"/>
        <v/>
      </c>
      <c r="P54" s="179"/>
      <c r="Q54" s="192" t="str">
        <f t="shared" si="0"/>
        <v/>
      </c>
      <c r="R54" s="193"/>
      <c r="S54" s="179"/>
      <c r="T54" s="192" t="str">
        <f t="shared" si="16"/>
        <v/>
      </c>
      <c r="U54" s="193"/>
      <c r="V54" s="179"/>
      <c r="W54" s="192" t="str">
        <f t="shared" si="17"/>
        <v/>
      </c>
      <c r="X54" s="194"/>
      <c r="Y54" s="205" t="str">
        <f t="shared" si="1"/>
        <v/>
      </c>
      <c r="Z54" s="206" t="str">
        <f t="shared" si="2"/>
        <v/>
      </c>
      <c r="AA54" s="206" t="str">
        <f t="shared" si="3"/>
        <v/>
      </c>
      <c r="AB54" s="206" t="str">
        <f t="shared" si="4"/>
        <v/>
      </c>
      <c r="AC54" s="207" t="str">
        <f t="shared" si="5"/>
        <v/>
      </c>
      <c r="AD54" s="208" t="str">
        <f t="shared" si="6"/>
        <v/>
      </c>
      <c r="AE54" s="209" t="str">
        <f t="shared" si="18"/>
        <v/>
      </c>
      <c r="AF54" s="210" t="str">
        <f t="shared" si="7"/>
        <v/>
      </c>
      <c r="AG54" s="219" t="str">
        <f t="shared" si="8"/>
        <v/>
      </c>
      <c r="AH54" s="207" t="str">
        <f t="shared" si="9"/>
        <v/>
      </c>
    </row>
    <row r="55" spans="1:36" s="167" customFormat="1" ht="12.75" customHeight="1">
      <c r="A55" s="181">
        <v>48</v>
      </c>
      <c r="B55" s="177"/>
      <c r="C55" s="182"/>
      <c r="D55" s="179"/>
      <c r="E55" s="180" t="str">
        <f t="shared" si="10"/>
        <v/>
      </c>
      <c r="F55" s="179"/>
      <c r="G55" s="180" t="str">
        <f t="shared" si="11"/>
        <v/>
      </c>
      <c r="H55" s="179"/>
      <c r="I55" s="180" t="str">
        <f t="shared" si="12"/>
        <v/>
      </c>
      <c r="J55" s="179"/>
      <c r="K55" s="180" t="str">
        <f t="shared" si="13"/>
        <v/>
      </c>
      <c r="L55" s="179"/>
      <c r="M55" s="180" t="str">
        <f t="shared" si="14"/>
        <v/>
      </c>
      <c r="N55" s="179"/>
      <c r="O55" s="180" t="str">
        <f t="shared" si="15"/>
        <v/>
      </c>
      <c r="P55" s="179"/>
      <c r="Q55" s="192" t="str">
        <f t="shared" si="0"/>
        <v/>
      </c>
      <c r="R55" s="193"/>
      <c r="S55" s="179"/>
      <c r="T55" s="192" t="str">
        <f t="shared" si="16"/>
        <v/>
      </c>
      <c r="U55" s="193"/>
      <c r="V55" s="179"/>
      <c r="W55" s="192" t="str">
        <f t="shared" si="17"/>
        <v/>
      </c>
      <c r="X55" s="194"/>
      <c r="Y55" s="205" t="str">
        <f t="shared" si="1"/>
        <v/>
      </c>
      <c r="Z55" s="206" t="str">
        <f t="shared" si="2"/>
        <v/>
      </c>
      <c r="AA55" s="206" t="str">
        <f t="shared" si="3"/>
        <v/>
      </c>
      <c r="AB55" s="206" t="str">
        <f t="shared" si="4"/>
        <v/>
      </c>
      <c r="AC55" s="207" t="str">
        <f t="shared" si="5"/>
        <v/>
      </c>
      <c r="AD55" s="208" t="str">
        <f t="shared" si="6"/>
        <v/>
      </c>
      <c r="AE55" s="209" t="str">
        <f t="shared" si="18"/>
        <v/>
      </c>
      <c r="AF55" s="210" t="str">
        <f t="shared" si="7"/>
        <v/>
      </c>
      <c r="AG55" s="219" t="str">
        <f t="shared" si="8"/>
        <v/>
      </c>
      <c r="AH55" s="207" t="str">
        <f t="shared" si="9"/>
        <v/>
      </c>
    </row>
    <row r="56" spans="1:36" s="167" customFormat="1" ht="12.75" customHeight="1">
      <c r="A56" s="181">
        <v>49</v>
      </c>
      <c r="B56" s="177"/>
      <c r="C56" s="182"/>
      <c r="D56" s="179"/>
      <c r="E56" s="180" t="str">
        <f t="shared" si="10"/>
        <v/>
      </c>
      <c r="F56" s="179"/>
      <c r="G56" s="180" t="str">
        <f t="shared" si="11"/>
        <v/>
      </c>
      <c r="H56" s="179"/>
      <c r="I56" s="180" t="str">
        <f t="shared" si="12"/>
        <v/>
      </c>
      <c r="J56" s="179"/>
      <c r="K56" s="180" t="str">
        <f t="shared" si="13"/>
        <v/>
      </c>
      <c r="L56" s="179"/>
      <c r="M56" s="180" t="str">
        <f t="shared" si="14"/>
        <v/>
      </c>
      <c r="N56" s="179"/>
      <c r="O56" s="180" t="str">
        <f t="shared" si="15"/>
        <v/>
      </c>
      <c r="P56" s="179"/>
      <c r="Q56" s="192" t="str">
        <f t="shared" si="0"/>
        <v/>
      </c>
      <c r="R56" s="193"/>
      <c r="S56" s="179"/>
      <c r="T56" s="192" t="str">
        <f t="shared" si="16"/>
        <v/>
      </c>
      <c r="U56" s="193"/>
      <c r="V56" s="179"/>
      <c r="W56" s="192" t="str">
        <f t="shared" si="17"/>
        <v/>
      </c>
      <c r="X56" s="194"/>
      <c r="Y56" s="205" t="str">
        <f t="shared" si="1"/>
        <v/>
      </c>
      <c r="Z56" s="206" t="str">
        <f t="shared" si="2"/>
        <v/>
      </c>
      <c r="AA56" s="206" t="str">
        <f t="shared" si="3"/>
        <v/>
      </c>
      <c r="AB56" s="206" t="str">
        <f t="shared" si="4"/>
        <v/>
      </c>
      <c r="AC56" s="207" t="str">
        <f t="shared" si="5"/>
        <v/>
      </c>
      <c r="AD56" s="208" t="str">
        <f t="shared" si="6"/>
        <v/>
      </c>
      <c r="AE56" s="209" t="str">
        <f t="shared" si="18"/>
        <v/>
      </c>
      <c r="AF56" s="210" t="str">
        <f t="shared" si="7"/>
        <v/>
      </c>
      <c r="AG56" s="219" t="str">
        <f t="shared" si="8"/>
        <v/>
      </c>
      <c r="AH56" s="207" t="str">
        <f t="shared" si="9"/>
        <v/>
      </c>
    </row>
    <row r="57" spans="1:36" s="167" customFormat="1" ht="12.75" customHeight="1">
      <c r="A57" s="181">
        <v>50</v>
      </c>
      <c r="B57" s="177"/>
      <c r="C57" s="182"/>
      <c r="D57" s="179"/>
      <c r="E57" s="180" t="str">
        <f t="shared" si="10"/>
        <v/>
      </c>
      <c r="F57" s="179"/>
      <c r="G57" s="180" t="str">
        <f t="shared" si="11"/>
        <v/>
      </c>
      <c r="H57" s="179"/>
      <c r="I57" s="180" t="str">
        <f t="shared" si="12"/>
        <v/>
      </c>
      <c r="J57" s="179"/>
      <c r="K57" s="180" t="str">
        <f t="shared" si="13"/>
        <v/>
      </c>
      <c r="L57" s="179"/>
      <c r="M57" s="180" t="str">
        <f t="shared" si="14"/>
        <v/>
      </c>
      <c r="N57" s="179"/>
      <c r="O57" s="180" t="str">
        <f t="shared" si="15"/>
        <v/>
      </c>
      <c r="P57" s="179"/>
      <c r="Q57" s="192" t="str">
        <f t="shared" si="0"/>
        <v/>
      </c>
      <c r="R57" s="193"/>
      <c r="S57" s="179"/>
      <c r="T57" s="192" t="str">
        <f t="shared" si="16"/>
        <v/>
      </c>
      <c r="U57" s="193"/>
      <c r="V57" s="179"/>
      <c r="W57" s="192" t="str">
        <f t="shared" si="17"/>
        <v/>
      </c>
      <c r="X57" s="194"/>
      <c r="Y57" s="205" t="str">
        <f t="shared" si="1"/>
        <v/>
      </c>
      <c r="Z57" s="206" t="str">
        <f t="shared" si="2"/>
        <v/>
      </c>
      <c r="AA57" s="206" t="str">
        <f t="shared" si="3"/>
        <v/>
      </c>
      <c r="AB57" s="206" t="str">
        <f t="shared" si="4"/>
        <v/>
      </c>
      <c r="AC57" s="207" t="str">
        <f t="shared" si="5"/>
        <v/>
      </c>
      <c r="AD57" s="208" t="str">
        <f t="shared" si="6"/>
        <v/>
      </c>
      <c r="AE57" s="209" t="str">
        <f t="shared" si="18"/>
        <v/>
      </c>
      <c r="AF57" s="210" t="str">
        <f t="shared" si="7"/>
        <v/>
      </c>
      <c r="AG57" s="219" t="str">
        <f t="shared" si="8"/>
        <v/>
      </c>
      <c r="AH57" s="207" t="str">
        <f t="shared" si="9"/>
        <v/>
      </c>
    </row>
    <row r="58" spans="1:36" s="167" customFormat="1" ht="12.75" customHeight="1">
      <c r="A58" s="181">
        <v>51</v>
      </c>
      <c r="B58" s="177"/>
      <c r="C58" s="182"/>
      <c r="D58" s="179"/>
      <c r="E58" s="180" t="str">
        <f t="shared" si="10"/>
        <v/>
      </c>
      <c r="F58" s="179"/>
      <c r="G58" s="180" t="str">
        <f t="shared" si="11"/>
        <v/>
      </c>
      <c r="H58" s="179"/>
      <c r="I58" s="180" t="str">
        <f t="shared" si="12"/>
        <v/>
      </c>
      <c r="J58" s="179"/>
      <c r="K58" s="180" t="str">
        <f t="shared" si="13"/>
        <v/>
      </c>
      <c r="L58" s="179"/>
      <c r="M58" s="180" t="str">
        <f t="shared" si="14"/>
        <v/>
      </c>
      <c r="N58" s="179"/>
      <c r="O58" s="180" t="str">
        <f t="shared" si="15"/>
        <v/>
      </c>
      <c r="P58" s="179"/>
      <c r="Q58" s="192" t="str">
        <f t="shared" si="0"/>
        <v/>
      </c>
      <c r="R58" s="193"/>
      <c r="S58" s="179"/>
      <c r="T58" s="192" t="str">
        <f t="shared" si="16"/>
        <v/>
      </c>
      <c r="U58" s="193"/>
      <c r="V58" s="179"/>
      <c r="W58" s="192" t="str">
        <f t="shared" si="17"/>
        <v/>
      </c>
      <c r="X58" s="194"/>
      <c r="Y58" s="205" t="str">
        <f t="shared" si="1"/>
        <v/>
      </c>
      <c r="Z58" s="206" t="str">
        <f t="shared" si="2"/>
        <v/>
      </c>
      <c r="AA58" s="206" t="str">
        <f t="shared" si="3"/>
        <v/>
      </c>
      <c r="AB58" s="206" t="str">
        <f t="shared" si="4"/>
        <v/>
      </c>
      <c r="AC58" s="207" t="str">
        <f t="shared" si="5"/>
        <v/>
      </c>
      <c r="AD58" s="208" t="str">
        <f t="shared" si="6"/>
        <v/>
      </c>
      <c r="AE58" s="209" t="str">
        <f t="shared" si="18"/>
        <v/>
      </c>
      <c r="AF58" s="210" t="str">
        <f t="shared" si="7"/>
        <v/>
      </c>
      <c r="AG58" s="219" t="str">
        <f t="shared" si="8"/>
        <v/>
      </c>
      <c r="AH58" s="207" t="str">
        <f t="shared" si="9"/>
        <v/>
      </c>
    </row>
    <row r="59" spans="1:36" s="167" customFormat="1" ht="12.75" customHeight="1">
      <c r="A59" s="181">
        <v>52</v>
      </c>
      <c r="B59" s="177"/>
      <c r="C59" s="182"/>
      <c r="D59" s="179"/>
      <c r="E59" s="180" t="str">
        <f t="shared" si="10"/>
        <v/>
      </c>
      <c r="F59" s="179"/>
      <c r="G59" s="180" t="str">
        <f t="shared" si="11"/>
        <v/>
      </c>
      <c r="H59" s="179"/>
      <c r="I59" s="180" t="str">
        <f t="shared" si="12"/>
        <v/>
      </c>
      <c r="J59" s="179"/>
      <c r="K59" s="180" t="str">
        <f t="shared" si="13"/>
        <v/>
      </c>
      <c r="L59" s="179"/>
      <c r="M59" s="180" t="str">
        <f t="shared" si="14"/>
        <v/>
      </c>
      <c r="N59" s="179"/>
      <c r="O59" s="180" t="str">
        <f t="shared" si="15"/>
        <v/>
      </c>
      <c r="P59" s="179"/>
      <c r="Q59" s="192" t="str">
        <f t="shared" si="0"/>
        <v/>
      </c>
      <c r="R59" s="193"/>
      <c r="S59" s="179"/>
      <c r="T59" s="192" t="str">
        <f t="shared" si="16"/>
        <v/>
      </c>
      <c r="U59" s="193"/>
      <c r="V59" s="179"/>
      <c r="W59" s="192" t="str">
        <f t="shared" si="17"/>
        <v/>
      </c>
      <c r="X59" s="194"/>
      <c r="Y59" s="205" t="str">
        <f t="shared" si="1"/>
        <v/>
      </c>
      <c r="Z59" s="206" t="str">
        <f t="shared" si="2"/>
        <v/>
      </c>
      <c r="AA59" s="206" t="str">
        <f t="shared" si="3"/>
        <v/>
      </c>
      <c r="AB59" s="206" t="str">
        <f t="shared" si="4"/>
        <v/>
      </c>
      <c r="AC59" s="207" t="str">
        <f t="shared" si="5"/>
        <v/>
      </c>
      <c r="AD59" s="208" t="str">
        <f t="shared" si="6"/>
        <v/>
      </c>
      <c r="AE59" s="209" t="str">
        <f t="shared" si="18"/>
        <v/>
      </c>
      <c r="AF59" s="210" t="str">
        <f t="shared" si="7"/>
        <v/>
      </c>
      <c r="AG59" s="219" t="str">
        <f t="shared" si="8"/>
        <v/>
      </c>
      <c r="AH59" s="207" t="str">
        <f t="shared" si="9"/>
        <v/>
      </c>
    </row>
    <row r="60" spans="1:36" s="167" customFormat="1" ht="12.75" customHeight="1">
      <c r="A60" s="181">
        <v>53</v>
      </c>
      <c r="B60" s="177"/>
      <c r="C60" s="182"/>
      <c r="D60" s="179"/>
      <c r="E60" s="180" t="str">
        <f t="shared" si="10"/>
        <v/>
      </c>
      <c r="F60" s="179"/>
      <c r="G60" s="180" t="str">
        <f t="shared" si="11"/>
        <v/>
      </c>
      <c r="H60" s="179"/>
      <c r="I60" s="180" t="str">
        <f t="shared" si="12"/>
        <v/>
      </c>
      <c r="J60" s="179"/>
      <c r="K60" s="180" t="str">
        <f t="shared" si="13"/>
        <v/>
      </c>
      <c r="L60" s="179"/>
      <c r="M60" s="180" t="str">
        <f t="shared" si="14"/>
        <v/>
      </c>
      <c r="N60" s="179"/>
      <c r="O60" s="180" t="str">
        <f t="shared" si="15"/>
        <v/>
      </c>
      <c r="P60" s="179"/>
      <c r="Q60" s="192" t="str">
        <f t="shared" si="0"/>
        <v/>
      </c>
      <c r="R60" s="193"/>
      <c r="S60" s="179"/>
      <c r="T60" s="192" t="str">
        <f t="shared" si="16"/>
        <v/>
      </c>
      <c r="U60" s="193"/>
      <c r="V60" s="179"/>
      <c r="W60" s="192" t="str">
        <f t="shared" si="17"/>
        <v/>
      </c>
      <c r="X60" s="194"/>
      <c r="Y60" s="205" t="str">
        <f t="shared" si="1"/>
        <v/>
      </c>
      <c r="Z60" s="206" t="str">
        <f t="shared" si="2"/>
        <v/>
      </c>
      <c r="AA60" s="206" t="str">
        <f t="shared" si="3"/>
        <v/>
      </c>
      <c r="AB60" s="206" t="str">
        <f t="shared" si="4"/>
        <v/>
      </c>
      <c r="AC60" s="207" t="str">
        <f t="shared" si="5"/>
        <v/>
      </c>
      <c r="AD60" s="208" t="str">
        <f t="shared" si="6"/>
        <v/>
      </c>
      <c r="AE60" s="209" t="str">
        <f t="shared" si="18"/>
        <v/>
      </c>
      <c r="AF60" s="210" t="str">
        <f t="shared" si="7"/>
        <v/>
      </c>
      <c r="AG60" s="219" t="str">
        <f t="shared" si="8"/>
        <v/>
      </c>
      <c r="AH60" s="207" t="str">
        <f t="shared" si="9"/>
        <v/>
      </c>
    </row>
    <row r="61" spans="1:36" s="167" customFormat="1" ht="12.75" customHeight="1">
      <c r="A61" s="181">
        <v>54</v>
      </c>
      <c r="B61" s="177"/>
      <c r="C61" s="182"/>
      <c r="D61" s="179"/>
      <c r="E61" s="180" t="str">
        <f t="shared" si="10"/>
        <v/>
      </c>
      <c r="F61" s="179"/>
      <c r="G61" s="180" t="str">
        <f t="shared" si="11"/>
        <v/>
      </c>
      <c r="H61" s="179"/>
      <c r="I61" s="180" t="str">
        <f t="shared" si="12"/>
        <v/>
      </c>
      <c r="J61" s="179"/>
      <c r="K61" s="180" t="str">
        <f t="shared" si="13"/>
        <v/>
      </c>
      <c r="L61" s="179"/>
      <c r="M61" s="180" t="str">
        <f t="shared" si="14"/>
        <v/>
      </c>
      <c r="N61" s="179"/>
      <c r="O61" s="180" t="str">
        <f t="shared" si="15"/>
        <v/>
      </c>
      <c r="P61" s="179"/>
      <c r="Q61" s="192" t="str">
        <f t="shared" si="0"/>
        <v/>
      </c>
      <c r="R61" s="193"/>
      <c r="S61" s="179"/>
      <c r="T61" s="192" t="str">
        <f t="shared" si="16"/>
        <v/>
      </c>
      <c r="U61" s="193"/>
      <c r="V61" s="179"/>
      <c r="W61" s="192" t="str">
        <f t="shared" si="17"/>
        <v/>
      </c>
      <c r="X61" s="194"/>
      <c r="Y61" s="205" t="str">
        <f t="shared" si="1"/>
        <v/>
      </c>
      <c r="Z61" s="206" t="str">
        <f t="shared" si="2"/>
        <v/>
      </c>
      <c r="AA61" s="206" t="str">
        <f t="shared" si="3"/>
        <v/>
      </c>
      <c r="AB61" s="206" t="str">
        <f t="shared" si="4"/>
        <v/>
      </c>
      <c r="AC61" s="207" t="str">
        <f t="shared" si="5"/>
        <v/>
      </c>
      <c r="AD61" s="208" t="str">
        <f t="shared" si="6"/>
        <v/>
      </c>
      <c r="AE61" s="209" t="str">
        <f t="shared" si="18"/>
        <v/>
      </c>
      <c r="AF61" s="210" t="str">
        <f t="shared" si="7"/>
        <v/>
      </c>
      <c r="AG61" s="219" t="str">
        <f t="shared" si="8"/>
        <v/>
      </c>
      <c r="AH61" s="207" t="str">
        <f t="shared" si="9"/>
        <v/>
      </c>
    </row>
    <row r="62" spans="1:36" s="167" customFormat="1" ht="12.75" customHeight="1">
      <c r="A62" s="181">
        <v>55</v>
      </c>
      <c r="B62" s="177"/>
      <c r="C62" s="182"/>
      <c r="D62" s="179"/>
      <c r="E62" s="180" t="str">
        <f t="shared" si="10"/>
        <v/>
      </c>
      <c r="F62" s="179"/>
      <c r="G62" s="180" t="str">
        <f t="shared" si="11"/>
        <v/>
      </c>
      <c r="H62" s="179"/>
      <c r="I62" s="180" t="str">
        <f t="shared" si="12"/>
        <v/>
      </c>
      <c r="J62" s="179"/>
      <c r="K62" s="180" t="str">
        <f t="shared" si="13"/>
        <v/>
      </c>
      <c r="L62" s="179"/>
      <c r="M62" s="180" t="str">
        <f t="shared" si="14"/>
        <v/>
      </c>
      <c r="N62" s="179"/>
      <c r="O62" s="185" t="str">
        <f t="shared" si="15"/>
        <v/>
      </c>
      <c r="P62" s="179"/>
      <c r="Q62" s="195" t="str">
        <f t="shared" si="0"/>
        <v/>
      </c>
      <c r="R62" s="196"/>
      <c r="S62" s="179"/>
      <c r="T62" s="195" t="str">
        <f t="shared" si="16"/>
        <v/>
      </c>
      <c r="U62" s="196"/>
      <c r="V62" s="179"/>
      <c r="W62" s="195" t="str">
        <f t="shared" si="17"/>
        <v/>
      </c>
      <c r="X62" s="197"/>
      <c r="Y62" s="211" t="str">
        <f t="shared" si="1"/>
        <v/>
      </c>
      <c r="Z62" s="212" t="str">
        <f t="shared" si="2"/>
        <v/>
      </c>
      <c r="AA62" s="212" t="str">
        <f t="shared" si="3"/>
        <v/>
      </c>
      <c r="AB62" s="212" t="str">
        <f t="shared" si="4"/>
        <v/>
      </c>
      <c r="AC62" s="213" t="str">
        <f t="shared" si="5"/>
        <v/>
      </c>
      <c r="AD62" s="214" t="str">
        <f t="shared" si="6"/>
        <v/>
      </c>
      <c r="AE62" s="215" t="str">
        <f t="shared" si="18"/>
        <v/>
      </c>
      <c r="AF62" s="216" t="str">
        <f t="shared" si="7"/>
        <v/>
      </c>
      <c r="AG62" s="220" t="str">
        <f t="shared" si="8"/>
        <v/>
      </c>
      <c r="AH62" s="213" t="str">
        <f t="shared" si="9"/>
        <v/>
      </c>
    </row>
    <row r="63" spans="1:36" s="167" customFormat="1" ht="12.75" customHeight="1">
      <c r="A63" s="342" t="s">
        <v>33</v>
      </c>
      <c r="B63" s="343"/>
      <c r="C63" s="344"/>
      <c r="D63" s="345" t="str">
        <f>IF(COUNTA(D8:D62)=0,"",(SUM(D8:D62)))</f>
        <v/>
      </c>
      <c r="E63" s="346"/>
      <c r="F63" s="345" t="str">
        <f>IF(COUNTA(F8:F62)=0,"",(SUM(F8:F62)))</f>
        <v/>
      </c>
      <c r="G63" s="346"/>
      <c r="H63" s="345" t="str">
        <f t="shared" ref="H63" si="19">IF(COUNTA(H8:H62)=0,"",(SUM(H8:H62)))</f>
        <v/>
      </c>
      <c r="I63" s="346"/>
      <c r="J63" s="345" t="str">
        <f t="shared" ref="J63" si="20">IF(COUNTA(J8:J62)=0,"",(SUM(J8:J62)))</f>
        <v/>
      </c>
      <c r="K63" s="346"/>
      <c r="L63" s="345" t="str">
        <f t="shared" ref="L63" si="21">IF(COUNTA(L8:L62)=0,"",(SUM(L8:L62)))</f>
        <v/>
      </c>
      <c r="M63" s="346"/>
      <c r="N63" s="345" t="str">
        <f t="shared" ref="N63" si="22">IF(COUNTA(N8:N62)=0,"",(SUM(N8:N62)))</f>
        <v/>
      </c>
      <c r="O63" s="346"/>
      <c r="P63" s="345" t="str">
        <f t="shared" ref="P63" si="23">IF(COUNTA(P8:P62)=0,"",(SUM(P8:P62)))</f>
        <v/>
      </c>
      <c r="Q63" s="346"/>
      <c r="R63" s="198"/>
      <c r="S63" s="345" t="str">
        <f t="shared" ref="S63" si="24">IF(COUNTA(S8:S62)=0,"",(SUM(S8:S62)))</f>
        <v/>
      </c>
      <c r="T63" s="346"/>
      <c r="U63" s="199"/>
      <c r="V63" s="345" t="str">
        <f t="shared" ref="V63" si="25">IF(COUNTA(V8:V62)=0,"",(SUM(V8:V62)))</f>
        <v/>
      </c>
      <c r="W63" s="346"/>
      <c r="X63" s="199"/>
      <c r="Y63" s="342" t="s">
        <v>34</v>
      </c>
      <c r="Z63" s="343"/>
      <c r="AA63" s="343"/>
      <c r="AB63" s="343"/>
      <c r="AC63" s="347"/>
      <c r="AD63" s="217" t="str">
        <f>IF(OR(COUNTIF(AD8:AD62,"P")&lt;&gt;0,COUNTIF(AD8:AD62,"F")&lt;&gt;0,COUNTIF(AD8:AD62,"ab")&lt;&gt;0),(COUNTIF(AD8:AD62,"ab")),"")</f>
        <v/>
      </c>
      <c r="AE63" s="217" t="str">
        <f>IF(OR(COUNTIF(AE8:AE62,"P")&lt;&gt;0,COUNTIF(AE8:AE62,"F")&lt;&gt;0,COUNTIF(AE8:AE62,"ab")&lt;&gt;0,COUNTIF(AE8:AE62,"Q1")&lt;&gt;0,COUNTIF(AE8:AE62,"Q2")&lt;&gt;0,COUNTIF(AE8:AE62,"R1")&lt;&gt;0,COUNTIF(AE8:AE62,"R2")&lt;&gt;0),(COUNTIF(AE8:AE62,"ab")),"")</f>
        <v/>
      </c>
      <c r="AF63" s="348" t="s">
        <v>34</v>
      </c>
      <c r="AG63" s="349"/>
      <c r="AH63" s="350"/>
      <c r="AI63" s="221"/>
      <c r="AJ63" s="221"/>
    </row>
    <row r="64" spans="1:36" s="167" customFormat="1" ht="12.75" customHeight="1">
      <c r="A64" s="351" t="s">
        <v>35</v>
      </c>
      <c r="B64" s="352"/>
      <c r="C64" s="353"/>
      <c r="D64" s="354" t="str">
        <f>IF(D63="","",IF(D63=0,0,AVERAGE(D8:D62)))</f>
        <v/>
      </c>
      <c r="E64" s="355"/>
      <c r="F64" s="354" t="str">
        <f>IF(F63="","",IF(F63=0,0,AVERAGE(F8:F62)))</f>
        <v/>
      </c>
      <c r="G64" s="355"/>
      <c r="H64" s="354" t="str">
        <f t="shared" ref="H64" si="26">IF(H63="","",IF(H63=0,0,AVERAGE(H8:H62)))</f>
        <v/>
      </c>
      <c r="I64" s="355"/>
      <c r="J64" s="354" t="str">
        <f t="shared" ref="J64" si="27">IF(J63="","",IF(J63=0,0,AVERAGE(J8:J62)))</f>
        <v/>
      </c>
      <c r="K64" s="355"/>
      <c r="L64" s="354" t="str">
        <f t="shared" ref="L64" si="28">IF(L63="","",IF(L63=0,0,AVERAGE(L8:L62)))</f>
        <v/>
      </c>
      <c r="M64" s="355"/>
      <c r="N64" s="354" t="str">
        <f t="shared" ref="N64" si="29">IF(N63="","",IF(N63=0,0,AVERAGE(N8:N62)))</f>
        <v/>
      </c>
      <c r="O64" s="355"/>
      <c r="P64" s="354" t="str">
        <f t="shared" ref="P64" si="30">IF(P63="","",IF(P63=0,0,AVERAGE(P8:P62)))</f>
        <v/>
      </c>
      <c r="Q64" s="355"/>
      <c r="R64" s="200"/>
      <c r="S64" s="354" t="str">
        <f t="shared" ref="S64" si="31">IF(S63="","",IF(S63=0,0,AVERAGE(S8:S62)))</f>
        <v/>
      </c>
      <c r="T64" s="355"/>
      <c r="U64" s="201"/>
      <c r="V64" s="354" t="str">
        <f t="shared" ref="V64" si="32">IF(V63="","",IF(V63=0,0,AVERAGE(V8:V62)))</f>
        <v/>
      </c>
      <c r="W64" s="355"/>
      <c r="X64" s="201"/>
      <c r="Y64" s="356" t="s">
        <v>36</v>
      </c>
      <c r="Z64" s="357"/>
      <c r="AA64" s="357"/>
      <c r="AB64" s="357"/>
      <c r="AC64" s="358"/>
      <c r="AD64" s="218" t="str">
        <f>IF(OR(COUNTIF(AD8:AD62,"P")&lt;&gt;0,COUNTIF(AD8:AD62,"F")&lt;&gt;0,COUNTIF(AD8:AD62,"ab")&lt;&gt;0),(COUNTIF(AD8:AD62,"P")),"")</f>
        <v/>
      </c>
      <c r="AE64" s="218" t="str">
        <f>IF(OR(COUNTIF(AE8:AE62,"P")&lt;&gt;0,COUNTIF(AE8:AE62,"F")&lt;&gt;0,COUNTIF(AE8:AE62,"ab")&lt;&gt;0,COUNTIF(AE8:AE62,"Q1")&lt;&gt;0,COUNTIF(AE8:AE62,"Q2")&lt;&gt;0,COUNTIF(AE8:AE62,"R1")&lt;&gt;0,COUNTIF(AE8:AE62,"R2")&lt;&gt;0),(COUNTIF(AE8:AE62,"P")),"")</f>
        <v/>
      </c>
      <c r="AF64" s="356" t="s">
        <v>36</v>
      </c>
      <c r="AG64" s="357"/>
      <c r="AH64" s="359"/>
    </row>
    <row r="65" spans="1:66" s="167" customFormat="1" ht="13.2">
      <c r="A65" s="222"/>
      <c r="B65" s="223"/>
      <c r="C65" s="224"/>
      <c r="D65" s="225"/>
      <c r="E65" s="226"/>
      <c r="F65" s="227"/>
      <c r="G65" s="226"/>
      <c r="H65" s="227"/>
      <c r="I65" s="226"/>
      <c r="J65" s="227"/>
      <c r="K65" s="226"/>
      <c r="L65" s="227"/>
      <c r="M65" s="226"/>
      <c r="N65" s="227"/>
      <c r="O65" s="226"/>
      <c r="P65" s="227"/>
      <c r="Q65" s="256"/>
      <c r="R65" s="226"/>
      <c r="S65" s="227"/>
      <c r="T65" s="226"/>
      <c r="U65" s="257"/>
      <c r="V65" s="258"/>
      <c r="W65" s="259"/>
      <c r="X65" s="260"/>
      <c r="Y65" s="420" t="s">
        <v>37</v>
      </c>
      <c r="Z65" s="352"/>
      <c r="AA65" s="352"/>
      <c r="AB65" s="352"/>
      <c r="AC65" s="360"/>
      <c r="AD65" s="283" t="str">
        <f>IF(OR(COUNTIF(AD8:AD62,"P")&lt;&gt;0,COUNTIF(AD8:AD62,"F")&lt;&gt;0,COUNTIF(AD8:AD62,"ab")&lt;&gt;0),(COUNTIF(AD8:AD62,"F")),"")</f>
        <v/>
      </c>
      <c r="AE65" s="218" t="str">
        <f>IF(OR(COUNTIF(AE8:AE62,"P")&lt;&gt;0,COUNTIF(AE8:AE62,"F")&lt;&gt;0,COUNTIF(AE8:AE62,"ab")&lt;&gt;0,COUNTIF(AE8:AE62,"Q1")&lt;&gt;0,COUNTIF(AE8:AE62,"Q2")&lt;&gt;0,COUNTIF(AE8:AE62,"R1")&lt;&gt;0,COUNTIF(AE8:AE62,"R2")&lt;&gt;0),(COUNTIF(AE8:AE62,"Q1")),"")</f>
        <v/>
      </c>
      <c r="AF65" s="356" t="s">
        <v>38</v>
      </c>
      <c r="AG65" s="357"/>
      <c r="AH65" s="359"/>
    </row>
    <row r="66" spans="1:66" s="167" customFormat="1" ht="12" customHeight="1">
      <c r="A66" s="418" t="s">
        <v>39</v>
      </c>
      <c r="B66" s="418"/>
      <c r="C66" s="228" t="s">
        <v>40</v>
      </c>
      <c r="D66" s="229"/>
      <c r="E66" s="192" t="str">
        <f>IF(D$63="","",(COUNTIF(E$8:E$62,"A")))</f>
        <v/>
      </c>
      <c r="F66" s="229"/>
      <c r="G66" s="192" t="str">
        <f>IF(F$63="","",(COUNTIF(G$8:G$62,"A")))</f>
        <v/>
      </c>
      <c r="H66" s="229"/>
      <c r="I66" s="192" t="str">
        <f>IF(H$63="","",(COUNTIF(I$8:I$62,"A")))</f>
        <v/>
      </c>
      <c r="J66" s="229"/>
      <c r="K66" s="192" t="str">
        <f>IF(J$63="","",(COUNTIF(K$8:K$62,"A")))</f>
        <v/>
      </c>
      <c r="L66" s="229"/>
      <c r="M66" s="192" t="str">
        <f>IF(L$63="","",(COUNTIF(M$8:M$62,"A")))</f>
        <v/>
      </c>
      <c r="N66" s="229"/>
      <c r="O66" s="192" t="str">
        <f>IF(N$63="","",(COUNTIF(O$8:O$62,"A")))</f>
        <v/>
      </c>
      <c r="P66" s="229"/>
      <c r="Q66" s="192" t="str">
        <f>IF(P$63="","",(COUNTIF(Q$8:Q$62,"A")))</f>
        <v/>
      </c>
      <c r="R66" s="229"/>
      <c r="S66" s="229"/>
      <c r="T66" s="192" t="str">
        <f>IF(S$63="","",(COUNTIF(T$8:T$62,"A")))</f>
        <v/>
      </c>
      <c r="U66" s="261"/>
      <c r="V66" s="262"/>
      <c r="W66" s="192" t="str">
        <f>IF(V$63="","",(COUNTIF(W$8:W$62,"A")))</f>
        <v/>
      </c>
      <c r="X66" s="263"/>
      <c r="Y66" s="205" t="str">
        <f>IF((COUNT($D66:$W66)=0),"",(SUM($D66:$W66)))</f>
        <v/>
      </c>
      <c r="Z66" s="284"/>
      <c r="AA66" s="284"/>
      <c r="AB66" s="284"/>
      <c r="AC66" s="284"/>
      <c r="AD66" s="285"/>
      <c r="AE66" s="218" t="str">
        <f>IF(OR(COUNTIF(AE8:AE62,"P")&lt;&gt;0,COUNTIF(AE8:AE62,"F")&lt;&gt;0,COUNTIF(AE8:AE62,"ab")&lt;&gt;0,COUNTIF(AE8:AE62,"Q1")&lt;&gt;0,COUNTIF(AE8:AE62,"Q2")&lt;&gt;0,COUNTIF(AE8:AE62,"R1")&lt;&gt;0,COUNTIF(AE8:AE62,"R2")&lt;&gt;0),(COUNTIF(AE8:AE62,"Q2")),"")</f>
        <v/>
      </c>
      <c r="AF66" s="356" t="s">
        <v>41</v>
      </c>
      <c r="AG66" s="357"/>
      <c r="AH66" s="359"/>
    </row>
    <row r="67" spans="1:66" s="167" customFormat="1" ht="12" customHeight="1">
      <c r="A67" s="418"/>
      <c r="B67" s="418"/>
      <c r="C67" s="228" t="s">
        <v>42</v>
      </c>
      <c r="D67" s="229"/>
      <c r="E67" s="192" t="str">
        <f>IF(D$63="","",(COUNTIF(E$8:E$62,"B")))</f>
        <v/>
      </c>
      <c r="F67" s="229"/>
      <c r="G67" s="192" t="str">
        <f>IF(F$63="","",(COUNTIF(G$8:G$62,"B")))</f>
        <v/>
      </c>
      <c r="H67" s="229"/>
      <c r="I67" s="192" t="str">
        <f>IF(H$63="","",(COUNTIF(I$8:I$62,"B")))</f>
        <v/>
      </c>
      <c r="J67" s="229"/>
      <c r="K67" s="192" t="str">
        <f>IF(J$63="","",(COUNTIF(K$8:K$62,"B")))</f>
        <v/>
      </c>
      <c r="L67" s="229"/>
      <c r="M67" s="192" t="str">
        <f>IF(L$63="","",(COUNTIF(M$8:M$62,"B")))</f>
        <v/>
      </c>
      <c r="N67" s="229"/>
      <c r="O67" s="192" t="str">
        <f>IF(N$63="","",(COUNTIF(O$8:O$62,"B")))</f>
        <v/>
      </c>
      <c r="P67" s="229"/>
      <c r="Q67" s="192" t="str">
        <f>IF(P$63="","",(COUNTIF(Q$8:Q$62,"B")))</f>
        <v/>
      </c>
      <c r="R67" s="229"/>
      <c r="S67" s="229"/>
      <c r="T67" s="192" t="str">
        <f>IF(S$63="","",(COUNTIF(T$8:T$62,"B")))</f>
        <v/>
      </c>
      <c r="U67" s="261"/>
      <c r="V67" s="262"/>
      <c r="W67" s="192" t="str">
        <f>IF(V$63="","",(COUNTIF(W$8:W$62,"B")))</f>
        <v/>
      </c>
      <c r="X67" s="264"/>
      <c r="Y67" s="286"/>
      <c r="Z67" s="240" t="str">
        <f>IF((COUNT($D67:$W67)=0),"",SUM($D67:$W67))</f>
        <v/>
      </c>
      <c r="AA67" s="229"/>
      <c r="AB67" s="229"/>
      <c r="AC67" s="229"/>
      <c r="AD67" s="287"/>
      <c r="AE67" s="218" t="str">
        <f>IF(OR(COUNTIF(AE8:AE62,"P")&lt;&gt;0,COUNTIF(AE8:AE62,"F")&lt;&gt;0,COUNTIF(AE8:AE62,"ab")&lt;&gt;0,COUNTIF(AE8:AE62,"Q1")&lt;&gt;0,COUNTIF(AE8:AE62,"Q2")&lt;&gt;0,COUNTIF(AE8:AE62,"R1")&lt;&gt;0,COUNTIF(AE8:AE62,"R2")&lt;&gt;0),(COUNTIF(AE8:AE62,"R1")),"")</f>
        <v/>
      </c>
      <c r="AF67" s="356" t="s">
        <v>43</v>
      </c>
      <c r="AG67" s="357"/>
      <c r="AH67" s="359"/>
    </row>
    <row r="68" spans="1:66" s="167" customFormat="1" ht="12" customHeight="1">
      <c r="A68" s="418"/>
      <c r="B68" s="418"/>
      <c r="C68" s="228" t="s">
        <v>44</v>
      </c>
      <c r="D68" s="229"/>
      <c r="E68" s="192" t="str">
        <f>IF(D$63="","",(COUNTIF(E$8:E$62,"C")))</f>
        <v/>
      </c>
      <c r="F68" s="229"/>
      <c r="G68" s="192" t="str">
        <f>IF(F$63="","",(COUNTIF(G$8:G$62,"C")))</f>
        <v/>
      </c>
      <c r="H68" s="229"/>
      <c r="I68" s="192" t="str">
        <f>IF(H$63="","",(COUNTIF(I$8:I$62,"C")))</f>
        <v/>
      </c>
      <c r="J68" s="229"/>
      <c r="K68" s="192" t="str">
        <f>IF(J$63="","",(COUNTIF(K$8:K$62,"C")))</f>
        <v/>
      </c>
      <c r="L68" s="229"/>
      <c r="M68" s="192" t="str">
        <f>IF(L$63="","",(COUNTIF(M$8:M$62,"C")))</f>
        <v/>
      </c>
      <c r="N68" s="229"/>
      <c r="O68" s="192" t="str">
        <f>IF(N$63="","",(COUNTIF(O$8:O$62,"C")))</f>
        <v/>
      </c>
      <c r="P68" s="229"/>
      <c r="Q68" s="192" t="str">
        <f>IF(P$63="","",(COUNTIF(Q$8:Q$62,"C")))</f>
        <v/>
      </c>
      <c r="R68" s="229"/>
      <c r="S68" s="229"/>
      <c r="T68" s="192" t="str">
        <f>IF(S$63="","",(COUNTIF(T$8:T$62,"C")))</f>
        <v/>
      </c>
      <c r="U68" s="261"/>
      <c r="V68" s="262"/>
      <c r="W68" s="192" t="str">
        <f>IF(V$63="","",(COUNTIF(W$8:W$62,"C")))</f>
        <v/>
      </c>
      <c r="X68" s="264"/>
      <c r="Y68" s="286"/>
      <c r="Z68" s="229"/>
      <c r="AA68" s="240" t="str">
        <f>IF((COUNT($D68:$W68)=0),"",SUM($D68:$W68))</f>
        <v/>
      </c>
      <c r="AB68" s="229"/>
      <c r="AC68" s="229"/>
      <c r="AD68" s="287"/>
      <c r="AE68" s="218" t="str">
        <f>IF(OR(COUNTIF(AE8:AE62,"P")&lt;&gt;0,COUNTIF(AE8:AE62,"F")&lt;&gt;0,COUNTIF(AE8:AE62,"ab")&lt;&gt;0,COUNTIF(AE8:AE62,"Q1")&lt;&gt;0,COUNTIF(AE8:AE62,"Q2")&lt;&gt;0,COUNTIF(AE8:AE62,"R1")&lt;&gt;0,COUNTIF(AE8:AE62,"R2")&lt;&gt;0),(COUNTIF(AE8:AE62,"R2")),"")</f>
        <v/>
      </c>
      <c r="AF68" s="356" t="s">
        <v>45</v>
      </c>
      <c r="AG68" s="357"/>
      <c r="AH68" s="359"/>
    </row>
    <row r="69" spans="1:66" s="167" customFormat="1" ht="12" customHeight="1">
      <c r="A69" s="418"/>
      <c r="B69" s="418"/>
      <c r="C69" s="228" t="s">
        <v>46</v>
      </c>
      <c r="D69" s="229"/>
      <c r="E69" s="192" t="str">
        <f>IF(D$63="","",(COUNTIF(E$8:E$62,"S")))</f>
        <v/>
      </c>
      <c r="F69" s="229"/>
      <c r="G69" s="192" t="str">
        <f>IF(F$63="","",(COUNTIF(G$8:G$62,"S")))</f>
        <v/>
      </c>
      <c r="H69" s="229"/>
      <c r="I69" s="192" t="str">
        <f>IF(H$63="","",(COUNTIF(I$8:I$62,"S")))</f>
        <v/>
      </c>
      <c r="J69" s="229"/>
      <c r="K69" s="192" t="str">
        <f>IF(J$63="","",(COUNTIF(K$8:K$62,"S")))</f>
        <v/>
      </c>
      <c r="L69" s="229"/>
      <c r="M69" s="192" t="str">
        <f>IF(L$63="","",(COUNTIF(M$8:M$62,"S")))</f>
        <v/>
      </c>
      <c r="N69" s="229"/>
      <c r="O69" s="192" t="str">
        <f>IF(N$63="","",(COUNTIF(O$8:O$62,"S")))</f>
        <v/>
      </c>
      <c r="P69" s="229"/>
      <c r="Q69" s="192" t="str">
        <f>IF(P$63="","",(COUNTIF(Q$8:Q$62,"S")))</f>
        <v/>
      </c>
      <c r="R69" s="229"/>
      <c r="S69" s="229"/>
      <c r="T69" s="192" t="str">
        <f>IF(S$63="","",(COUNTIF(T$8:T$62,"S")))</f>
        <v/>
      </c>
      <c r="U69" s="261"/>
      <c r="V69" s="262"/>
      <c r="W69" s="192" t="str">
        <f>IF(V$63="","",(COUNTIF(W$8:W$62,"S")))</f>
        <v/>
      </c>
      <c r="X69" s="264"/>
      <c r="Y69" s="286"/>
      <c r="Z69" s="229"/>
      <c r="AA69" s="229"/>
      <c r="AB69" s="240" t="str">
        <f>IF((COUNT($D69:$W69)=0),"",SUM($D69:$W69))</f>
        <v/>
      </c>
      <c r="AC69" s="229"/>
      <c r="AD69" s="287"/>
      <c r="AE69" s="218" t="str">
        <f>IF(OR(COUNTIF(AE8:AE62,"P")&lt;&gt;0,COUNTIF(AE8:AE62,"F")&lt;&gt;0,COUNTIF(AE8:AE62,"ab")&lt;&gt;0,COUNTIF(AE8:AE62,"Q1")&lt;&gt;0,COUNTIF(AE8:AE62,"Q2")&lt;&gt;0,COUNTIF(AE8:AE62,"R1")&lt;&gt;0,COUNTIF(AE8:AE62,"R2")&lt;&gt;0),(COUNTIF(AE8:AE62,"F")),"")</f>
        <v/>
      </c>
      <c r="AF69" s="356" t="s">
        <v>37</v>
      </c>
      <c r="AG69" s="357"/>
      <c r="AH69" s="359"/>
    </row>
    <row r="70" spans="1:66" s="167" customFormat="1" ht="12" customHeight="1">
      <c r="A70" s="418"/>
      <c r="B70" s="418"/>
      <c r="C70" s="228" t="s">
        <v>32</v>
      </c>
      <c r="D70" s="229"/>
      <c r="E70" s="192" t="str">
        <f>IF(D$63="","",(COUNTIF(E$8:E$62,"W")))</f>
        <v/>
      </c>
      <c r="F70" s="229"/>
      <c r="G70" s="192" t="str">
        <f>IF(F$63="","",(COUNTIF(G$8:G$62,"W")))</f>
        <v/>
      </c>
      <c r="H70" s="229"/>
      <c r="I70" s="192" t="str">
        <f>IF(H$63="","",(COUNTIF(I$8:I$62,"W")))</f>
        <v/>
      </c>
      <c r="J70" s="229"/>
      <c r="K70" s="192" t="str">
        <f>IF(J$63="","",(COUNTIF(K$8:K$62,"W")))</f>
        <v/>
      </c>
      <c r="L70" s="229"/>
      <c r="M70" s="192" t="str">
        <f>IF(L$63="","",(COUNTIF(M$8:M$62,"W")))</f>
        <v/>
      </c>
      <c r="N70" s="229"/>
      <c r="O70" s="192" t="str">
        <f>IF(N$63="","",(COUNTIF(O$8:O$62,"W")))</f>
        <v/>
      </c>
      <c r="P70" s="229"/>
      <c r="Q70" s="192" t="str">
        <f>IF(P$63="","",(COUNTIF(Q$8:Q$62,"W")))</f>
        <v/>
      </c>
      <c r="R70" s="229"/>
      <c r="S70" s="229"/>
      <c r="T70" s="192" t="str">
        <f>IF(S$63="","",(COUNTIF(T$8:T$62,"W")))</f>
        <v/>
      </c>
      <c r="U70" s="261"/>
      <c r="V70" s="265"/>
      <c r="W70" s="192" t="str">
        <f>IF(V$63="","",(COUNTIF(W$8:W$62,"W")))</f>
        <v/>
      </c>
      <c r="X70" s="266"/>
      <c r="Y70" s="286"/>
      <c r="Z70" s="229"/>
      <c r="AA70" s="229"/>
      <c r="AB70" s="229"/>
      <c r="AC70" s="240" t="str">
        <f>IF((COUNT($D70:$W70)=0),"",SUM($D70:$W70))</f>
        <v/>
      </c>
      <c r="AD70" s="287"/>
      <c r="AE70" s="283" t="str">
        <f>IF(AND(AE63="",AE64="",AE65="",AE66="",AE67="",AE68="",AE69=""),"",SUM(AE63:AE69))</f>
        <v/>
      </c>
      <c r="AF70" s="351" t="s">
        <v>33</v>
      </c>
      <c r="AG70" s="352"/>
      <c r="AH70" s="353"/>
    </row>
    <row r="71" spans="1:66" s="167" customFormat="1" ht="12" customHeight="1">
      <c r="A71" s="419"/>
      <c r="B71" s="419"/>
      <c r="C71" s="230" t="s">
        <v>47</v>
      </c>
      <c r="D71" s="231"/>
      <c r="E71" s="232" t="str">
        <f>IF(D$63="","",(COUNTIF(E$8:E$62,"ab")))</f>
        <v/>
      </c>
      <c r="F71" s="231"/>
      <c r="G71" s="232" t="str">
        <f>IF(F$63="","",(COUNTIF(G$8:G$62,"ab")))</f>
        <v/>
      </c>
      <c r="H71" s="231"/>
      <c r="I71" s="232" t="str">
        <f>IF(H$63="","",(COUNTIF(I$8:I$62,"ab")))</f>
        <v/>
      </c>
      <c r="J71" s="231"/>
      <c r="K71" s="232" t="str">
        <f>IF(J$63="","",(COUNTIF(K$8:K$62,"ab")))</f>
        <v/>
      </c>
      <c r="L71" s="231"/>
      <c r="M71" s="232" t="str">
        <f>IF(L$63="","",(COUNTIF(M$8:M$62,"ab")))</f>
        <v/>
      </c>
      <c r="N71" s="231"/>
      <c r="O71" s="232" t="str">
        <f>IF(N$63="","",(COUNTIF(O$8:O$62,"ab")))</f>
        <v/>
      </c>
      <c r="P71" s="231"/>
      <c r="Q71" s="232" t="str">
        <f>IF(P$63="","",(COUNTIF(Q$8:Q$62,"ab")))</f>
        <v/>
      </c>
      <c r="R71" s="231"/>
      <c r="S71" s="231"/>
      <c r="T71" s="232" t="str">
        <f>IF(S$63="","",(COUNTIF(T$8:T$62,"ab")))</f>
        <v/>
      </c>
      <c r="U71" s="267"/>
      <c r="V71" s="268"/>
      <c r="W71" s="269" t="str">
        <f>IF(V$63="","",(COUNTIF(W$8:W$62,"ab")))</f>
        <v/>
      </c>
      <c r="X71" s="270"/>
      <c r="Y71" s="288"/>
      <c r="Z71" s="288"/>
      <c r="AA71" s="288"/>
      <c r="AB71" s="288"/>
      <c r="AC71" s="288"/>
      <c r="AD71" s="289" t="str">
        <f>IF((COUNT($D71:$W71)=0),"",SUM($D71:$W71))</f>
        <v/>
      </c>
      <c r="AE71" s="290"/>
      <c r="AF71" s="257"/>
      <c r="AG71" s="257"/>
      <c r="AH71" s="288"/>
    </row>
    <row r="72" spans="1:66" s="167" customFormat="1" ht="12" customHeight="1">
      <c r="A72" s="361" t="s">
        <v>33</v>
      </c>
      <c r="B72" s="362"/>
      <c r="C72" s="362"/>
      <c r="D72" s="233"/>
      <c r="E72" s="234" t="str">
        <f>IF(D$63="","",(SUM(E$66:E$71)))</f>
        <v/>
      </c>
      <c r="F72" s="233"/>
      <c r="G72" s="234" t="str">
        <f>IF(F$63="","",(SUM(G$66:G$71)))</f>
        <v/>
      </c>
      <c r="H72" s="233"/>
      <c r="I72" s="234" t="str">
        <f>IF(H$63="","",(SUM(I$66:I$71)))</f>
        <v/>
      </c>
      <c r="J72" s="233"/>
      <c r="K72" s="234" t="str">
        <f>IF(J$63="","",(SUM(K$66:K$71)))</f>
        <v/>
      </c>
      <c r="L72" s="233"/>
      <c r="M72" s="234" t="str">
        <f>IF(L$63="","",(SUM(M$66:M$71)))</f>
        <v/>
      </c>
      <c r="N72" s="233"/>
      <c r="O72" s="234" t="str">
        <f>IF(N$63="","",(SUM(O$66:O$71)))</f>
        <v/>
      </c>
      <c r="P72" s="233"/>
      <c r="Q72" s="234" t="str">
        <f>IF(P$63="","",(SUM(Q$66:Q$71)))</f>
        <v/>
      </c>
      <c r="R72" s="233"/>
      <c r="S72" s="233"/>
      <c r="T72" s="234" t="str">
        <f>IF(S$63="","",(SUM(T$66:T$71)))</f>
        <v/>
      </c>
      <c r="U72" s="271"/>
      <c r="V72" s="272"/>
      <c r="W72" s="273" t="str">
        <f>IF(V$63="","",(SUM(W$66:W$71)))</f>
        <v/>
      </c>
      <c r="X72" s="274"/>
      <c r="Y72" s="274"/>
      <c r="Z72" s="288"/>
      <c r="AA72" s="288"/>
      <c r="AB72" s="288"/>
      <c r="AC72" s="288"/>
      <c r="AD72" s="290"/>
      <c r="AE72" s="290"/>
      <c r="AF72" s="257"/>
      <c r="AG72" s="257"/>
      <c r="AH72" s="288"/>
    </row>
    <row r="73" spans="1:66" s="167" customFormat="1" ht="9.75" customHeight="1">
      <c r="A73" s="221"/>
      <c r="B73" s="221"/>
      <c r="C73" s="221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89"/>
      <c r="AE73" s="289"/>
      <c r="AF73" s="291"/>
      <c r="AG73" s="291"/>
      <c r="AH73" s="235"/>
    </row>
    <row r="74" spans="1:66" s="167" customFormat="1" ht="15" customHeight="1">
      <c r="A74" s="221"/>
      <c r="B74" s="221"/>
      <c r="C74" s="236" t="s">
        <v>48</v>
      </c>
      <c r="D74" s="237" t="str">
        <f>IF(D$63="","",(COUNTIFS(D$8:D$62,"&lt;=39",D$8:D$62,"&gt;=30")))</f>
        <v/>
      </c>
      <c r="E74" s="238"/>
      <c r="F74" s="237" t="str">
        <f>IF(F$63="","",(COUNTIFS(F$8:F$62,"&lt;=39",F$8:F$62,"&gt;=30")))</f>
        <v/>
      </c>
      <c r="G74" s="238"/>
      <c r="H74" s="237" t="str">
        <f>IF(H$63="","",(COUNTIFS(H$8:H$62,"&lt;=39",H$8:H$62,"&gt;=30")))</f>
        <v/>
      </c>
      <c r="I74" s="238"/>
      <c r="J74" s="237" t="str">
        <f>IF(J$63="","",(COUNTIFS(J$8:J$62,"&lt;=39",J$8:J$62,"&gt;=30")))</f>
        <v/>
      </c>
      <c r="K74" s="238"/>
      <c r="L74" s="237" t="str">
        <f>IF(L$63="","",(COUNTIFS(L$8:L$62,"&lt;=39",L$8:L$62,"&gt;=30")))</f>
        <v/>
      </c>
      <c r="M74" s="238"/>
      <c r="N74" s="237" t="str">
        <f>IF(N$63="","",(COUNTIFS(N$8:N$62,"&lt;=39",N$8:N$62,"&gt;=30")))</f>
        <v/>
      </c>
      <c r="O74" s="238"/>
      <c r="P74" s="237" t="str">
        <f>IF(P$63="","",(COUNTIFS(P$8:P$62,"&lt;=39",P$8:P$62,"&gt;=30")))</f>
        <v/>
      </c>
      <c r="Q74" s="238"/>
      <c r="R74" s="238"/>
      <c r="S74" s="237" t="str">
        <f>IF(S$63="","",(COUNTIFS(S$8:S$62,"&lt;=39",S$8:S$62,"&gt;=30")))</f>
        <v/>
      </c>
      <c r="T74" s="238"/>
      <c r="U74" s="238"/>
      <c r="V74" s="275" t="str">
        <f>IF(V$63="","",(COUNTIFS(V$8:V$62,"&lt;=39",V$8:V$62,"&gt;=30")))</f>
        <v/>
      </c>
      <c r="W74" s="276"/>
      <c r="X74" s="277"/>
      <c r="Y74" s="235"/>
      <c r="Z74" s="363" t="s">
        <v>49</v>
      </c>
      <c r="AA74" s="364"/>
      <c r="AB74" s="364"/>
      <c r="AC74" s="364"/>
      <c r="AD74" s="365"/>
      <c r="AE74" s="366" t="s">
        <v>50</v>
      </c>
      <c r="AF74" s="367"/>
      <c r="AG74" s="367"/>
      <c r="AH74" s="368"/>
    </row>
    <row r="75" spans="1:66" s="167" customFormat="1" ht="13.2">
      <c r="A75" s="221"/>
      <c r="B75" s="221"/>
      <c r="C75" s="239" t="s">
        <v>51</v>
      </c>
      <c r="D75" s="240" t="str">
        <f>IF(D$63="","",(COUNTIFS(D$8:D$62,"&lt;=29",D$8:D$62,"&gt;=20")))</f>
        <v/>
      </c>
      <c r="E75" s="229"/>
      <c r="F75" s="240" t="str">
        <f>IF(F$63="","",(COUNTIFS(F$8:F$62,"&lt;=29",F$8:F$62,"&gt;=20")))</f>
        <v/>
      </c>
      <c r="G75" s="229"/>
      <c r="H75" s="240" t="str">
        <f>IF(H$63="","",(COUNTIFS(H$8:H$62,"&lt;=29",H$8:H$62,"&gt;=20")))</f>
        <v/>
      </c>
      <c r="I75" s="229"/>
      <c r="J75" s="240" t="str">
        <f>IF(J$63="","",(COUNTIFS(J$8:J$62,"&lt;=29",J$8:J$62,"&gt;=20")))</f>
        <v/>
      </c>
      <c r="K75" s="229"/>
      <c r="L75" s="240" t="str">
        <f>IF(L$63="","",(COUNTIFS(L$8:L$62,"&lt;=29",L$8:L$62,"&gt;=20")))</f>
        <v/>
      </c>
      <c r="M75" s="229"/>
      <c r="N75" s="240" t="str">
        <f>IF(N$63="","",(COUNTIFS(N$8:N$62,"&lt;=29",N$8:N$62,"&gt;=20")))</f>
        <v/>
      </c>
      <c r="O75" s="229"/>
      <c r="P75" s="240" t="str">
        <f>IF(P$63="","",(COUNTIFS(P$8:P$62,"&lt;=29",P$8:P$62,"&gt;=20")))</f>
        <v/>
      </c>
      <c r="Q75" s="229"/>
      <c r="R75" s="229"/>
      <c r="S75" s="240" t="str">
        <f>IF(S$63="","",(COUNTIFS(S$8:S$62,"&lt;=29",S$8:S$62,"&gt;=20")))</f>
        <v/>
      </c>
      <c r="T75" s="229"/>
      <c r="U75" s="229"/>
      <c r="V75" s="278" t="str">
        <f>IF(V$63="","",(COUNTIFS(V$8:V$62,"&lt;=29",V$8:V$62,"&gt;=20")))</f>
        <v/>
      </c>
      <c r="W75" s="279"/>
      <c r="X75" s="270"/>
      <c r="Y75" s="235"/>
      <c r="Z75" s="363" t="s">
        <v>20</v>
      </c>
      <c r="AA75" s="364"/>
      <c r="AB75" s="364"/>
      <c r="AC75" s="364"/>
      <c r="AD75" s="364"/>
      <c r="AE75" s="364"/>
      <c r="AF75" s="364"/>
      <c r="AG75" s="364"/>
      <c r="AH75" s="365"/>
    </row>
    <row r="76" spans="1:66" s="167" customFormat="1" ht="13.2">
      <c r="A76" s="221"/>
      <c r="B76" s="221"/>
      <c r="C76" s="241" t="s">
        <v>52</v>
      </c>
      <c r="D76" s="240" t="str">
        <f>IF(D$63="","",(COUNTIFS(D$8:D$62,"&gt;=10",D$8:D$62,"&lt;=19")))</f>
        <v/>
      </c>
      <c r="E76" s="229"/>
      <c r="F76" s="240" t="str">
        <f>IF(F$63="","",(COUNTIFS(F$8:F$62,"&gt;=10",F$8:F$62,"&lt;=19")))</f>
        <v/>
      </c>
      <c r="G76" s="229"/>
      <c r="H76" s="240" t="str">
        <f>IF(H$63="","",(COUNTIFS(H$8:H$62,"&gt;=10",H$8:H$62,"&lt;=19")))</f>
        <v/>
      </c>
      <c r="I76" s="229"/>
      <c r="J76" s="240" t="str">
        <f>IF(J$63="","",(COUNTIFS(J$8:J$62,"&gt;=10",J$8:J$62,"&lt;=19")))</f>
        <v/>
      </c>
      <c r="K76" s="229"/>
      <c r="L76" s="240" t="str">
        <f>IF(L$63="","",(COUNTIFS(L$8:L$62,"&gt;=10",L$8:L$62,"&lt;=19")))</f>
        <v/>
      </c>
      <c r="M76" s="229"/>
      <c r="N76" s="240" t="str">
        <f>IF(N$63="","",(COUNTIFS(N$8:N$62,"&gt;=10",N$8:N$62,"&lt;=19")))</f>
        <v/>
      </c>
      <c r="O76" s="229"/>
      <c r="P76" s="240" t="str">
        <f>IF(P$63="","",(COUNTIFS(P$8:P$62,"&gt;=10",P$8:P$62,"&lt;=19")))</f>
        <v/>
      </c>
      <c r="Q76" s="229"/>
      <c r="R76" s="229"/>
      <c r="S76" s="240" t="str">
        <f>IF(S$63="","",(COUNTIFS(S$8:S$62,"&gt;=10",S$8:S$62,"&lt;=19")))</f>
        <v/>
      </c>
      <c r="T76" s="229"/>
      <c r="U76" s="229"/>
      <c r="V76" s="278" t="str">
        <f>IF(V$63="","",(COUNTIFS(V$8:V$62,"&gt;=10",V$8:V$62,"&lt;=19")))</f>
        <v/>
      </c>
      <c r="W76" s="279"/>
      <c r="X76" s="270"/>
      <c r="Z76" s="292" t="s">
        <v>53</v>
      </c>
      <c r="AA76" s="369" t="s">
        <v>54</v>
      </c>
      <c r="AB76" s="370"/>
      <c r="AC76" s="370"/>
      <c r="AD76" s="370"/>
      <c r="AE76" s="370"/>
      <c r="AF76" s="370"/>
      <c r="AG76" s="370"/>
      <c r="AH76" s="371"/>
    </row>
    <row r="77" spans="1:66" s="167" customFormat="1" ht="13.2">
      <c r="A77" s="221"/>
      <c r="B77" s="221"/>
      <c r="C77" s="242" t="s">
        <v>55</v>
      </c>
      <c r="D77" s="243" t="str">
        <f>IF(D$63="","",(COUNTIFS(D$8:D$62,"&gt;=0",D$8:D$62,"&lt;=9")))</f>
        <v/>
      </c>
      <c r="E77" s="244"/>
      <c r="F77" s="243" t="str">
        <f>IF(F$63="","",(COUNTIFS(F$8:F$62,"&gt;=0",F$8:F$62,"&lt;=9")))</f>
        <v/>
      </c>
      <c r="G77" s="244"/>
      <c r="H77" s="243" t="str">
        <f>IF(H$63="","",(COUNTIFS(H$8:H$62,"&gt;=0",H$8:H$62,"&lt;=9")))</f>
        <v/>
      </c>
      <c r="I77" s="244"/>
      <c r="J77" s="243" t="str">
        <f>IF(J$63="","",(COUNTIFS(J$8:J$62,"&gt;=0",J$8:J$62,"&lt;=9")))</f>
        <v/>
      </c>
      <c r="K77" s="244"/>
      <c r="L77" s="243" t="str">
        <f>IF(L$63="","",(COUNTIFS(L$8:L$62,"&gt;=0",L$8:L$62,"&lt;=9")))</f>
        <v/>
      </c>
      <c r="M77" s="244"/>
      <c r="N77" s="243" t="str">
        <f>IF(N$63="","",(COUNTIFS(N$8:N$62,"&gt;=0",N$8:N$62,"&lt;=9")))</f>
        <v/>
      </c>
      <c r="O77" s="244"/>
      <c r="P77" s="243" t="str">
        <f>IF(P$63="","",(COUNTIFS(P$8:P$62,"&gt;=0",P$8:P$62,"&lt;=9")))</f>
        <v/>
      </c>
      <c r="Q77" s="244"/>
      <c r="R77" s="244"/>
      <c r="S77" s="243" t="str">
        <f>IF(S$63="","",(COUNTIFS(S$8:S$62,"&gt;=0",S$8:S$62,"&lt;=9")))</f>
        <v/>
      </c>
      <c r="T77" s="244"/>
      <c r="U77" s="244"/>
      <c r="V77" s="280" t="str">
        <f>IF(V$63="","",(COUNTIFS(V$8:V$62,"&gt;=0",V$8:V$62,"&lt;=9")))</f>
        <v/>
      </c>
      <c r="W77" s="281"/>
      <c r="X77" s="282"/>
      <c r="Y77" s="235"/>
      <c r="Z77" s="293" t="s">
        <v>56</v>
      </c>
      <c r="AA77" s="372" t="s">
        <v>57</v>
      </c>
      <c r="AB77" s="373"/>
      <c r="AC77" s="373"/>
      <c r="AD77" s="373"/>
      <c r="AE77" s="373"/>
      <c r="AF77" s="373"/>
      <c r="AG77" s="373"/>
      <c r="AH77" s="374"/>
    </row>
    <row r="78" spans="1:66" ht="13.5" customHeight="1">
      <c r="A78" s="70"/>
      <c r="B78" s="70"/>
      <c r="C78" s="245"/>
      <c r="D78" s="70"/>
      <c r="E78" s="246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246"/>
      <c r="Z78" s="294" t="s">
        <v>58</v>
      </c>
      <c r="AA78" s="372" t="s">
        <v>59</v>
      </c>
      <c r="AB78" s="373"/>
      <c r="AC78" s="373"/>
      <c r="AD78" s="373"/>
      <c r="AE78" s="373"/>
      <c r="AF78" s="373"/>
      <c r="AG78" s="373"/>
      <c r="AH78" s="374"/>
    </row>
    <row r="79" spans="1:66" s="167" customFormat="1" ht="14.25" customHeight="1">
      <c r="A79" s="221"/>
      <c r="B79" s="247" t="s">
        <v>27</v>
      </c>
      <c r="C79" s="375" t="s">
        <v>60</v>
      </c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76"/>
      <c r="W79" s="377"/>
      <c r="X79" s="221"/>
      <c r="Y79" s="235"/>
      <c r="Z79" s="295" t="s">
        <v>61</v>
      </c>
      <c r="AA79" s="372" t="s">
        <v>62</v>
      </c>
      <c r="AB79" s="373"/>
      <c r="AC79" s="373"/>
      <c r="AD79" s="373"/>
      <c r="AE79" s="373"/>
      <c r="AF79" s="373"/>
      <c r="AG79" s="373"/>
      <c r="AH79" s="374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/>
      <c r="AX79" s="221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  <c r="BM79" s="221"/>
      <c r="BN79" s="221"/>
    </row>
    <row r="80" spans="1:66" s="167" customFormat="1" ht="12" customHeight="1">
      <c r="A80" s="221"/>
      <c r="B80" s="378" t="s">
        <v>15</v>
      </c>
      <c r="C80" s="379"/>
      <c r="D80" s="380" t="s">
        <v>16</v>
      </c>
      <c r="E80" s="381"/>
      <c r="F80" s="381"/>
      <c r="G80" s="381"/>
      <c r="H80" s="381"/>
      <c r="I80" s="381"/>
      <c r="J80" s="381"/>
      <c r="K80" s="381"/>
      <c r="L80" s="381"/>
      <c r="M80" s="382"/>
      <c r="N80" s="380" t="s">
        <v>17</v>
      </c>
      <c r="O80" s="381"/>
      <c r="P80" s="381"/>
      <c r="Q80" s="381"/>
      <c r="R80" s="381"/>
      <c r="S80" s="381"/>
      <c r="T80" s="381"/>
      <c r="U80" s="381"/>
      <c r="V80" s="381"/>
      <c r="W80" s="382"/>
      <c r="X80" s="221"/>
      <c r="Y80" s="235"/>
      <c r="Z80" s="296" t="s">
        <v>63</v>
      </c>
      <c r="AA80" s="372" t="s">
        <v>64</v>
      </c>
      <c r="AB80" s="373"/>
      <c r="AC80" s="373"/>
      <c r="AD80" s="373"/>
      <c r="AE80" s="373"/>
      <c r="AF80" s="373"/>
      <c r="AG80" s="373"/>
      <c r="AH80" s="374"/>
      <c r="AJ80" s="221"/>
      <c r="AK80" s="221"/>
      <c r="AL80" s="221"/>
      <c r="AM80" s="221"/>
      <c r="AN80" s="221"/>
      <c r="AO80" s="221"/>
      <c r="AP80" s="221"/>
      <c r="AQ80" s="221"/>
      <c r="AR80" s="221"/>
      <c r="AS80" s="221"/>
      <c r="AT80" s="221"/>
      <c r="AU80" s="221"/>
      <c r="AV80" s="221"/>
      <c r="AW80" s="221"/>
      <c r="AX80" s="221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</row>
    <row r="81" spans="1:66" s="167" customFormat="1" ht="12" customHeight="1">
      <c r="A81" s="221"/>
      <c r="B81" s="248" t="s">
        <v>65</v>
      </c>
      <c r="C81" s="249" t="s">
        <v>66</v>
      </c>
      <c r="D81" s="383" t="s">
        <v>67</v>
      </c>
      <c r="E81" s="384"/>
      <c r="F81" s="385" t="s">
        <v>68</v>
      </c>
      <c r="G81" s="386"/>
      <c r="H81" s="386"/>
      <c r="I81" s="386"/>
      <c r="J81" s="386"/>
      <c r="K81" s="386"/>
      <c r="L81" s="386"/>
      <c r="M81" s="387"/>
      <c r="N81" s="383" t="s">
        <v>69</v>
      </c>
      <c r="O81" s="384"/>
      <c r="P81" s="386" t="s">
        <v>70</v>
      </c>
      <c r="Q81" s="386"/>
      <c r="R81" s="386"/>
      <c r="S81" s="386"/>
      <c r="T81" s="386"/>
      <c r="U81" s="386"/>
      <c r="V81" s="386"/>
      <c r="W81" s="387"/>
      <c r="X81" s="221"/>
      <c r="Y81" s="235"/>
      <c r="Z81" s="297" t="s">
        <v>71</v>
      </c>
      <c r="AA81" s="372" t="s">
        <v>72</v>
      </c>
      <c r="AB81" s="373"/>
      <c r="AC81" s="373"/>
      <c r="AD81" s="373"/>
      <c r="AE81" s="373"/>
      <c r="AF81" s="373"/>
      <c r="AG81" s="373"/>
      <c r="AH81" s="374"/>
      <c r="AI81" s="221"/>
      <c r="AJ81" s="298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221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</row>
    <row r="82" spans="1:66" s="167" customFormat="1" ht="12" customHeight="1">
      <c r="A82" s="221"/>
      <c r="B82" s="250" t="s">
        <v>73</v>
      </c>
      <c r="C82" s="251" t="s">
        <v>74</v>
      </c>
      <c r="D82" s="388" t="s">
        <v>75</v>
      </c>
      <c r="E82" s="389"/>
      <c r="F82" s="390" t="s">
        <v>76</v>
      </c>
      <c r="G82" s="391"/>
      <c r="H82" s="391"/>
      <c r="I82" s="391"/>
      <c r="J82" s="391"/>
      <c r="K82" s="391"/>
      <c r="L82" s="391"/>
      <c r="M82" s="392"/>
      <c r="N82" s="388" t="s">
        <v>77</v>
      </c>
      <c r="O82" s="389"/>
      <c r="P82" s="391" t="s">
        <v>78</v>
      </c>
      <c r="Q82" s="391"/>
      <c r="R82" s="391"/>
      <c r="S82" s="391"/>
      <c r="T82" s="391"/>
      <c r="U82" s="391"/>
      <c r="V82" s="391"/>
      <c r="W82" s="392"/>
      <c r="X82" s="221"/>
      <c r="Y82" s="416" t="s">
        <v>79</v>
      </c>
      <c r="Z82" s="416"/>
      <c r="AA82" s="416"/>
      <c r="AB82" s="417" t="s">
        <v>80</v>
      </c>
      <c r="AC82" s="417"/>
      <c r="AD82" s="417"/>
      <c r="AE82" s="417"/>
      <c r="AF82" s="417"/>
      <c r="AG82" s="417"/>
      <c r="AH82" s="417"/>
      <c r="AI82" s="221"/>
      <c r="AJ82" s="298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</row>
    <row r="83" spans="1:66" s="167" customFormat="1" ht="12" customHeight="1">
      <c r="A83" s="221"/>
      <c r="B83" s="250" t="s">
        <v>81</v>
      </c>
      <c r="C83" s="251" t="s">
        <v>82</v>
      </c>
      <c r="D83" s="388" t="s">
        <v>83</v>
      </c>
      <c r="E83" s="389"/>
      <c r="F83" s="390" t="s">
        <v>84</v>
      </c>
      <c r="G83" s="391"/>
      <c r="H83" s="391"/>
      <c r="I83" s="391"/>
      <c r="J83" s="391"/>
      <c r="K83" s="391"/>
      <c r="L83" s="391"/>
      <c r="M83" s="392"/>
      <c r="N83" s="388" t="s">
        <v>85</v>
      </c>
      <c r="O83" s="389"/>
      <c r="P83" s="391" t="s">
        <v>86</v>
      </c>
      <c r="Q83" s="391"/>
      <c r="R83" s="391"/>
      <c r="S83" s="391"/>
      <c r="T83" s="391"/>
      <c r="U83" s="391"/>
      <c r="V83" s="391"/>
      <c r="W83" s="392"/>
      <c r="X83" s="221"/>
      <c r="Y83" s="416"/>
      <c r="Z83" s="416"/>
      <c r="AA83" s="416"/>
      <c r="AB83" s="416"/>
      <c r="AC83" s="416"/>
      <c r="AD83" s="416"/>
      <c r="AE83" s="416"/>
      <c r="AF83" s="416"/>
      <c r="AG83" s="416"/>
      <c r="AH83" s="416"/>
      <c r="AI83" s="221"/>
      <c r="AJ83" s="298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</row>
    <row r="84" spans="1:66" s="167" customFormat="1" ht="12" customHeight="1">
      <c r="A84" s="221"/>
      <c r="B84" s="250" t="s">
        <v>87</v>
      </c>
      <c r="C84" s="251" t="s">
        <v>88</v>
      </c>
      <c r="D84" s="388" t="s">
        <v>89</v>
      </c>
      <c r="E84" s="389"/>
      <c r="F84" s="390" t="s">
        <v>90</v>
      </c>
      <c r="G84" s="391"/>
      <c r="H84" s="391"/>
      <c r="I84" s="391"/>
      <c r="J84" s="391"/>
      <c r="K84" s="391"/>
      <c r="L84" s="391"/>
      <c r="M84" s="392"/>
      <c r="N84" s="388" t="s">
        <v>91</v>
      </c>
      <c r="O84" s="389"/>
      <c r="P84" s="391" t="s">
        <v>92</v>
      </c>
      <c r="Q84" s="391"/>
      <c r="R84" s="391"/>
      <c r="S84" s="391"/>
      <c r="T84" s="391"/>
      <c r="U84" s="391"/>
      <c r="V84" s="391"/>
      <c r="W84" s="392"/>
      <c r="X84" s="221"/>
      <c r="Y84" s="415" t="s">
        <v>93</v>
      </c>
      <c r="Z84" s="415"/>
      <c r="AA84" s="415"/>
      <c r="AB84" s="415"/>
      <c r="AC84" s="416" t="s">
        <v>80</v>
      </c>
      <c r="AD84" s="416"/>
      <c r="AE84" s="416"/>
      <c r="AF84" s="416"/>
      <c r="AG84" s="416"/>
      <c r="AH84" s="416"/>
      <c r="AI84" s="221"/>
      <c r="AJ84" s="298"/>
      <c r="AK84" s="221"/>
      <c r="AL84" s="221"/>
      <c r="AM84" s="221"/>
      <c r="AN84" s="221"/>
      <c r="AO84" s="221"/>
      <c r="AP84" s="221"/>
      <c r="AQ84" s="221"/>
      <c r="AR84" s="221"/>
      <c r="AS84" s="221"/>
      <c r="AT84" s="221"/>
      <c r="AU84" s="221"/>
      <c r="AV84" s="221"/>
      <c r="AW84" s="221"/>
      <c r="AX84" s="221"/>
      <c r="AY84" s="221"/>
      <c r="AZ84" s="221"/>
      <c r="BA84" s="221"/>
      <c r="BB84" s="221"/>
      <c r="BC84" s="221"/>
      <c r="BD84" s="221"/>
      <c r="BE84" s="221"/>
      <c r="BF84" s="221"/>
      <c r="BG84" s="221"/>
      <c r="BH84" s="221"/>
      <c r="BI84" s="221"/>
      <c r="BJ84" s="221"/>
      <c r="BK84" s="221"/>
      <c r="BL84" s="221"/>
      <c r="BM84" s="221"/>
      <c r="BN84" s="221"/>
    </row>
    <row r="85" spans="1:66" s="167" customFormat="1" ht="12" customHeight="1">
      <c r="A85" s="221"/>
      <c r="B85" s="250" t="s">
        <v>94</v>
      </c>
      <c r="C85" s="252"/>
      <c r="D85" s="388" t="s">
        <v>95</v>
      </c>
      <c r="E85" s="389"/>
      <c r="F85" s="390" t="s">
        <v>96</v>
      </c>
      <c r="G85" s="391"/>
      <c r="H85" s="391"/>
      <c r="I85" s="391"/>
      <c r="J85" s="391"/>
      <c r="K85" s="391"/>
      <c r="L85" s="391"/>
      <c r="M85" s="392"/>
      <c r="N85" s="388" t="s">
        <v>97</v>
      </c>
      <c r="O85" s="389"/>
      <c r="P85" s="391" t="s">
        <v>98</v>
      </c>
      <c r="Q85" s="391"/>
      <c r="R85" s="391"/>
      <c r="S85" s="391"/>
      <c r="T85" s="391"/>
      <c r="U85" s="391"/>
      <c r="V85" s="391"/>
      <c r="W85" s="392"/>
      <c r="X85" s="221"/>
      <c r="Y85" s="415"/>
      <c r="Z85" s="415"/>
      <c r="AA85" s="415"/>
      <c r="AB85" s="415"/>
      <c r="AC85" s="416"/>
      <c r="AD85" s="416"/>
      <c r="AE85" s="416"/>
      <c r="AF85" s="416"/>
      <c r="AG85" s="416"/>
      <c r="AH85" s="416"/>
      <c r="AI85" s="221"/>
    </row>
    <row r="86" spans="1:66" s="167" customFormat="1" ht="12" customHeight="1">
      <c r="A86" s="221"/>
      <c r="B86" s="250" t="s">
        <v>99</v>
      </c>
      <c r="C86" s="253"/>
      <c r="D86" s="388" t="s">
        <v>100</v>
      </c>
      <c r="E86" s="389"/>
      <c r="F86" s="390" t="s">
        <v>101</v>
      </c>
      <c r="G86" s="391"/>
      <c r="H86" s="391"/>
      <c r="I86" s="391"/>
      <c r="J86" s="391"/>
      <c r="K86" s="391"/>
      <c r="L86" s="391"/>
      <c r="M86" s="392"/>
      <c r="N86" s="388" t="s">
        <v>102</v>
      </c>
      <c r="O86" s="389"/>
      <c r="P86" s="391" t="s">
        <v>103</v>
      </c>
      <c r="Q86" s="391"/>
      <c r="R86" s="391"/>
      <c r="S86" s="391"/>
      <c r="T86" s="391"/>
      <c r="U86" s="391"/>
      <c r="V86" s="391"/>
      <c r="W86" s="392"/>
      <c r="X86" s="221"/>
      <c r="Y86" s="413" t="s">
        <v>104</v>
      </c>
      <c r="Z86" s="413"/>
      <c r="AA86" s="413"/>
      <c r="AB86" s="413"/>
      <c r="AC86" s="413"/>
      <c r="AD86" s="414" t="s">
        <v>80</v>
      </c>
      <c r="AE86" s="414"/>
      <c r="AF86" s="414"/>
      <c r="AG86" s="414"/>
      <c r="AH86" s="414"/>
    </row>
    <row r="87" spans="1:66" s="167" customFormat="1" ht="12" customHeight="1">
      <c r="A87" s="221"/>
      <c r="B87" s="250" t="s">
        <v>105</v>
      </c>
      <c r="C87" s="253"/>
      <c r="D87" s="388" t="s">
        <v>106</v>
      </c>
      <c r="E87" s="389"/>
      <c r="F87" s="393"/>
      <c r="G87" s="394"/>
      <c r="H87" s="394"/>
      <c r="I87" s="394"/>
      <c r="J87" s="394"/>
      <c r="K87" s="394"/>
      <c r="L87" s="394"/>
      <c r="M87" s="395"/>
      <c r="N87" s="388" t="s">
        <v>107</v>
      </c>
      <c r="O87" s="389"/>
      <c r="P87" s="391" t="s">
        <v>108</v>
      </c>
      <c r="Q87" s="391"/>
      <c r="R87" s="391"/>
      <c r="S87" s="391"/>
      <c r="T87" s="391"/>
      <c r="U87" s="391"/>
      <c r="V87" s="391"/>
      <c r="W87" s="392"/>
      <c r="X87" s="221"/>
      <c r="Y87" s="413"/>
      <c r="Z87" s="413"/>
      <c r="AA87" s="413"/>
      <c r="AB87" s="413"/>
      <c r="AC87" s="413"/>
      <c r="AD87" s="414"/>
      <c r="AE87" s="414"/>
      <c r="AF87" s="414"/>
      <c r="AG87" s="414"/>
      <c r="AH87" s="414"/>
      <c r="AI87" s="299"/>
      <c r="AJ87" s="300"/>
      <c r="AK87" s="301"/>
    </row>
    <row r="88" spans="1:66" s="167" customFormat="1" ht="12" customHeight="1">
      <c r="A88" s="221"/>
      <c r="B88" s="254" t="s">
        <v>109</v>
      </c>
      <c r="C88" s="255"/>
      <c r="D88" s="396" t="s">
        <v>110</v>
      </c>
      <c r="E88" s="397"/>
      <c r="F88" s="398"/>
      <c r="G88" s="399"/>
      <c r="H88" s="399"/>
      <c r="I88" s="399"/>
      <c r="J88" s="399"/>
      <c r="K88" s="399"/>
      <c r="L88" s="399"/>
      <c r="M88" s="400"/>
      <c r="N88" s="396" t="s">
        <v>111</v>
      </c>
      <c r="O88" s="397"/>
      <c r="P88" s="399"/>
      <c r="Q88" s="399"/>
      <c r="R88" s="399"/>
      <c r="S88" s="399"/>
      <c r="T88" s="399"/>
      <c r="U88" s="399"/>
      <c r="V88" s="399"/>
      <c r="W88" s="400"/>
      <c r="X88" s="221"/>
      <c r="Y88" s="413"/>
      <c r="Z88" s="413"/>
      <c r="AA88" s="413"/>
      <c r="AB88" s="413"/>
      <c r="AC88" s="413"/>
      <c r="AD88" s="414"/>
      <c r="AE88" s="414"/>
      <c r="AF88" s="414"/>
      <c r="AG88" s="414"/>
      <c r="AH88" s="414"/>
      <c r="AI88" s="299"/>
      <c r="AJ88" s="300"/>
      <c r="AK88" s="301"/>
    </row>
    <row r="89" spans="1:66">
      <c r="A89" s="401" t="s">
        <v>112</v>
      </c>
      <c r="B89" s="401"/>
      <c r="C89" s="401"/>
      <c r="D89" s="401"/>
      <c r="E89" s="401"/>
      <c r="F89" s="401"/>
      <c r="G89" s="401"/>
      <c r="H89" s="401"/>
      <c r="I89" s="401"/>
      <c r="J89" s="401"/>
      <c r="K89" s="401"/>
      <c r="L89" s="401"/>
      <c r="M89" s="401"/>
      <c r="N89" s="401"/>
      <c r="O89" s="401"/>
      <c r="P89" s="401"/>
      <c r="Q89" s="401"/>
      <c r="R89" s="401"/>
      <c r="S89" s="401"/>
      <c r="T89" s="401"/>
      <c r="U89" s="401"/>
      <c r="V89" s="401"/>
      <c r="W89" s="401"/>
      <c r="X89" s="401"/>
      <c r="Y89" s="401"/>
      <c r="Z89" s="401"/>
      <c r="AA89" s="401"/>
      <c r="AB89" s="401"/>
      <c r="AC89" s="401"/>
      <c r="AD89" s="401"/>
      <c r="AE89" s="401"/>
      <c r="AF89" s="401"/>
      <c r="AG89" s="401"/>
      <c r="AH89" s="401"/>
    </row>
  </sheetData>
  <sheetProtection algorithmName="SHA-512" hashValue="neq0Qr6cD3qQ8sy+YSdjb01aZD4pCvAMo2UnpzPa0K/p49JfE6N9I++bCLgkVW9UpGHMoR/iUsB4+EEW6FFiDg==" saltValue="m7yYKo7/A43sjNVo4aztOA==" spinCount="100000" sheet="1" objects="1" scenarios="1"/>
  <mergeCells count="115">
    <mergeCell ref="A89:AH89"/>
    <mergeCell ref="A6:A7"/>
    <mergeCell ref="B6:B7"/>
    <mergeCell ref="AD6:AD7"/>
    <mergeCell ref="AE6:AE7"/>
    <mergeCell ref="AF6:AF7"/>
    <mergeCell ref="AG6:AG7"/>
    <mergeCell ref="AH6:AH7"/>
    <mergeCell ref="Y86:AC88"/>
    <mergeCell ref="AD86:AH88"/>
    <mergeCell ref="Y82:AA83"/>
    <mergeCell ref="AB82:AH83"/>
    <mergeCell ref="Y84:AB85"/>
    <mergeCell ref="AC84:AH85"/>
    <mergeCell ref="A66:B71"/>
    <mergeCell ref="D86:E86"/>
    <mergeCell ref="F86:M86"/>
    <mergeCell ref="N86:O86"/>
    <mergeCell ref="P86:W86"/>
    <mergeCell ref="D87:E87"/>
    <mergeCell ref="F87:M87"/>
    <mergeCell ref="N87:O87"/>
    <mergeCell ref="P87:W87"/>
    <mergeCell ref="D88:E88"/>
    <mergeCell ref="F88:M88"/>
    <mergeCell ref="N88:O88"/>
    <mergeCell ref="P88:W88"/>
    <mergeCell ref="D83:E83"/>
    <mergeCell ref="F83:M83"/>
    <mergeCell ref="N83:O83"/>
    <mergeCell ref="P83:W83"/>
    <mergeCell ref="D84:E84"/>
    <mergeCell ref="F84:M84"/>
    <mergeCell ref="N84:O84"/>
    <mergeCell ref="P84:W84"/>
    <mergeCell ref="D85:E85"/>
    <mergeCell ref="F85:M85"/>
    <mergeCell ref="N85:O85"/>
    <mergeCell ref="P85:W85"/>
    <mergeCell ref="D81:E81"/>
    <mergeCell ref="F81:M81"/>
    <mergeCell ref="N81:O81"/>
    <mergeCell ref="P81:W81"/>
    <mergeCell ref="AA81:AH81"/>
    <mergeCell ref="D82:E82"/>
    <mergeCell ref="F82:M82"/>
    <mergeCell ref="N82:O82"/>
    <mergeCell ref="P82:W82"/>
    <mergeCell ref="Z75:AH75"/>
    <mergeCell ref="AA76:AH76"/>
    <mergeCell ref="AA77:AH77"/>
    <mergeCell ref="AA78:AH78"/>
    <mergeCell ref="C79:W79"/>
    <mergeCell ref="AA79:AH79"/>
    <mergeCell ref="B80:C80"/>
    <mergeCell ref="D80:M80"/>
    <mergeCell ref="N80:W80"/>
    <mergeCell ref="AA80:AH80"/>
    <mergeCell ref="Y65:AC65"/>
    <mergeCell ref="AF65:AH65"/>
    <mergeCell ref="AF66:AH66"/>
    <mergeCell ref="AF67:AH67"/>
    <mergeCell ref="AF68:AH68"/>
    <mergeCell ref="AF69:AH69"/>
    <mergeCell ref="AF70:AH70"/>
    <mergeCell ref="A72:C72"/>
    <mergeCell ref="Z74:AD74"/>
    <mergeCell ref="AE74:AH74"/>
    <mergeCell ref="AF63:AH63"/>
    <mergeCell ref="A64:C64"/>
    <mergeCell ref="D64:E64"/>
    <mergeCell ref="F64:G64"/>
    <mergeCell ref="H64:I64"/>
    <mergeCell ref="J64:K64"/>
    <mergeCell ref="L64:M64"/>
    <mergeCell ref="N64:O64"/>
    <mergeCell ref="P64:Q64"/>
    <mergeCell ref="S64:T64"/>
    <mergeCell ref="V64:W64"/>
    <mergeCell ref="Y64:AC64"/>
    <mergeCell ref="AF64:AH64"/>
    <mergeCell ref="Y6:AC6"/>
    <mergeCell ref="A63:C63"/>
    <mergeCell ref="D63:E63"/>
    <mergeCell ref="F63:G63"/>
    <mergeCell ref="H63:I63"/>
    <mergeCell ref="J63:K63"/>
    <mergeCell ref="L63:M63"/>
    <mergeCell ref="N63:O63"/>
    <mergeCell ref="P63:Q63"/>
    <mergeCell ref="S63:T63"/>
    <mergeCell ref="V63:W63"/>
    <mergeCell ref="Y63:AC63"/>
    <mergeCell ref="D6:E6"/>
    <mergeCell ref="F6:G6"/>
    <mergeCell ref="H6:I6"/>
    <mergeCell ref="J6:K6"/>
    <mergeCell ref="L6:M6"/>
    <mergeCell ref="N6:O6"/>
    <mergeCell ref="P6:R6"/>
    <mergeCell ref="S6:U6"/>
    <mergeCell ref="V6:X6"/>
    <mergeCell ref="A3:AH3"/>
    <mergeCell ref="A4:C4"/>
    <mergeCell ref="D4:R4"/>
    <mergeCell ref="S4:V4"/>
    <mergeCell ref="W4:AB4"/>
    <mergeCell ref="AC4:AF4"/>
    <mergeCell ref="AG4:AH4"/>
    <mergeCell ref="A5:C5"/>
    <mergeCell ref="D5:I5"/>
    <mergeCell ref="J5:M5"/>
    <mergeCell ref="N5:R5"/>
    <mergeCell ref="S5:V5"/>
    <mergeCell ref="W5:AH5"/>
  </mergeCells>
  <conditionalFormatting sqref="B8:B62">
    <cfRule type="expression" dxfId="152" priority="1">
      <formula>$AE8="F"</formula>
    </cfRule>
    <cfRule type="expression" dxfId="151" priority="2">
      <formula>$AE8="R2"</formula>
    </cfRule>
    <cfRule type="expression" dxfId="150" priority="3">
      <formula>$AE8="R1"</formula>
    </cfRule>
    <cfRule type="expression" dxfId="149" priority="4">
      <formula>$AE8="Q2"</formula>
    </cfRule>
    <cfRule type="expression" dxfId="148" priority="5">
      <formula>$AE8="Q1"</formula>
    </cfRule>
    <cfRule type="expression" dxfId="147" priority="21">
      <formula>$AE$8="P"</formula>
    </cfRule>
  </conditionalFormatting>
  <conditionalFormatting sqref="D8:D62">
    <cfRule type="cellIs" dxfId="146" priority="64" operator="between">
      <formula>10</formula>
      <formula>19</formula>
    </cfRule>
    <cfRule type="cellIs" dxfId="145" priority="63" operator="between">
      <formula>20</formula>
      <formula>29</formula>
    </cfRule>
    <cfRule type="cellIs" dxfId="144" priority="62" operator="between">
      <formula>30</formula>
      <formula>39</formula>
    </cfRule>
    <cfRule type="cellIs" dxfId="143" priority="66" operator="between">
      <formula>0</formula>
      <formula>9</formula>
    </cfRule>
    <cfRule type="containsBlanks" dxfId="142" priority="65">
      <formula>LEN(TRIM(D8))=0</formula>
    </cfRule>
  </conditionalFormatting>
  <conditionalFormatting sqref="F8:F62">
    <cfRule type="cellIs" dxfId="141" priority="16" operator="between">
      <formula>30</formula>
      <formula>39</formula>
    </cfRule>
    <cfRule type="cellIs" dxfId="140" priority="17" operator="between">
      <formula>20</formula>
      <formula>29</formula>
    </cfRule>
    <cfRule type="cellIs" dxfId="139" priority="18" operator="between">
      <formula>10</formula>
      <formula>19</formula>
    </cfRule>
    <cfRule type="containsBlanks" dxfId="138" priority="19">
      <formula>LEN(TRIM(F8))=0</formula>
    </cfRule>
    <cfRule type="cellIs" dxfId="137" priority="20" operator="between">
      <formula>0</formula>
      <formula>9</formula>
    </cfRule>
  </conditionalFormatting>
  <conditionalFormatting sqref="H8:H62">
    <cfRule type="cellIs" dxfId="136" priority="13" operator="between">
      <formula>10</formula>
      <formula>19</formula>
    </cfRule>
    <cfRule type="cellIs" dxfId="135" priority="11" operator="between">
      <formula>30</formula>
      <formula>39</formula>
    </cfRule>
    <cfRule type="cellIs" dxfId="134" priority="12" operator="between">
      <formula>20</formula>
      <formula>29</formula>
    </cfRule>
    <cfRule type="containsBlanks" dxfId="133" priority="14">
      <formula>LEN(TRIM(H8))=0</formula>
    </cfRule>
    <cfRule type="cellIs" dxfId="132" priority="15" operator="between">
      <formula>0</formula>
      <formula>9</formula>
    </cfRule>
  </conditionalFormatting>
  <conditionalFormatting sqref="J8:J62">
    <cfRule type="cellIs" dxfId="131" priority="6" operator="between">
      <formula>30</formula>
      <formula>39</formula>
    </cfRule>
    <cfRule type="cellIs" dxfId="130" priority="8" operator="between">
      <formula>10</formula>
      <formula>19</formula>
    </cfRule>
    <cfRule type="containsBlanks" dxfId="129" priority="9">
      <formula>LEN(TRIM(J8))=0</formula>
    </cfRule>
    <cfRule type="cellIs" dxfId="128" priority="10" operator="between">
      <formula>0</formula>
      <formula>9</formula>
    </cfRule>
    <cfRule type="cellIs" dxfId="127" priority="7" operator="between">
      <formula>20</formula>
      <formula>29</formula>
    </cfRule>
  </conditionalFormatting>
  <conditionalFormatting sqref="L8:L62">
    <cfRule type="cellIs" dxfId="126" priority="42" operator="between">
      <formula>30</formula>
      <formula>39</formula>
    </cfRule>
    <cfRule type="cellIs" dxfId="125" priority="43" operator="between">
      <formula>20</formula>
      <formula>29</formula>
    </cfRule>
    <cfRule type="cellIs" dxfId="124" priority="44" operator="between">
      <formula>10</formula>
      <formula>19</formula>
    </cfRule>
    <cfRule type="cellIs" dxfId="123" priority="46" operator="between">
      <formula>0</formula>
      <formula>9</formula>
    </cfRule>
    <cfRule type="containsBlanks" dxfId="122" priority="45">
      <formula>LEN(TRIM(L8))=0</formula>
    </cfRule>
  </conditionalFormatting>
  <conditionalFormatting sqref="N8:N62">
    <cfRule type="cellIs" dxfId="121" priority="37" operator="between">
      <formula>30</formula>
      <formula>39</formula>
    </cfRule>
    <cfRule type="cellIs" dxfId="120" priority="38" operator="between">
      <formula>20</formula>
      <formula>29</formula>
    </cfRule>
    <cfRule type="containsBlanks" dxfId="119" priority="40">
      <formula>LEN(TRIM(N8))=0</formula>
    </cfRule>
    <cfRule type="cellIs" dxfId="118" priority="41" operator="between">
      <formula>0</formula>
      <formula>9</formula>
    </cfRule>
    <cfRule type="cellIs" dxfId="117" priority="39" operator="between">
      <formula>10</formula>
      <formula>19</formula>
    </cfRule>
  </conditionalFormatting>
  <conditionalFormatting sqref="P8:P62">
    <cfRule type="cellIs" dxfId="116" priority="33" operator="between">
      <formula>20</formula>
      <formula>29</formula>
    </cfRule>
    <cfRule type="cellIs" dxfId="115" priority="34" operator="between">
      <formula>10</formula>
      <formula>19</formula>
    </cfRule>
    <cfRule type="containsBlanks" dxfId="114" priority="35">
      <formula>LEN(TRIM(P8))=0</formula>
    </cfRule>
    <cfRule type="cellIs" dxfId="113" priority="36" operator="between">
      <formula>0</formula>
      <formula>9</formula>
    </cfRule>
    <cfRule type="cellIs" dxfId="112" priority="32" operator="between">
      <formula>30</formula>
      <formula>39</formula>
    </cfRule>
  </conditionalFormatting>
  <conditionalFormatting sqref="S8:S62">
    <cfRule type="cellIs" dxfId="111" priority="26" operator="between">
      <formula>0</formula>
      <formula>9</formula>
    </cfRule>
    <cfRule type="containsBlanks" dxfId="110" priority="25">
      <formula>LEN(TRIM(S8))=0</formula>
    </cfRule>
    <cfRule type="cellIs" dxfId="109" priority="24" operator="between">
      <formula>10</formula>
      <formula>19</formula>
    </cfRule>
    <cfRule type="cellIs" dxfId="108" priority="23" operator="between">
      <formula>20</formula>
      <formula>29</formula>
    </cfRule>
    <cfRule type="cellIs" dxfId="107" priority="22" operator="between">
      <formula>30</formula>
      <formula>39</formula>
    </cfRule>
  </conditionalFormatting>
  <conditionalFormatting sqref="V8:V62">
    <cfRule type="cellIs" dxfId="106" priority="27" operator="between">
      <formula>30</formula>
      <formula>39</formula>
    </cfRule>
    <cfRule type="cellIs" dxfId="105" priority="28" operator="between">
      <formula>20</formula>
      <formula>29</formula>
    </cfRule>
    <cfRule type="cellIs" dxfId="104" priority="29" operator="between">
      <formula>10</formula>
      <formula>19</formula>
    </cfRule>
    <cfRule type="containsBlanks" dxfId="103" priority="30">
      <formula>LEN(TRIM(V8))=0</formula>
    </cfRule>
    <cfRule type="cellIs" dxfId="102" priority="31" operator="between">
      <formula>0</formula>
      <formula>9</formula>
    </cfRule>
  </conditionalFormatting>
  <dataValidations count="9">
    <dataValidation type="custom" allowBlank="1" showInputMessage="1" showErrorMessage="1" sqref="AK6" xr:uid="{00000000-0002-0000-0700-000000000000}">
      <formula1>EXACT(AK6,LOWER(AK10))</formula1>
    </dataValidation>
    <dataValidation type="custom" allowBlank="1" showInputMessage="1" showErrorMessage="1" sqref="AI74" xr:uid="{00000000-0002-0000-0700-000001000000}">
      <formula1>OR(AND(AI74&gt;=0,AI74&lt;=100),AI74="ab")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8:D10 F8:F10 H8:H10 J8:J10 L8:L10 N8:N10 P8:P10 S8:S10 V8:V10" xr:uid="{00000000-0002-0000-0700-000002000000}">
      <formula1>OR(AND(D8:D62&gt;=0,D8:D62&lt;=100),D8:D62="ab")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11:D23 F11:F23 H11:H23 J11:J23 L11:L23 N11:N23 P11:P23 S11:S23 V11:V23" xr:uid="{00000000-0002-0000-0700-000003000000}">
      <formula1>OR(AND(D11:D66&gt;=0,D11:D66&lt;=100),D11:D66="ab")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24:D53 F24:F53 H24:H53 J24:J53 L24:L53 N24:N53 P24:P53 S24:S53 V24:V53" xr:uid="{00000000-0002-0000-0700-000004000000}">
      <formula1>OR(AND(D24:D83&gt;=0,D24:D83&lt;=100),D24:D83="ab")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54:D62 F54:F62 H54:H62 J54:J62 L54:L62 N54:N62 P54:P62 S54:S62 V54:V62" xr:uid="{00000000-0002-0000-0700-000005000000}">
      <formula1>OR(AND(D54:D114&gt;=0,D54:D114&lt;=100),D54:D114="ab")</formula1>
    </dataValidation>
    <dataValidation type="list" allowBlank="1" showInputMessage="1" showErrorMessage="1" sqref="R8:R62" xr:uid="{00000000-0002-0000-0700-000006000000}">
      <formula1>$B$81:$B$88</formula1>
    </dataValidation>
    <dataValidation type="list" allowBlank="1" showInputMessage="1" showErrorMessage="1" sqref="U8:U62" xr:uid="{00000000-0002-0000-0700-000007000000}">
      <formula1>$D$81:$D$88</formula1>
    </dataValidation>
    <dataValidation type="list" allowBlank="1" showInputMessage="1" showErrorMessage="1" sqref="X8:X62" xr:uid="{00000000-0002-0000-0700-000008000000}">
      <formula1>$N$81:$N$88</formula1>
    </dataValidation>
  </dataValidations>
  <pageMargins left="0.196850393700787" right="0.196850393700787" top="0.23622047244094499" bottom="0" header="0.31496062992126" footer="0.31496062992126"/>
  <pageSetup paperSize="8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N89"/>
  <sheetViews>
    <sheetView topLeftCell="A61" workbookViewId="0">
      <selection activeCell="AA71" sqref="AA71"/>
    </sheetView>
  </sheetViews>
  <sheetFormatPr defaultColWidth="9.109375" defaultRowHeight="13.8"/>
  <cols>
    <col min="1" max="1" width="3.33203125" style="168" customWidth="1"/>
    <col min="2" max="2" width="5.88671875" style="168" customWidth="1"/>
    <col min="3" max="3" width="25.33203125" style="168" customWidth="1"/>
    <col min="4" max="4" width="3.6640625" style="168" customWidth="1"/>
    <col min="5" max="5" width="3" style="168" customWidth="1"/>
    <col min="6" max="6" width="3.6640625" style="168" customWidth="1"/>
    <col min="7" max="7" width="3" style="168" customWidth="1"/>
    <col min="8" max="8" width="3.6640625" style="168" customWidth="1"/>
    <col min="9" max="9" width="3" style="168" customWidth="1"/>
    <col min="10" max="10" width="3.6640625" style="168" customWidth="1"/>
    <col min="11" max="11" width="3" style="168" customWidth="1"/>
    <col min="12" max="12" width="3.6640625" style="168" customWidth="1"/>
    <col min="13" max="13" width="3" style="168" customWidth="1"/>
    <col min="14" max="14" width="3.6640625" style="168" customWidth="1"/>
    <col min="15" max="15" width="3" style="168" customWidth="1"/>
    <col min="16" max="16" width="3.6640625" style="168" customWidth="1"/>
    <col min="17" max="17" width="3" style="168" customWidth="1"/>
    <col min="18" max="18" width="3.33203125" style="168" customWidth="1"/>
    <col min="19" max="19" width="3.6640625" style="168" customWidth="1"/>
    <col min="20" max="20" width="3" style="168" customWidth="1"/>
    <col min="21" max="21" width="3.33203125" style="168" customWidth="1"/>
    <col min="22" max="22" width="3.6640625" style="168" customWidth="1"/>
    <col min="23" max="23" width="3" style="168" customWidth="1"/>
    <col min="24" max="24" width="3.33203125" style="168" customWidth="1"/>
    <col min="25" max="29" width="3.5546875" style="169" customWidth="1"/>
    <col min="30" max="30" width="3" style="170" customWidth="1"/>
    <col min="31" max="31" width="3.5546875" style="170" customWidth="1"/>
    <col min="32" max="32" width="4.88671875" style="171" customWidth="1"/>
    <col min="33" max="33" width="5.88671875" style="171" customWidth="1"/>
    <col min="34" max="34" width="3.88671875" style="169" customWidth="1"/>
    <col min="35" max="16384" width="9.109375" style="168"/>
  </cols>
  <sheetData>
    <row r="2" spans="1:34" ht="7.5" customHeight="1"/>
    <row r="3" spans="1:34" ht="19.5" customHeight="1">
      <c r="A3" s="308" t="s">
        <v>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</row>
    <row r="4" spans="1:34" s="166" customFormat="1" ht="15.75" customHeight="1">
      <c r="A4" s="310" t="s">
        <v>1</v>
      </c>
      <c r="B4" s="310"/>
      <c r="C4" s="310"/>
      <c r="D4" s="311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3" t="s">
        <v>2</v>
      </c>
      <c r="T4" s="314"/>
      <c r="U4" s="314"/>
      <c r="V4" s="315"/>
      <c r="W4" s="316"/>
      <c r="X4" s="317"/>
      <c r="Y4" s="317"/>
      <c r="Z4" s="317"/>
      <c r="AA4" s="317"/>
      <c r="AB4" s="318"/>
      <c r="AC4" s="319" t="s">
        <v>3</v>
      </c>
      <c r="AD4" s="320"/>
      <c r="AE4" s="321"/>
      <c r="AF4" s="321"/>
      <c r="AG4" s="316"/>
      <c r="AH4" s="318"/>
    </row>
    <row r="5" spans="1:34" s="166" customFormat="1" ht="15.75" customHeight="1">
      <c r="A5" s="310" t="s">
        <v>4</v>
      </c>
      <c r="B5" s="310"/>
      <c r="C5" s="310"/>
      <c r="D5" s="322"/>
      <c r="E5" s="322"/>
      <c r="F5" s="322"/>
      <c r="G5" s="322"/>
      <c r="H5" s="322"/>
      <c r="I5" s="322"/>
      <c r="J5" s="323" t="s">
        <v>5</v>
      </c>
      <c r="K5" s="323"/>
      <c r="L5" s="323"/>
      <c r="M5" s="323"/>
      <c r="N5" s="311"/>
      <c r="O5" s="312"/>
      <c r="P5" s="312"/>
      <c r="Q5" s="312"/>
      <c r="R5" s="312"/>
      <c r="S5" s="324" t="s">
        <v>6</v>
      </c>
      <c r="T5" s="325"/>
      <c r="U5" s="325"/>
      <c r="V5" s="326"/>
      <c r="W5" s="327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9"/>
    </row>
    <row r="6" spans="1:34" ht="76.5" customHeight="1">
      <c r="A6" s="402"/>
      <c r="B6" s="404" t="s">
        <v>7</v>
      </c>
      <c r="C6" s="172" t="s">
        <v>8</v>
      </c>
      <c r="D6" s="330" t="s">
        <v>9</v>
      </c>
      <c r="E6" s="331"/>
      <c r="F6" s="330" t="s">
        <v>10</v>
      </c>
      <c r="G6" s="331"/>
      <c r="H6" s="332" t="s">
        <v>11</v>
      </c>
      <c r="I6" s="333"/>
      <c r="J6" s="330" t="s">
        <v>12</v>
      </c>
      <c r="K6" s="331"/>
      <c r="L6" s="330" t="s">
        <v>13</v>
      </c>
      <c r="M6" s="331"/>
      <c r="N6" s="330" t="s">
        <v>14</v>
      </c>
      <c r="O6" s="334"/>
      <c r="P6" s="335" t="s">
        <v>15</v>
      </c>
      <c r="Q6" s="336"/>
      <c r="R6" s="337"/>
      <c r="S6" s="332" t="s">
        <v>16</v>
      </c>
      <c r="T6" s="338"/>
      <c r="U6" s="333"/>
      <c r="V6" s="332" t="s">
        <v>17</v>
      </c>
      <c r="W6" s="338"/>
      <c r="X6" s="333"/>
      <c r="Y6" s="339" t="s">
        <v>18</v>
      </c>
      <c r="Z6" s="340"/>
      <c r="AA6" s="340"/>
      <c r="AB6" s="340"/>
      <c r="AC6" s="341"/>
      <c r="AD6" s="406" t="s">
        <v>19</v>
      </c>
      <c r="AE6" s="408" t="s">
        <v>20</v>
      </c>
      <c r="AF6" s="332" t="s">
        <v>21</v>
      </c>
      <c r="AG6" s="338" t="s">
        <v>22</v>
      </c>
      <c r="AH6" s="333" t="s">
        <v>23</v>
      </c>
    </row>
    <row r="7" spans="1:34" ht="18" customHeight="1">
      <c r="A7" s="403"/>
      <c r="B7" s="405"/>
      <c r="C7" s="173" t="s">
        <v>24</v>
      </c>
      <c r="D7" s="174" t="s">
        <v>25</v>
      </c>
      <c r="E7" s="175" t="s">
        <v>26</v>
      </c>
      <c r="F7" s="174" t="s">
        <v>25</v>
      </c>
      <c r="G7" s="175" t="s">
        <v>26</v>
      </c>
      <c r="H7" s="174" t="s">
        <v>25</v>
      </c>
      <c r="I7" s="175" t="s">
        <v>26</v>
      </c>
      <c r="J7" s="174" t="s">
        <v>25</v>
      </c>
      <c r="K7" s="175" t="s">
        <v>26</v>
      </c>
      <c r="L7" s="174" t="s">
        <v>25</v>
      </c>
      <c r="M7" s="175" t="s">
        <v>26</v>
      </c>
      <c r="N7" s="174" t="s">
        <v>25</v>
      </c>
      <c r="O7" s="183" t="s">
        <v>26</v>
      </c>
      <c r="P7" s="174" t="s">
        <v>25</v>
      </c>
      <c r="Q7" s="186" t="s">
        <v>26</v>
      </c>
      <c r="R7" s="187" t="s">
        <v>27</v>
      </c>
      <c r="S7" s="174" t="s">
        <v>25</v>
      </c>
      <c r="T7" s="186" t="s">
        <v>26</v>
      </c>
      <c r="U7" s="188" t="s">
        <v>27</v>
      </c>
      <c r="V7" s="174" t="s">
        <v>25</v>
      </c>
      <c r="W7" s="186" t="s">
        <v>26</v>
      </c>
      <c r="X7" s="188" t="s">
        <v>27</v>
      </c>
      <c r="Y7" s="202" t="s">
        <v>28</v>
      </c>
      <c r="Z7" s="203" t="s">
        <v>29</v>
      </c>
      <c r="AA7" s="203" t="s">
        <v>30</v>
      </c>
      <c r="AB7" s="203" t="s">
        <v>31</v>
      </c>
      <c r="AC7" s="204" t="s">
        <v>32</v>
      </c>
      <c r="AD7" s="407"/>
      <c r="AE7" s="409"/>
      <c r="AF7" s="410"/>
      <c r="AG7" s="411"/>
      <c r="AH7" s="412"/>
    </row>
    <row r="8" spans="1:34" s="167" customFormat="1" ht="12.75" customHeight="1">
      <c r="A8" s="176">
        <v>1</v>
      </c>
      <c r="B8" s="177"/>
      <c r="C8" s="178"/>
      <c r="D8" s="179"/>
      <c r="E8" s="180" t="str">
        <f>IF(D8="","",IF(D8="ab","ab",IF(D8&gt;=75,"A",(IF(D8&gt;=65,"B",IF(D8&gt;=50,"C",IF(D8&gt;=40,"S","W")))))))</f>
        <v/>
      </c>
      <c r="F8" s="179"/>
      <c r="G8" s="180" t="str">
        <f>IF(F8="","",IF(F8="ab","ab",IF(F8&gt;=75,"A",(IF(F8&gt;=65,"B",IF(F8&gt;=50,"C",IF(F8&gt;=40,"S","W")))))))</f>
        <v/>
      </c>
      <c r="H8" s="179"/>
      <c r="I8" s="180" t="str">
        <f>IF(H8="","",IF(H8="ab","ab",IF(H8&gt;=75,"A",(IF(H8&gt;=65,"B",IF(H8&gt;=50,"C",IF(H8&gt;=40,"S","W")))))))</f>
        <v/>
      </c>
      <c r="J8" s="179"/>
      <c r="K8" s="180" t="str">
        <f>IF(J8="","",IF(J8="ab","ab",IF(J8&gt;=75,"A",(IF(J8&gt;=65,"B",IF(J8&gt;=50,"C",IF(J8&gt;=40,"S","W")))))))</f>
        <v/>
      </c>
      <c r="L8" s="179"/>
      <c r="M8" s="180" t="str">
        <f>IF(L8="","",IF(L8="ab","ab",IF(L8&gt;=75,"A",(IF(L8&gt;=65,"B",IF(L8&gt;=50,"C",IF(L8&gt;=40,"S","W")))))))</f>
        <v/>
      </c>
      <c r="N8" s="179"/>
      <c r="O8" s="184" t="str">
        <f>IF(N8="","",IF(N8="ab","ab",IF(N8&gt;=75,"A",(IF(N8&gt;=65,"B",IF(N8&gt;=50,"C",IF(N8&gt;=40,"S","W")))))))</f>
        <v/>
      </c>
      <c r="P8" s="179"/>
      <c r="Q8" s="189" t="str">
        <f t="shared" ref="Q8:Q62" si="0">IF(P8="","",IF(P8="ab","ab",IF(P8&gt;=75,"A",(IF(P8&gt;=65,"B",IF(P8&gt;=50,"C",IF(P8&gt;=40,"S","W")))))))</f>
        <v/>
      </c>
      <c r="R8" s="190"/>
      <c r="S8" s="179"/>
      <c r="T8" s="189" t="str">
        <f>IF(S8="","",IF(S8="ab","ab",IF(S8&gt;=75,"A",(IF(S8&gt;=65,"B",IF(S8&gt;=50,"C",IF(S8&gt;=40,"S","W")))))))</f>
        <v/>
      </c>
      <c r="U8" s="190"/>
      <c r="V8" s="179"/>
      <c r="W8" s="189" t="str">
        <f>IF(V8="","",IF(V8="ab","ab",IF(V8&gt;=75,"A",(IF(V8&gt;=65,"B",IF(V8&gt;=50,"C",IF(V8&gt;=40,"S","W")))))))</f>
        <v/>
      </c>
      <c r="X8" s="191"/>
      <c r="Y8" s="205" t="str">
        <f t="shared" ref="Y8:Y62" si="1">IF(AND($D8="ab",$F8="ab",$H8="ab",$J8="ab",$L8="ab",$N8="ab",$P8="ab",$S8="ab",$V8="ab"),"-",IF(COUNT($D8:$W8)=0,"",(COUNTIF($D8:$W8,"A"))))</f>
        <v/>
      </c>
      <c r="Z8" s="206" t="str">
        <f t="shared" ref="Z8:Z62" si="2">IF(AND($D8="ab",$F8="ab",$H8="ab",$J8="ab",$L8="ab",$N8="ab",$P8="ab",$S8="ab",$V8="ab"),"-",IF(COUNT($D8:$W8)=0,"",(COUNTIF($D8:$W8,"B"))))</f>
        <v/>
      </c>
      <c r="AA8" s="206" t="str">
        <f t="shared" ref="AA8:AA62" si="3">IF(AND($D8="ab",$F8="ab",$H8="ab",$J8="ab",$L8="ab",$N8="ab",$P8="ab",$S8="ab",$V8="ab"),"-",IF(COUNT($D8:$W8)=0,"",(COUNTIF($D8:$W8,"C"))))</f>
        <v/>
      </c>
      <c r="AB8" s="206" t="str">
        <f t="shared" ref="AB8:AB62" si="4">IF(AND($D8="ab",$F8="ab",$H8="ab",$J8="ab",$L8="ab",$N8="ab",$P8="ab",$S8="ab",$V8="ab"),"-",IF(COUNT($D8:$W8)=0,"",(COUNTIF($D8:$W8,"S"))))</f>
        <v/>
      </c>
      <c r="AC8" s="207" t="str">
        <f t="shared" ref="AC8:AC62" si="5">IF(AND($D8="ab",$F8="ab",$H8="ab",$J8="ab",$L8="ab",$N8="ab",$P8="ab",$S8="ab",$V8="ab"),"-",IF(COUNT($D8:$W8)=0,"",(COUNTIF($D8:$W8,"W"))))</f>
        <v/>
      </c>
      <c r="AD8" s="208" t="str">
        <f t="shared" ref="AD8:AD62" si="6">IF(AND(D8="ab",F8="ab",H8="ab",J8="ab",L8="ab",N8="ab",P8="ab",S8="ab",V8="ab"),"ab",IF(AND(Y8="",Z8="",AA8="",AB8="",AC8=""),"",IF(AND((D8&gt;=40),(H8&gt;=40),(Y8+Z8+AA8+AB8)&gt;=6,(Y8+Z8+AA8)&gt;=3),"P","F")))</f>
        <v/>
      </c>
      <c r="AE8" s="209" t="str">
        <f>IF(AD8="","",IF(AD8="P","P",IF(AND(AD8="F",H8&gt;=40,D8&gt;=40,(Y8+Z8+AA8+AB8)&gt;=6,(Y8+Z8+AA8)=2),"Q1",IF(AND(AD8="F",(OR(H8&gt;=40,D8&gt;=40)),(Y8+Z8+AA8+AB8)&gt;=5,(Y8+Z8+AA8)&gt;=3),"Q2",IF((COUNTIF(D8:X8,"&gt;=40"))&gt;=5,"R1",IF((COUNTIF(D8:X8,"&gt;=20"))&gt;=5,"R2","F"))))))</f>
        <v/>
      </c>
      <c r="AF8" s="210" t="str">
        <f t="shared" ref="AF8:AF62" si="7">IF(AND(D8="",F8="",H8="",J8="",L8="",N8="",P8="",S8="",V8=""),"",IF(AND(D8="ab",F8="ab",H8="ab",J8="ab",L8="ab",N8="ab",P8="ab",S8="ab",V8="ab"),"ab",IF(COUNT(D8:W8)=0,"",(SUM(D8:V8)))))</f>
        <v/>
      </c>
      <c r="AG8" s="219" t="str">
        <f t="shared" ref="AG8:AG62" si="8">IF(AF8="","",IF(AF8="ab","ab",IF(AF8=0,0,(AVERAGE(D8:V8)))))</f>
        <v/>
      </c>
      <c r="AH8" s="207" t="str">
        <f t="shared" ref="AH8:AH62" si="9">IF(AF8="","",IF(AF8="ab","ab",(RANK(AF8,$AF$8:$AF$62))))</f>
        <v/>
      </c>
    </row>
    <row r="9" spans="1:34" s="167" customFormat="1" ht="12.75" customHeight="1">
      <c r="A9" s="181">
        <v>2</v>
      </c>
      <c r="B9" s="177"/>
      <c r="C9" s="182"/>
      <c r="D9" s="179"/>
      <c r="E9" s="180" t="str">
        <f t="shared" ref="E9:E62" si="10">IF(D9="","",IF(D9="ab","ab",IF(D9&gt;=75,"A",(IF(D9&gt;=65,"B",IF(D9&gt;=50,"C",IF(D9&gt;=40,"S","W")))))))</f>
        <v/>
      </c>
      <c r="F9" s="179"/>
      <c r="G9" s="180" t="str">
        <f t="shared" ref="G9:G62" si="11">IF(F9="","",IF(F9="ab","ab",IF(F9&gt;=75,"A",(IF(F9&gt;=65,"B",IF(F9&gt;=50,"C",IF(F9&gt;=40,"S","W")))))))</f>
        <v/>
      </c>
      <c r="H9" s="179"/>
      <c r="I9" s="180" t="str">
        <f t="shared" ref="I9:I62" si="12">IF(H9="","",IF(H9="ab","ab",IF(H9&gt;=75,"A",(IF(H9&gt;=65,"B",IF(H9&gt;=50,"C",IF(H9&gt;=40,"S","W")))))))</f>
        <v/>
      </c>
      <c r="J9" s="179"/>
      <c r="K9" s="180" t="str">
        <f t="shared" ref="K9:K62" si="13">IF(J9="","",IF(J9="ab","ab",IF(J9&gt;=75,"A",(IF(J9&gt;=65,"B",IF(J9&gt;=50,"C",IF(J9&gt;=40,"S","W")))))))</f>
        <v/>
      </c>
      <c r="L9" s="179"/>
      <c r="M9" s="180" t="str">
        <f t="shared" ref="M9:M62" si="14">IF(L9="","",IF(L9="ab","ab",IF(L9&gt;=75,"A",(IF(L9&gt;=65,"B",IF(L9&gt;=50,"C",IF(L9&gt;=40,"S","W")))))))</f>
        <v/>
      </c>
      <c r="N9" s="179"/>
      <c r="O9" s="180" t="str">
        <f t="shared" ref="O9:O62" si="15">IF(N9="","",IF(N9="ab","ab",IF(N9&gt;=75,"A",(IF(N9&gt;=65,"B",IF(N9&gt;=50,"C",IF(N9&gt;=40,"S","W")))))))</f>
        <v/>
      </c>
      <c r="P9" s="179"/>
      <c r="Q9" s="192" t="str">
        <f t="shared" si="0"/>
        <v/>
      </c>
      <c r="R9" s="193"/>
      <c r="S9" s="179"/>
      <c r="T9" s="192" t="str">
        <f t="shared" ref="T9:T62" si="16">IF(S9="","",IF(S9="ab","ab",IF(S9&gt;=75,"A",(IF(S9&gt;=65,"B",IF(S9&gt;=50,"C",IF(S9&gt;=40,"S","W")))))))</f>
        <v/>
      </c>
      <c r="U9" s="193"/>
      <c r="V9" s="179"/>
      <c r="W9" s="192" t="str">
        <f t="shared" ref="W9:W62" si="17">IF(V9="","",IF(V9="ab","ab",IF(V9&gt;=75,"A",(IF(V9&gt;=65,"B",IF(V9&gt;=50,"C",IF(V9&gt;=40,"S","W")))))))</f>
        <v/>
      </c>
      <c r="X9" s="194"/>
      <c r="Y9" s="205" t="str">
        <f t="shared" si="1"/>
        <v/>
      </c>
      <c r="Z9" s="206" t="str">
        <f t="shared" si="2"/>
        <v/>
      </c>
      <c r="AA9" s="206" t="str">
        <f t="shared" si="3"/>
        <v/>
      </c>
      <c r="AB9" s="206" t="str">
        <f t="shared" si="4"/>
        <v/>
      </c>
      <c r="AC9" s="207" t="str">
        <f t="shared" si="5"/>
        <v/>
      </c>
      <c r="AD9" s="208" t="str">
        <f t="shared" si="6"/>
        <v/>
      </c>
      <c r="AE9" s="209" t="str">
        <f t="shared" ref="AE9:AE62" si="18">IF(AD9="","",IF(AD9="P","P",IF(AND(AD9="F",H9&gt;=40,D9&gt;=40,(Y9+Z9+AA9+AB9)&gt;=6,(Y9+Z9+AA9)=2),"Q1",IF(AND(AD9="F",(OR(H9&gt;=40,D9&gt;=40)),(Y9+Z9+AA9+AB9)&gt;=5,(Y9+Z9+AA9)&gt;=3),"Q2",IF((COUNTIF(D9:X9,"&gt;=40"))&gt;=5,"R1",IF((COUNTIF(D9:X9,"&gt;=20"))&gt;=5,"R2","F"))))))</f>
        <v/>
      </c>
      <c r="AF9" s="210" t="str">
        <f t="shared" si="7"/>
        <v/>
      </c>
      <c r="AG9" s="219" t="str">
        <f t="shared" si="8"/>
        <v/>
      </c>
      <c r="AH9" s="207" t="str">
        <f t="shared" si="9"/>
        <v/>
      </c>
    </row>
    <row r="10" spans="1:34" s="167" customFormat="1" ht="12.75" customHeight="1">
      <c r="A10" s="181">
        <v>3</v>
      </c>
      <c r="B10" s="177"/>
      <c r="C10" s="182"/>
      <c r="D10" s="179"/>
      <c r="E10" s="180" t="str">
        <f t="shared" si="10"/>
        <v/>
      </c>
      <c r="F10" s="179"/>
      <c r="G10" s="180" t="str">
        <f t="shared" si="11"/>
        <v/>
      </c>
      <c r="H10" s="179"/>
      <c r="I10" s="180" t="str">
        <f t="shared" si="12"/>
        <v/>
      </c>
      <c r="J10" s="179"/>
      <c r="K10" s="180" t="str">
        <f t="shared" si="13"/>
        <v/>
      </c>
      <c r="L10" s="179"/>
      <c r="M10" s="180" t="str">
        <f t="shared" si="14"/>
        <v/>
      </c>
      <c r="N10" s="179"/>
      <c r="O10" s="180" t="str">
        <f t="shared" si="15"/>
        <v/>
      </c>
      <c r="P10" s="179"/>
      <c r="Q10" s="192" t="str">
        <f t="shared" si="0"/>
        <v/>
      </c>
      <c r="R10" s="193"/>
      <c r="S10" s="179"/>
      <c r="T10" s="192" t="str">
        <f t="shared" si="16"/>
        <v/>
      </c>
      <c r="U10" s="193"/>
      <c r="V10" s="179"/>
      <c r="W10" s="192" t="str">
        <f t="shared" si="17"/>
        <v/>
      </c>
      <c r="X10" s="194"/>
      <c r="Y10" s="205" t="str">
        <f t="shared" si="1"/>
        <v/>
      </c>
      <c r="Z10" s="206" t="str">
        <f t="shared" si="2"/>
        <v/>
      </c>
      <c r="AA10" s="206" t="str">
        <f t="shared" si="3"/>
        <v/>
      </c>
      <c r="AB10" s="206" t="str">
        <f t="shared" si="4"/>
        <v/>
      </c>
      <c r="AC10" s="207" t="str">
        <f t="shared" si="5"/>
        <v/>
      </c>
      <c r="AD10" s="208" t="str">
        <f t="shared" si="6"/>
        <v/>
      </c>
      <c r="AE10" s="209" t="str">
        <f t="shared" si="18"/>
        <v/>
      </c>
      <c r="AF10" s="210" t="str">
        <f t="shared" si="7"/>
        <v/>
      </c>
      <c r="AG10" s="219" t="str">
        <f t="shared" si="8"/>
        <v/>
      </c>
      <c r="AH10" s="207" t="str">
        <f t="shared" si="9"/>
        <v/>
      </c>
    </row>
    <row r="11" spans="1:34" s="167" customFormat="1" ht="12.75" customHeight="1">
      <c r="A11" s="181">
        <v>4</v>
      </c>
      <c r="B11" s="177"/>
      <c r="C11" s="182"/>
      <c r="D11" s="179"/>
      <c r="E11" s="180" t="str">
        <f t="shared" si="10"/>
        <v/>
      </c>
      <c r="F11" s="179"/>
      <c r="G11" s="180" t="str">
        <f t="shared" si="11"/>
        <v/>
      </c>
      <c r="H11" s="179"/>
      <c r="I11" s="180" t="str">
        <f t="shared" si="12"/>
        <v/>
      </c>
      <c r="J11" s="179"/>
      <c r="K11" s="180" t="str">
        <f t="shared" si="13"/>
        <v/>
      </c>
      <c r="L11" s="179"/>
      <c r="M11" s="180" t="str">
        <f t="shared" si="14"/>
        <v/>
      </c>
      <c r="N11" s="179"/>
      <c r="O11" s="180" t="str">
        <f t="shared" si="15"/>
        <v/>
      </c>
      <c r="P11" s="179"/>
      <c r="Q11" s="192" t="str">
        <f t="shared" si="0"/>
        <v/>
      </c>
      <c r="R11" s="193"/>
      <c r="S11" s="179"/>
      <c r="T11" s="192" t="str">
        <f t="shared" si="16"/>
        <v/>
      </c>
      <c r="U11" s="193"/>
      <c r="V11" s="179"/>
      <c r="W11" s="192" t="str">
        <f t="shared" si="17"/>
        <v/>
      </c>
      <c r="X11" s="194"/>
      <c r="Y11" s="205" t="str">
        <f t="shared" si="1"/>
        <v/>
      </c>
      <c r="Z11" s="206" t="str">
        <f t="shared" si="2"/>
        <v/>
      </c>
      <c r="AA11" s="206" t="str">
        <f t="shared" si="3"/>
        <v/>
      </c>
      <c r="AB11" s="206" t="str">
        <f t="shared" si="4"/>
        <v/>
      </c>
      <c r="AC11" s="207" t="str">
        <f t="shared" si="5"/>
        <v/>
      </c>
      <c r="AD11" s="208" t="str">
        <f t="shared" si="6"/>
        <v/>
      </c>
      <c r="AE11" s="209" t="str">
        <f t="shared" si="18"/>
        <v/>
      </c>
      <c r="AF11" s="210" t="str">
        <f t="shared" si="7"/>
        <v/>
      </c>
      <c r="AG11" s="219" t="str">
        <f t="shared" si="8"/>
        <v/>
      </c>
      <c r="AH11" s="207" t="str">
        <f t="shared" si="9"/>
        <v/>
      </c>
    </row>
    <row r="12" spans="1:34" s="167" customFormat="1" ht="12.75" customHeight="1">
      <c r="A12" s="181">
        <v>5</v>
      </c>
      <c r="B12" s="177"/>
      <c r="C12" s="182"/>
      <c r="D12" s="179"/>
      <c r="E12" s="180" t="str">
        <f t="shared" si="10"/>
        <v/>
      </c>
      <c r="F12" s="179"/>
      <c r="G12" s="180" t="str">
        <f t="shared" si="11"/>
        <v/>
      </c>
      <c r="H12" s="179"/>
      <c r="I12" s="180" t="str">
        <f t="shared" si="12"/>
        <v/>
      </c>
      <c r="J12" s="179"/>
      <c r="K12" s="180" t="str">
        <f t="shared" si="13"/>
        <v/>
      </c>
      <c r="L12" s="179"/>
      <c r="M12" s="180" t="str">
        <f t="shared" si="14"/>
        <v/>
      </c>
      <c r="N12" s="179"/>
      <c r="O12" s="180" t="str">
        <f t="shared" si="15"/>
        <v/>
      </c>
      <c r="P12" s="179"/>
      <c r="Q12" s="192" t="str">
        <f t="shared" si="0"/>
        <v/>
      </c>
      <c r="R12" s="193"/>
      <c r="S12" s="179"/>
      <c r="T12" s="192" t="str">
        <f t="shared" si="16"/>
        <v/>
      </c>
      <c r="U12" s="193"/>
      <c r="V12" s="179"/>
      <c r="W12" s="192" t="str">
        <f t="shared" si="17"/>
        <v/>
      </c>
      <c r="X12" s="194"/>
      <c r="Y12" s="205" t="str">
        <f t="shared" si="1"/>
        <v/>
      </c>
      <c r="Z12" s="206" t="str">
        <f t="shared" si="2"/>
        <v/>
      </c>
      <c r="AA12" s="206" t="str">
        <f t="shared" si="3"/>
        <v/>
      </c>
      <c r="AB12" s="206" t="str">
        <f t="shared" si="4"/>
        <v/>
      </c>
      <c r="AC12" s="207" t="str">
        <f t="shared" si="5"/>
        <v/>
      </c>
      <c r="AD12" s="208" t="str">
        <f t="shared" si="6"/>
        <v/>
      </c>
      <c r="AE12" s="209" t="str">
        <f t="shared" si="18"/>
        <v/>
      </c>
      <c r="AF12" s="210" t="str">
        <f t="shared" si="7"/>
        <v/>
      </c>
      <c r="AG12" s="219" t="str">
        <f t="shared" si="8"/>
        <v/>
      </c>
      <c r="AH12" s="207" t="str">
        <f t="shared" si="9"/>
        <v/>
      </c>
    </row>
    <row r="13" spans="1:34" s="167" customFormat="1" ht="12.75" customHeight="1">
      <c r="A13" s="181">
        <v>6</v>
      </c>
      <c r="B13" s="177"/>
      <c r="C13" s="182"/>
      <c r="D13" s="179"/>
      <c r="E13" s="180" t="str">
        <f t="shared" si="10"/>
        <v/>
      </c>
      <c r="F13" s="179"/>
      <c r="G13" s="180" t="str">
        <f t="shared" si="11"/>
        <v/>
      </c>
      <c r="H13" s="179"/>
      <c r="I13" s="180" t="str">
        <f t="shared" si="12"/>
        <v/>
      </c>
      <c r="J13" s="179"/>
      <c r="K13" s="180" t="str">
        <f t="shared" si="13"/>
        <v/>
      </c>
      <c r="L13" s="179"/>
      <c r="M13" s="180" t="str">
        <f t="shared" si="14"/>
        <v/>
      </c>
      <c r="N13" s="179"/>
      <c r="O13" s="180" t="str">
        <f t="shared" si="15"/>
        <v/>
      </c>
      <c r="P13" s="179"/>
      <c r="Q13" s="192" t="str">
        <f t="shared" si="0"/>
        <v/>
      </c>
      <c r="R13" s="193"/>
      <c r="S13" s="179"/>
      <c r="T13" s="192" t="str">
        <f t="shared" si="16"/>
        <v/>
      </c>
      <c r="U13" s="193"/>
      <c r="V13" s="179"/>
      <c r="W13" s="192" t="str">
        <f t="shared" si="17"/>
        <v/>
      </c>
      <c r="X13" s="194"/>
      <c r="Y13" s="205" t="str">
        <f t="shared" si="1"/>
        <v/>
      </c>
      <c r="Z13" s="206" t="str">
        <f t="shared" si="2"/>
        <v/>
      </c>
      <c r="AA13" s="206" t="str">
        <f t="shared" si="3"/>
        <v/>
      </c>
      <c r="AB13" s="206" t="str">
        <f t="shared" si="4"/>
        <v/>
      </c>
      <c r="AC13" s="207" t="str">
        <f t="shared" si="5"/>
        <v/>
      </c>
      <c r="AD13" s="208" t="str">
        <f t="shared" si="6"/>
        <v/>
      </c>
      <c r="AE13" s="209" t="str">
        <f t="shared" si="18"/>
        <v/>
      </c>
      <c r="AF13" s="210" t="str">
        <f t="shared" si="7"/>
        <v/>
      </c>
      <c r="AG13" s="219" t="str">
        <f t="shared" si="8"/>
        <v/>
      </c>
      <c r="AH13" s="207" t="str">
        <f t="shared" si="9"/>
        <v/>
      </c>
    </row>
    <row r="14" spans="1:34" s="167" customFormat="1" ht="12.75" customHeight="1">
      <c r="A14" s="181">
        <v>7</v>
      </c>
      <c r="B14" s="177"/>
      <c r="C14" s="182"/>
      <c r="D14" s="179"/>
      <c r="E14" s="180" t="str">
        <f t="shared" si="10"/>
        <v/>
      </c>
      <c r="F14" s="179"/>
      <c r="G14" s="180" t="str">
        <f t="shared" si="11"/>
        <v/>
      </c>
      <c r="H14" s="179"/>
      <c r="I14" s="180" t="str">
        <f t="shared" si="12"/>
        <v/>
      </c>
      <c r="J14" s="179"/>
      <c r="K14" s="180" t="str">
        <f t="shared" si="13"/>
        <v/>
      </c>
      <c r="L14" s="179"/>
      <c r="M14" s="180" t="str">
        <f t="shared" si="14"/>
        <v/>
      </c>
      <c r="N14" s="179"/>
      <c r="O14" s="180" t="str">
        <f t="shared" si="15"/>
        <v/>
      </c>
      <c r="P14" s="179"/>
      <c r="Q14" s="192" t="str">
        <f t="shared" si="0"/>
        <v/>
      </c>
      <c r="R14" s="193"/>
      <c r="S14" s="179"/>
      <c r="T14" s="192" t="str">
        <f t="shared" si="16"/>
        <v/>
      </c>
      <c r="U14" s="193"/>
      <c r="V14" s="179"/>
      <c r="W14" s="192" t="str">
        <f t="shared" si="17"/>
        <v/>
      </c>
      <c r="X14" s="194"/>
      <c r="Y14" s="205" t="str">
        <f t="shared" si="1"/>
        <v/>
      </c>
      <c r="Z14" s="206" t="str">
        <f t="shared" si="2"/>
        <v/>
      </c>
      <c r="AA14" s="206" t="str">
        <f t="shared" si="3"/>
        <v/>
      </c>
      <c r="AB14" s="206" t="str">
        <f t="shared" si="4"/>
        <v/>
      </c>
      <c r="AC14" s="207" t="str">
        <f t="shared" si="5"/>
        <v/>
      </c>
      <c r="AD14" s="208" t="str">
        <f t="shared" si="6"/>
        <v/>
      </c>
      <c r="AE14" s="209" t="str">
        <f t="shared" si="18"/>
        <v/>
      </c>
      <c r="AF14" s="210" t="str">
        <f t="shared" si="7"/>
        <v/>
      </c>
      <c r="AG14" s="219" t="str">
        <f t="shared" si="8"/>
        <v/>
      </c>
      <c r="AH14" s="207" t="str">
        <f t="shared" si="9"/>
        <v/>
      </c>
    </row>
    <row r="15" spans="1:34" s="167" customFormat="1" ht="12.75" customHeight="1">
      <c r="A15" s="181">
        <v>8</v>
      </c>
      <c r="B15" s="177"/>
      <c r="C15" s="182"/>
      <c r="D15" s="179"/>
      <c r="E15" s="180" t="str">
        <f t="shared" si="10"/>
        <v/>
      </c>
      <c r="F15" s="179"/>
      <c r="G15" s="180" t="str">
        <f t="shared" si="11"/>
        <v/>
      </c>
      <c r="H15" s="179"/>
      <c r="I15" s="180" t="str">
        <f t="shared" si="12"/>
        <v/>
      </c>
      <c r="J15" s="179"/>
      <c r="K15" s="180" t="str">
        <f t="shared" si="13"/>
        <v/>
      </c>
      <c r="L15" s="179"/>
      <c r="M15" s="180" t="str">
        <f t="shared" si="14"/>
        <v/>
      </c>
      <c r="N15" s="179"/>
      <c r="O15" s="180" t="str">
        <f t="shared" si="15"/>
        <v/>
      </c>
      <c r="P15" s="179"/>
      <c r="Q15" s="192" t="str">
        <f t="shared" si="0"/>
        <v/>
      </c>
      <c r="R15" s="193"/>
      <c r="S15" s="179"/>
      <c r="T15" s="192" t="str">
        <f t="shared" si="16"/>
        <v/>
      </c>
      <c r="U15" s="193"/>
      <c r="V15" s="179"/>
      <c r="W15" s="192" t="str">
        <f t="shared" si="17"/>
        <v/>
      </c>
      <c r="X15" s="194"/>
      <c r="Y15" s="205" t="str">
        <f t="shared" si="1"/>
        <v/>
      </c>
      <c r="Z15" s="206" t="str">
        <f t="shared" si="2"/>
        <v/>
      </c>
      <c r="AA15" s="206" t="str">
        <f t="shared" si="3"/>
        <v/>
      </c>
      <c r="AB15" s="206" t="str">
        <f t="shared" si="4"/>
        <v/>
      </c>
      <c r="AC15" s="207" t="str">
        <f t="shared" si="5"/>
        <v/>
      </c>
      <c r="AD15" s="208" t="str">
        <f t="shared" si="6"/>
        <v/>
      </c>
      <c r="AE15" s="209" t="str">
        <f t="shared" si="18"/>
        <v/>
      </c>
      <c r="AF15" s="210" t="str">
        <f t="shared" si="7"/>
        <v/>
      </c>
      <c r="AG15" s="219" t="str">
        <f t="shared" si="8"/>
        <v/>
      </c>
      <c r="AH15" s="207" t="str">
        <f t="shared" si="9"/>
        <v/>
      </c>
    </row>
    <row r="16" spans="1:34" s="167" customFormat="1" ht="12.75" customHeight="1">
      <c r="A16" s="181">
        <v>9</v>
      </c>
      <c r="B16" s="177"/>
      <c r="C16" s="182"/>
      <c r="D16" s="179"/>
      <c r="E16" s="180" t="str">
        <f t="shared" si="10"/>
        <v/>
      </c>
      <c r="F16" s="179"/>
      <c r="G16" s="180" t="str">
        <f t="shared" si="11"/>
        <v/>
      </c>
      <c r="H16" s="179"/>
      <c r="I16" s="180" t="str">
        <f t="shared" si="12"/>
        <v/>
      </c>
      <c r="J16" s="179"/>
      <c r="K16" s="180" t="str">
        <f t="shared" si="13"/>
        <v/>
      </c>
      <c r="L16" s="179"/>
      <c r="M16" s="180" t="str">
        <f t="shared" si="14"/>
        <v/>
      </c>
      <c r="N16" s="179"/>
      <c r="O16" s="180" t="str">
        <f t="shared" si="15"/>
        <v/>
      </c>
      <c r="P16" s="179"/>
      <c r="Q16" s="192" t="str">
        <f t="shared" si="0"/>
        <v/>
      </c>
      <c r="R16" s="193"/>
      <c r="S16" s="179"/>
      <c r="T16" s="192" t="str">
        <f t="shared" si="16"/>
        <v/>
      </c>
      <c r="U16" s="193"/>
      <c r="V16" s="179"/>
      <c r="W16" s="192" t="str">
        <f t="shared" si="17"/>
        <v/>
      </c>
      <c r="X16" s="194"/>
      <c r="Y16" s="205" t="str">
        <f t="shared" si="1"/>
        <v/>
      </c>
      <c r="Z16" s="206" t="str">
        <f t="shared" si="2"/>
        <v/>
      </c>
      <c r="AA16" s="206" t="str">
        <f t="shared" si="3"/>
        <v/>
      </c>
      <c r="AB16" s="206" t="str">
        <f t="shared" si="4"/>
        <v/>
      </c>
      <c r="AC16" s="207" t="str">
        <f t="shared" si="5"/>
        <v/>
      </c>
      <c r="AD16" s="208" t="str">
        <f t="shared" si="6"/>
        <v/>
      </c>
      <c r="AE16" s="209" t="str">
        <f t="shared" si="18"/>
        <v/>
      </c>
      <c r="AF16" s="210" t="str">
        <f t="shared" si="7"/>
        <v/>
      </c>
      <c r="AG16" s="219" t="str">
        <f t="shared" si="8"/>
        <v/>
      </c>
      <c r="AH16" s="207" t="str">
        <f t="shared" si="9"/>
        <v/>
      </c>
    </row>
    <row r="17" spans="1:34" s="167" customFormat="1" ht="12.75" customHeight="1">
      <c r="A17" s="181">
        <v>10</v>
      </c>
      <c r="B17" s="177"/>
      <c r="C17" s="182"/>
      <c r="D17" s="179"/>
      <c r="E17" s="180" t="str">
        <f t="shared" si="10"/>
        <v/>
      </c>
      <c r="F17" s="179"/>
      <c r="G17" s="180" t="str">
        <f t="shared" si="11"/>
        <v/>
      </c>
      <c r="H17" s="179"/>
      <c r="I17" s="180" t="str">
        <f t="shared" si="12"/>
        <v/>
      </c>
      <c r="J17" s="179"/>
      <c r="K17" s="180" t="str">
        <f t="shared" si="13"/>
        <v/>
      </c>
      <c r="L17" s="179"/>
      <c r="M17" s="180" t="str">
        <f t="shared" si="14"/>
        <v/>
      </c>
      <c r="N17" s="179"/>
      <c r="O17" s="180" t="str">
        <f t="shared" si="15"/>
        <v/>
      </c>
      <c r="P17" s="179"/>
      <c r="Q17" s="192" t="str">
        <f t="shared" si="0"/>
        <v/>
      </c>
      <c r="R17" s="193"/>
      <c r="S17" s="179"/>
      <c r="T17" s="192" t="str">
        <f t="shared" si="16"/>
        <v/>
      </c>
      <c r="U17" s="193"/>
      <c r="V17" s="179"/>
      <c r="W17" s="192" t="str">
        <f t="shared" si="17"/>
        <v/>
      </c>
      <c r="X17" s="194"/>
      <c r="Y17" s="205" t="str">
        <f t="shared" si="1"/>
        <v/>
      </c>
      <c r="Z17" s="206" t="str">
        <f t="shared" si="2"/>
        <v/>
      </c>
      <c r="AA17" s="206" t="str">
        <f t="shared" si="3"/>
        <v/>
      </c>
      <c r="AB17" s="206" t="str">
        <f t="shared" si="4"/>
        <v/>
      </c>
      <c r="AC17" s="207" t="str">
        <f t="shared" si="5"/>
        <v/>
      </c>
      <c r="AD17" s="208" t="str">
        <f t="shared" si="6"/>
        <v/>
      </c>
      <c r="AE17" s="209" t="str">
        <f t="shared" si="18"/>
        <v/>
      </c>
      <c r="AF17" s="210" t="str">
        <f t="shared" si="7"/>
        <v/>
      </c>
      <c r="AG17" s="219" t="str">
        <f t="shared" si="8"/>
        <v/>
      </c>
      <c r="AH17" s="207" t="str">
        <f t="shared" si="9"/>
        <v/>
      </c>
    </row>
    <row r="18" spans="1:34" s="167" customFormat="1" ht="12.75" customHeight="1">
      <c r="A18" s="181">
        <v>11</v>
      </c>
      <c r="B18" s="177"/>
      <c r="C18" s="182"/>
      <c r="D18" s="179"/>
      <c r="E18" s="180" t="str">
        <f t="shared" si="10"/>
        <v/>
      </c>
      <c r="F18" s="179"/>
      <c r="G18" s="180" t="str">
        <f t="shared" si="11"/>
        <v/>
      </c>
      <c r="H18" s="179"/>
      <c r="I18" s="180" t="str">
        <f t="shared" si="12"/>
        <v/>
      </c>
      <c r="J18" s="179"/>
      <c r="K18" s="180" t="str">
        <f t="shared" si="13"/>
        <v/>
      </c>
      <c r="L18" s="179"/>
      <c r="M18" s="180" t="str">
        <f t="shared" si="14"/>
        <v/>
      </c>
      <c r="N18" s="179"/>
      <c r="O18" s="180" t="str">
        <f t="shared" si="15"/>
        <v/>
      </c>
      <c r="P18" s="179"/>
      <c r="Q18" s="192" t="str">
        <f t="shared" si="0"/>
        <v/>
      </c>
      <c r="R18" s="193"/>
      <c r="S18" s="179"/>
      <c r="T18" s="192" t="str">
        <f t="shared" si="16"/>
        <v/>
      </c>
      <c r="U18" s="193"/>
      <c r="V18" s="179"/>
      <c r="W18" s="192" t="str">
        <f t="shared" si="17"/>
        <v/>
      </c>
      <c r="X18" s="194"/>
      <c r="Y18" s="205" t="str">
        <f t="shared" si="1"/>
        <v/>
      </c>
      <c r="Z18" s="206" t="str">
        <f t="shared" si="2"/>
        <v/>
      </c>
      <c r="AA18" s="206" t="str">
        <f t="shared" si="3"/>
        <v/>
      </c>
      <c r="AB18" s="206" t="str">
        <f t="shared" si="4"/>
        <v/>
      </c>
      <c r="AC18" s="207" t="str">
        <f t="shared" si="5"/>
        <v/>
      </c>
      <c r="AD18" s="208" t="str">
        <f t="shared" si="6"/>
        <v/>
      </c>
      <c r="AE18" s="209" t="str">
        <f t="shared" si="18"/>
        <v/>
      </c>
      <c r="AF18" s="210" t="str">
        <f t="shared" si="7"/>
        <v/>
      </c>
      <c r="AG18" s="219" t="str">
        <f t="shared" si="8"/>
        <v/>
      </c>
      <c r="AH18" s="207" t="str">
        <f t="shared" si="9"/>
        <v/>
      </c>
    </row>
    <row r="19" spans="1:34" s="167" customFormat="1" ht="12.75" customHeight="1">
      <c r="A19" s="181">
        <v>12</v>
      </c>
      <c r="B19" s="177"/>
      <c r="C19" s="182"/>
      <c r="D19" s="179"/>
      <c r="E19" s="180" t="str">
        <f t="shared" si="10"/>
        <v/>
      </c>
      <c r="F19" s="179"/>
      <c r="G19" s="180" t="str">
        <f t="shared" si="11"/>
        <v/>
      </c>
      <c r="H19" s="179"/>
      <c r="I19" s="180" t="str">
        <f t="shared" si="12"/>
        <v/>
      </c>
      <c r="J19" s="179"/>
      <c r="K19" s="180" t="str">
        <f t="shared" si="13"/>
        <v/>
      </c>
      <c r="L19" s="179"/>
      <c r="M19" s="180" t="str">
        <f t="shared" si="14"/>
        <v/>
      </c>
      <c r="N19" s="179"/>
      <c r="O19" s="180" t="str">
        <f t="shared" si="15"/>
        <v/>
      </c>
      <c r="P19" s="179"/>
      <c r="Q19" s="192" t="str">
        <f t="shared" si="0"/>
        <v/>
      </c>
      <c r="R19" s="193"/>
      <c r="S19" s="179"/>
      <c r="T19" s="192" t="str">
        <f t="shared" si="16"/>
        <v/>
      </c>
      <c r="U19" s="193"/>
      <c r="V19" s="179"/>
      <c r="W19" s="192" t="str">
        <f t="shared" si="17"/>
        <v/>
      </c>
      <c r="X19" s="194"/>
      <c r="Y19" s="205" t="str">
        <f t="shared" si="1"/>
        <v/>
      </c>
      <c r="Z19" s="206" t="str">
        <f t="shared" si="2"/>
        <v/>
      </c>
      <c r="AA19" s="206" t="str">
        <f t="shared" si="3"/>
        <v/>
      </c>
      <c r="AB19" s="206" t="str">
        <f t="shared" si="4"/>
        <v/>
      </c>
      <c r="AC19" s="207" t="str">
        <f t="shared" si="5"/>
        <v/>
      </c>
      <c r="AD19" s="208" t="str">
        <f t="shared" si="6"/>
        <v/>
      </c>
      <c r="AE19" s="209" t="str">
        <f t="shared" si="18"/>
        <v/>
      </c>
      <c r="AF19" s="210" t="str">
        <f t="shared" si="7"/>
        <v/>
      </c>
      <c r="AG19" s="219" t="str">
        <f t="shared" si="8"/>
        <v/>
      </c>
      <c r="AH19" s="207" t="str">
        <f t="shared" si="9"/>
        <v/>
      </c>
    </row>
    <row r="20" spans="1:34" s="167" customFormat="1" ht="12.75" customHeight="1">
      <c r="A20" s="181">
        <v>13</v>
      </c>
      <c r="B20" s="177"/>
      <c r="C20" s="182"/>
      <c r="D20" s="179"/>
      <c r="E20" s="180" t="str">
        <f t="shared" si="10"/>
        <v/>
      </c>
      <c r="F20" s="179"/>
      <c r="G20" s="180" t="str">
        <f t="shared" si="11"/>
        <v/>
      </c>
      <c r="H20" s="179"/>
      <c r="I20" s="180" t="str">
        <f t="shared" si="12"/>
        <v/>
      </c>
      <c r="J20" s="179"/>
      <c r="K20" s="180" t="str">
        <f t="shared" si="13"/>
        <v/>
      </c>
      <c r="L20" s="179"/>
      <c r="M20" s="180" t="str">
        <f t="shared" si="14"/>
        <v/>
      </c>
      <c r="N20" s="179"/>
      <c r="O20" s="180" t="str">
        <f t="shared" si="15"/>
        <v/>
      </c>
      <c r="P20" s="179"/>
      <c r="Q20" s="192" t="str">
        <f t="shared" si="0"/>
        <v/>
      </c>
      <c r="R20" s="193"/>
      <c r="S20" s="179"/>
      <c r="T20" s="192" t="str">
        <f t="shared" si="16"/>
        <v/>
      </c>
      <c r="U20" s="193"/>
      <c r="V20" s="179"/>
      <c r="W20" s="192" t="str">
        <f t="shared" si="17"/>
        <v/>
      </c>
      <c r="X20" s="194"/>
      <c r="Y20" s="205" t="str">
        <f t="shared" si="1"/>
        <v/>
      </c>
      <c r="Z20" s="206" t="str">
        <f t="shared" si="2"/>
        <v/>
      </c>
      <c r="AA20" s="206" t="str">
        <f t="shared" si="3"/>
        <v/>
      </c>
      <c r="AB20" s="206" t="str">
        <f t="shared" si="4"/>
        <v/>
      </c>
      <c r="AC20" s="207" t="str">
        <f t="shared" si="5"/>
        <v/>
      </c>
      <c r="AD20" s="208" t="str">
        <f t="shared" si="6"/>
        <v/>
      </c>
      <c r="AE20" s="209" t="str">
        <f t="shared" si="18"/>
        <v/>
      </c>
      <c r="AF20" s="210" t="str">
        <f t="shared" si="7"/>
        <v/>
      </c>
      <c r="AG20" s="219" t="str">
        <f t="shared" si="8"/>
        <v/>
      </c>
      <c r="AH20" s="207" t="str">
        <f t="shared" si="9"/>
        <v/>
      </c>
    </row>
    <row r="21" spans="1:34" s="167" customFormat="1" ht="12.75" customHeight="1">
      <c r="A21" s="181">
        <v>14</v>
      </c>
      <c r="B21" s="177"/>
      <c r="C21" s="182"/>
      <c r="D21" s="179"/>
      <c r="E21" s="180" t="str">
        <f t="shared" si="10"/>
        <v/>
      </c>
      <c r="F21" s="179"/>
      <c r="G21" s="180" t="str">
        <f t="shared" si="11"/>
        <v/>
      </c>
      <c r="H21" s="179"/>
      <c r="I21" s="180" t="str">
        <f t="shared" si="12"/>
        <v/>
      </c>
      <c r="J21" s="179"/>
      <c r="K21" s="180" t="str">
        <f t="shared" si="13"/>
        <v/>
      </c>
      <c r="L21" s="179"/>
      <c r="M21" s="180" t="str">
        <f t="shared" si="14"/>
        <v/>
      </c>
      <c r="N21" s="179"/>
      <c r="O21" s="180" t="str">
        <f t="shared" si="15"/>
        <v/>
      </c>
      <c r="P21" s="179"/>
      <c r="Q21" s="192" t="str">
        <f t="shared" si="0"/>
        <v/>
      </c>
      <c r="R21" s="193"/>
      <c r="S21" s="179"/>
      <c r="T21" s="192" t="str">
        <f t="shared" si="16"/>
        <v/>
      </c>
      <c r="U21" s="193"/>
      <c r="V21" s="179"/>
      <c r="W21" s="192" t="str">
        <f t="shared" si="17"/>
        <v/>
      </c>
      <c r="X21" s="194"/>
      <c r="Y21" s="205" t="str">
        <f t="shared" si="1"/>
        <v/>
      </c>
      <c r="Z21" s="206" t="str">
        <f t="shared" si="2"/>
        <v/>
      </c>
      <c r="AA21" s="206" t="str">
        <f t="shared" si="3"/>
        <v/>
      </c>
      <c r="AB21" s="206" t="str">
        <f t="shared" si="4"/>
        <v/>
      </c>
      <c r="AC21" s="207" t="str">
        <f t="shared" si="5"/>
        <v/>
      </c>
      <c r="AD21" s="208" t="str">
        <f t="shared" si="6"/>
        <v/>
      </c>
      <c r="AE21" s="209" t="str">
        <f t="shared" si="18"/>
        <v/>
      </c>
      <c r="AF21" s="210" t="str">
        <f t="shared" si="7"/>
        <v/>
      </c>
      <c r="AG21" s="219" t="str">
        <f t="shared" si="8"/>
        <v/>
      </c>
      <c r="AH21" s="207" t="str">
        <f t="shared" si="9"/>
        <v/>
      </c>
    </row>
    <row r="22" spans="1:34" s="167" customFormat="1" ht="12.75" customHeight="1">
      <c r="A22" s="181">
        <v>15</v>
      </c>
      <c r="B22" s="177"/>
      <c r="C22" s="182"/>
      <c r="D22" s="179"/>
      <c r="E22" s="180" t="str">
        <f t="shared" si="10"/>
        <v/>
      </c>
      <c r="F22" s="179"/>
      <c r="G22" s="180" t="str">
        <f t="shared" si="11"/>
        <v/>
      </c>
      <c r="H22" s="179"/>
      <c r="I22" s="180" t="str">
        <f t="shared" si="12"/>
        <v/>
      </c>
      <c r="J22" s="179"/>
      <c r="K22" s="180" t="str">
        <f t="shared" si="13"/>
        <v/>
      </c>
      <c r="L22" s="179"/>
      <c r="M22" s="180" t="str">
        <f t="shared" si="14"/>
        <v/>
      </c>
      <c r="N22" s="179"/>
      <c r="O22" s="180" t="str">
        <f t="shared" si="15"/>
        <v/>
      </c>
      <c r="P22" s="179"/>
      <c r="Q22" s="192" t="str">
        <f t="shared" si="0"/>
        <v/>
      </c>
      <c r="R22" s="193"/>
      <c r="S22" s="179"/>
      <c r="T22" s="192" t="str">
        <f t="shared" si="16"/>
        <v/>
      </c>
      <c r="U22" s="193"/>
      <c r="V22" s="179"/>
      <c r="W22" s="192" t="str">
        <f t="shared" si="17"/>
        <v/>
      </c>
      <c r="X22" s="194"/>
      <c r="Y22" s="205" t="str">
        <f t="shared" si="1"/>
        <v/>
      </c>
      <c r="Z22" s="206" t="str">
        <f t="shared" si="2"/>
        <v/>
      </c>
      <c r="AA22" s="206" t="str">
        <f t="shared" si="3"/>
        <v/>
      </c>
      <c r="AB22" s="206" t="str">
        <f t="shared" si="4"/>
        <v/>
      </c>
      <c r="AC22" s="207" t="str">
        <f t="shared" si="5"/>
        <v/>
      </c>
      <c r="AD22" s="208" t="str">
        <f t="shared" si="6"/>
        <v/>
      </c>
      <c r="AE22" s="209" t="str">
        <f t="shared" si="18"/>
        <v/>
      </c>
      <c r="AF22" s="210" t="str">
        <f t="shared" si="7"/>
        <v/>
      </c>
      <c r="AG22" s="219" t="str">
        <f t="shared" si="8"/>
        <v/>
      </c>
      <c r="AH22" s="207" t="str">
        <f t="shared" si="9"/>
        <v/>
      </c>
    </row>
    <row r="23" spans="1:34" s="167" customFormat="1" ht="12.75" customHeight="1">
      <c r="A23" s="181">
        <v>16</v>
      </c>
      <c r="B23" s="177"/>
      <c r="C23" s="182"/>
      <c r="D23" s="179"/>
      <c r="E23" s="180" t="str">
        <f t="shared" si="10"/>
        <v/>
      </c>
      <c r="F23" s="179"/>
      <c r="G23" s="180" t="str">
        <f t="shared" si="11"/>
        <v/>
      </c>
      <c r="H23" s="179"/>
      <c r="I23" s="180" t="str">
        <f t="shared" si="12"/>
        <v/>
      </c>
      <c r="J23" s="179"/>
      <c r="K23" s="180" t="str">
        <f t="shared" si="13"/>
        <v/>
      </c>
      <c r="L23" s="179"/>
      <c r="M23" s="180" t="str">
        <f t="shared" si="14"/>
        <v/>
      </c>
      <c r="N23" s="179"/>
      <c r="O23" s="180" t="str">
        <f t="shared" si="15"/>
        <v/>
      </c>
      <c r="P23" s="179"/>
      <c r="Q23" s="192" t="str">
        <f t="shared" si="0"/>
        <v/>
      </c>
      <c r="R23" s="193"/>
      <c r="S23" s="179"/>
      <c r="T23" s="192" t="str">
        <f t="shared" si="16"/>
        <v/>
      </c>
      <c r="U23" s="193"/>
      <c r="V23" s="179"/>
      <c r="W23" s="192" t="str">
        <f t="shared" si="17"/>
        <v/>
      </c>
      <c r="X23" s="194"/>
      <c r="Y23" s="205" t="str">
        <f t="shared" si="1"/>
        <v/>
      </c>
      <c r="Z23" s="206" t="str">
        <f t="shared" si="2"/>
        <v/>
      </c>
      <c r="AA23" s="206" t="str">
        <f t="shared" si="3"/>
        <v/>
      </c>
      <c r="AB23" s="206" t="str">
        <f t="shared" si="4"/>
        <v/>
      </c>
      <c r="AC23" s="207" t="str">
        <f t="shared" si="5"/>
        <v/>
      </c>
      <c r="AD23" s="208" t="str">
        <f t="shared" si="6"/>
        <v/>
      </c>
      <c r="AE23" s="209" t="str">
        <f t="shared" si="18"/>
        <v/>
      </c>
      <c r="AF23" s="210" t="str">
        <f t="shared" si="7"/>
        <v/>
      </c>
      <c r="AG23" s="219" t="str">
        <f t="shared" si="8"/>
        <v/>
      </c>
      <c r="AH23" s="207" t="str">
        <f t="shared" si="9"/>
        <v/>
      </c>
    </row>
    <row r="24" spans="1:34" s="167" customFormat="1" ht="12.75" customHeight="1">
      <c r="A24" s="181">
        <v>17</v>
      </c>
      <c r="B24" s="177"/>
      <c r="C24" s="182"/>
      <c r="D24" s="179"/>
      <c r="E24" s="180" t="str">
        <f t="shared" si="10"/>
        <v/>
      </c>
      <c r="F24" s="179"/>
      <c r="G24" s="180" t="str">
        <f t="shared" si="11"/>
        <v/>
      </c>
      <c r="H24" s="179"/>
      <c r="I24" s="180" t="str">
        <f t="shared" si="12"/>
        <v/>
      </c>
      <c r="J24" s="179"/>
      <c r="K24" s="180" t="str">
        <f t="shared" si="13"/>
        <v/>
      </c>
      <c r="L24" s="179"/>
      <c r="M24" s="180" t="str">
        <f t="shared" si="14"/>
        <v/>
      </c>
      <c r="N24" s="179"/>
      <c r="O24" s="180" t="str">
        <f t="shared" si="15"/>
        <v/>
      </c>
      <c r="P24" s="179"/>
      <c r="Q24" s="192" t="str">
        <f t="shared" si="0"/>
        <v/>
      </c>
      <c r="R24" s="193"/>
      <c r="S24" s="179"/>
      <c r="T24" s="192" t="str">
        <f t="shared" si="16"/>
        <v/>
      </c>
      <c r="U24" s="193"/>
      <c r="V24" s="179"/>
      <c r="W24" s="192" t="str">
        <f t="shared" si="17"/>
        <v/>
      </c>
      <c r="X24" s="194"/>
      <c r="Y24" s="205" t="str">
        <f t="shared" si="1"/>
        <v/>
      </c>
      <c r="Z24" s="206" t="str">
        <f t="shared" si="2"/>
        <v/>
      </c>
      <c r="AA24" s="206" t="str">
        <f t="shared" si="3"/>
        <v/>
      </c>
      <c r="AB24" s="206" t="str">
        <f t="shared" si="4"/>
        <v/>
      </c>
      <c r="AC24" s="207" t="str">
        <f t="shared" si="5"/>
        <v/>
      </c>
      <c r="AD24" s="208" t="str">
        <f t="shared" si="6"/>
        <v/>
      </c>
      <c r="AE24" s="209" t="str">
        <f t="shared" si="18"/>
        <v/>
      </c>
      <c r="AF24" s="210" t="str">
        <f t="shared" si="7"/>
        <v/>
      </c>
      <c r="AG24" s="219" t="str">
        <f t="shared" si="8"/>
        <v/>
      </c>
      <c r="AH24" s="207" t="str">
        <f t="shared" si="9"/>
        <v/>
      </c>
    </row>
    <row r="25" spans="1:34" s="167" customFormat="1" ht="12.75" customHeight="1">
      <c r="A25" s="181">
        <v>18</v>
      </c>
      <c r="B25" s="177"/>
      <c r="C25" s="182"/>
      <c r="D25" s="179"/>
      <c r="E25" s="180" t="str">
        <f t="shared" si="10"/>
        <v/>
      </c>
      <c r="F25" s="179"/>
      <c r="G25" s="180" t="str">
        <f t="shared" si="11"/>
        <v/>
      </c>
      <c r="H25" s="179"/>
      <c r="I25" s="180" t="str">
        <f t="shared" si="12"/>
        <v/>
      </c>
      <c r="J25" s="179"/>
      <c r="K25" s="180" t="str">
        <f t="shared" si="13"/>
        <v/>
      </c>
      <c r="L25" s="179"/>
      <c r="M25" s="180" t="str">
        <f t="shared" si="14"/>
        <v/>
      </c>
      <c r="N25" s="179"/>
      <c r="O25" s="180" t="str">
        <f t="shared" si="15"/>
        <v/>
      </c>
      <c r="P25" s="179"/>
      <c r="Q25" s="192" t="str">
        <f t="shared" si="0"/>
        <v/>
      </c>
      <c r="R25" s="193"/>
      <c r="S25" s="179"/>
      <c r="T25" s="192" t="str">
        <f t="shared" si="16"/>
        <v/>
      </c>
      <c r="U25" s="193"/>
      <c r="V25" s="179"/>
      <c r="W25" s="192" t="str">
        <f t="shared" si="17"/>
        <v/>
      </c>
      <c r="X25" s="194"/>
      <c r="Y25" s="205" t="str">
        <f t="shared" si="1"/>
        <v/>
      </c>
      <c r="Z25" s="206" t="str">
        <f t="shared" si="2"/>
        <v/>
      </c>
      <c r="AA25" s="206" t="str">
        <f t="shared" si="3"/>
        <v/>
      </c>
      <c r="AB25" s="206" t="str">
        <f t="shared" si="4"/>
        <v/>
      </c>
      <c r="AC25" s="207" t="str">
        <f t="shared" si="5"/>
        <v/>
      </c>
      <c r="AD25" s="208" t="str">
        <f t="shared" si="6"/>
        <v/>
      </c>
      <c r="AE25" s="209" t="str">
        <f t="shared" si="18"/>
        <v/>
      </c>
      <c r="AF25" s="210" t="str">
        <f t="shared" si="7"/>
        <v/>
      </c>
      <c r="AG25" s="219" t="str">
        <f t="shared" si="8"/>
        <v/>
      </c>
      <c r="AH25" s="207" t="str">
        <f t="shared" si="9"/>
        <v/>
      </c>
    </row>
    <row r="26" spans="1:34" s="167" customFormat="1" ht="12.75" customHeight="1">
      <c r="A26" s="181">
        <v>19</v>
      </c>
      <c r="B26" s="177"/>
      <c r="C26" s="182"/>
      <c r="D26" s="179"/>
      <c r="E26" s="180" t="str">
        <f t="shared" si="10"/>
        <v/>
      </c>
      <c r="F26" s="179"/>
      <c r="G26" s="180" t="str">
        <f t="shared" si="11"/>
        <v/>
      </c>
      <c r="H26" s="179"/>
      <c r="I26" s="180" t="str">
        <f t="shared" si="12"/>
        <v/>
      </c>
      <c r="J26" s="179"/>
      <c r="K26" s="180" t="str">
        <f t="shared" si="13"/>
        <v/>
      </c>
      <c r="L26" s="179"/>
      <c r="M26" s="180" t="str">
        <f t="shared" si="14"/>
        <v/>
      </c>
      <c r="N26" s="179"/>
      <c r="O26" s="180" t="str">
        <f t="shared" si="15"/>
        <v/>
      </c>
      <c r="P26" s="179"/>
      <c r="Q26" s="192" t="str">
        <f t="shared" si="0"/>
        <v/>
      </c>
      <c r="R26" s="193"/>
      <c r="S26" s="179"/>
      <c r="T26" s="192" t="str">
        <f t="shared" si="16"/>
        <v/>
      </c>
      <c r="U26" s="193"/>
      <c r="V26" s="179"/>
      <c r="W26" s="192" t="str">
        <f t="shared" si="17"/>
        <v/>
      </c>
      <c r="X26" s="194"/>
      <c r="Y26" s="205" t="str">
        <f t="shared" si="1"/>
        <v/>
      </c>
      <c r="Z26" s="206" t="str">
        <f t="shared" si="2"/>
        <v/>
      </c>
      <c r="AA26" s="206" t="str">
        <f t="shared" si="3"/>
        <v/>
      </c>
      <c r="AB26" s="206" t="str">
        <f t="shared" si="4"/>
        <v/>
      </c>
      <c r="AC26" s="207" t="str">
        <f t="shared" si="5"/>
        <v/>
      </c>
      <c r="AD26" s="208" t="str">
        <f t="shared" si="6"/>
        <v/>
      </c>
      <c r="AE26" s="209" t="str">
        <f t="shared" si="18"/>
        <v/>
      </c>
      <c r="AF26" s="210" t="str">
        <f t="shared" si="7"/>
        <v/>
      </c>
      <c r="AG26" s="219" t="str">
        <f t="shared" si="8"/>
        <v/>
      </c>
      <c r="AH26" s="207" t="str">
        <f t="shared" si="9"/>
        <v/>
      </c>
    </row>
    <row r="27" spans="1:34" s="167" customFormat="1" ht="12.75" customHeight="1">
      <c r="A27" s="181">
        <v>20</v>
      </c>
      <c r="B27" s="177"/>
      <c r="C27" s="182"/>
      <c r="D27" s="179"/>
      <c r="E27" s="180" t="str">
        <f t="shared" si="10"/>
        <v/>
      </c>
      <c r="F27" s="179"/>
      <c r="G27" s="180" t="str">
        <f t="shared" si="11"/>
        <v/>
      </c>
      <c r="H27" s="179"/>
      <c r="I27" s="180" t="str">
        <f t="shared" si="12"/>
        <v/>
      </c>
      <c r="J27" s="179"/>
      <c r="K27" s="180" t="str">
        <f t="shared" si="13"/>
        <v/>
      </c>
      <c r="L27" s="179"/>
      <c r="M27" s="180" t="str">
        <f t="shared" si="14"/>
        <v/>
      </c>
      <c r="N27" s="179"/>
      <c r="O27" s="180" t="str">
        <f t="shared" si="15"/>
        <v/>
      </c>
      <c r="P27" s="179"/>
      <c r="Q27" s="192" t="str">
        <f t="shared" si="0"/>
        <v/>
      </c>
      <c r="R27" s="193"/>
      <c r="S27" s="179"/>
      <c r="T27" s="192" t="str">
        <f t="shared" si="16"/>
        <v/>
      </c>
      <c r="U27" s="193"/>
      <c r="V27" s="179"/>
      <c r="W27" s="192" t="str">
        <f t="shared" si="17"/>
        <v/>
      </c>
      <c r="X27" s="194"/>
      <c r="Y27" s="205" t="str">
        <f t="shared" si="1"/>
        <v/>
      </c>
      <c r="Z27" s="206" t="str">
        <f t="shared" si="2"/>
        <v/>
      </c>
      <c r="AA27" s="206" t="str">
        <f t="shared" si="3"/>
        <v/>
      </c>
      <c r="AB27" s="206" t="str">
        <f t="shared" si="4"/>
        <v/>
      </c>
      <c r="AC27" s="207" t="str">
        <f t="shared" si="5"/>
        <v/>
      </c>
      <c r="AD27" s="208" t="str">
        <f t="shared" si="6"/>
        <v/>
      </c>
      <c r="AE27" s="209" t="str">
        <f t="shared" si="18"/>
        <v/>
      </c>
      <c r="AF27" s="210" t="str">
        <f t="shared" si="7"/>
        <v/>
      </c>
      <c r="AG27" s="219" t="str">
        <f t="shared" si="8"/>
        <v/>
      </c>
      <c r="AH27" s="207" t="str">
        <f t="shared" si="9"/>
        <v/>
      </c>
    </row>
    <row r="28" spans="1:34" s="167" customFormat="1" ht="12.75" customHeight="1">
      <c r="A28" s="181">
        <v>21</v>
      </c>
      <c r="B28" s="177"/>
      <c r="C28" s="182"/>
      <c r="D28" s="179"/>
      <c r="E28" s="180" t="str">
        <f t="shared" si="10"/>
        <v/>
      </c>
      <c r="F28" s="179"/>
      <c r="G28" s="180" t="str">
        <f t="shared" si="11"/>
        <v/>
      </c>
      <c r="H28" s="179"/>
      <c r="I28" s="180" t="str">
        <f t="shared" si="12"/>
        <v/>
      </c>
      <c r="J28" s="179"/>
      <c r="K28" s="180" t="str">
        <f t="shared" si="13"/>
        <v/>
      </c>
      <c r="L28" s="179"/>
      <c r="M28" s="180" t="str">
        <f t="shared" si="14"/>
        <v/>
      </c>
      <c r="N28" s="179"/>
      <c r="O28" s="180" t="str">
        <f t="shared" si="15"/>
        <v/>
      </c>
      <c r="P28" s="179"/>
      <c r="Q28" s="192" t="str">
        <f t="shared" si="0"/>
        <v/>
      </c>
      <c r="R28" s="193"/>
      <c r="S28" s="179"/>
      <c r="T28" s="192" t="str">
        <f t="shared" si="16"/>
        <v/>
      </c>
      <c r="U28" s="193"/>
      <c r="V28" s="179"/>
      <c r="W28" s="192" t="str">
        <f t="shared" si="17"/>
        <v/>
      </c>
      <c r="X28" s="194"/>
      <c r="Y28" s="205" t="str">
        <f t="shared" si="1"/>
        <v/>
      </c>
      <c r="Z28" s="206" t="str">
        <f t="shared" si="2"/>
        <v/>
      </c>
      <c r="AA28" s="206" t="str">
        <f t="shared" si="3"/>
        <v/>
      </c>
      <c r="AB28" s="206" t="str">
        <f t="shared" si="4"/>
        <v/>
      </c>
      <c r="AC28" s="207" t="str">
        <f t="shared" si="5"/>
        <v/>
      </c>
      <c r="AD28" s="208" t="str">
        <f t="shared" si="6"/>
        <v/>
      </c>
      <c r="AE28" s="209" t="str">
        <f t="shared" si="18"/>
        <v/>
      </c>
      <c r="AF28" s="210" t="str">
        <f t="shared" si="7"/>
        <v/>
      </c>
      <c r="AG28" s="219" t="str">
        <f t="shared" si="8"/>
        <v/>
      </c>
      <c r="AH28" s="207" t="str">
        <f t="shared" si="9"/>
        <v/>
      </c>
    </row>
    <row r="29" spans="1:34" s="167" customFormat="1" ht="12.75" customHeight="1">
      <c r="A29" s="181">
        <v>22</v>
      </c>
      <c r="B29" s="177"/>
      <c r="C29" s="182"/>
      <c r="D29" s="179"/>
      <c r="E29" s="180" t="str">
        <f t="shared" si="10"/>
        <v/>
      </c>
      <c r="F29" s="179"/>
      <c r="G29" s="180" t="str">
        <f t="shared" si="11"/>
        <v/>
      </c>
      <c r="H29" s="179"/>
      <c r="I29" s="180" t="str">
        <f t="shared" si="12"/>
        <v/>
      </c>
      <c r="J29" s="179"/>
      <c r="K29" s="180" t="str">
        <f t="shared" si="13"/>
        <v/>
      </c>
      <c r="L29" s="179"/>
      <c r="M29" s="180" t="str">
        <f t="shared" si="14"/>
        <v/>
      </c>
      <c r="N29" s="179"/>
      <c r="O29" s="180" t="str">
        <f t="shared" si="15"/>
        <v/>
      </c>
      <c r="P29" s="179"/>
      <c r="Q29" s="192" t="str">
        <f t="shared" si="0"/>
        <v/>
      </c>
      <c r="R29" s="193"/>
      <c r="S29" s="179"/>
      <c r="T29" s="192" t="str">
        <f t="shared" si="16"/>
        <v/>
      </c>
      <c r="U29" s="193"/>
      <c r="V29" s="179"/>
      <c r="W29" s="192" t="str">
        <f t="shared" si="17"/>
        <v/>
      </c>
      <c r="X29" s="194"/>
      <c r="Y29" s="205" t="str">
        <f t="shared" si="1"/>
        <v/>
      </c>
      <c r="Z29" s="206" t="str">
        <f t="shared" si="2"/>
        <v/>
      </c>
      <c r="AA29" s="206" t="str">
        <f t="shared" si="3"/>
        <v/>
      </c>
      <c r="AB29" s="206" t="str">
        <f t="shared" si="4"/>
        <v/>
      </c>
      <c r="AC29" s="207" t="str">
        <f t="shared" si="5"/>
        <v/>
      </c>
      <c r="AD29" s="208" t="str">
        <f t="shared" si="6"/>
        <v/>
      </c>
      <c r="AE29" s="209" t="str">
        <f t="shared" si="18"/>
        <v/>
      </c>
      <c r="AF29" s="210" t="str">
        <f t="shared" si="7"/>
        <v/>
      </c>
      <c r="AG29" s="219" t="str">
        <f t="shared" si="8"/>
        <v/>
      </c>
      <c r="AH29" s="207" t="str">
        <f t="shared" si="9"/>
        <v/>
      </c>
    </row>
    <row r="30" spans="1:34" s="167" customFormat="1" ht="12.75" customHeight="1">
      <c r="A30" s="181">
        <v>23</v>
      </c>
      <c r="B30" s="177"/>
      <c r="C30" s="182"/>
      <c r="D30" s="179"/>
      <c r="E30" s="180" t="str">
        <f t="shared" si="10"/>
        <v/>
      </c>
      <c r="F30" s="179"/>
      <c r="G30" s="180" t="str">
        <f t="shared" si="11"/>
        <v/>
      </c>
      <c r="H30" s="179"/>
      <c r="I30" s="180" t="str">
        <f t="shared" si="12"/>
        <v/>
      </c>
      <c r="J30" s="179"/>
      <c r="K30" s="180" t="str">
        <f t="shared" si="13"/>
        <v/>
      </c>
      <c r="L30" s="179"/>
      <c r="M30" s="180" t="str">
        <f t="shared" si="14"/>
        <v/>
      </c>
      <c r="N30" s="179"/>
      <c r="O30" s="180" t="str">
        <f t="shared" si="15"/>
        <v/>
      </c>
      <c r="P30" s="179"/>
      <c r="Q30" s="192" t="str">
        <f t="shared" si="0"/>
        <v/>
      </c>
      <c r="R30" s="193"/>
      <c r="S30" s="179"/>
      <c r="T30" s="192" t="str">
        <f t="shared" si="16"/>
        <v/>
      </c>
      <c r="U30" s="193"/>
      <c r="V30" s="179"/>
      <c r="W30" s="192" t="str">
        <f t="shared" si="17"/>
        <v/>
      </c>
      <c r="X30" s="194"/>
      <c r="Y30" s="205" t="str">
        <f t="shared" si="1"/>
        <v/>
      </c>
      <c r="Z30" s="206" t="str">
        <f t="shared" si="2"/>
        <v/>
      </c>
      <c r="AA30" s="206" t="str">
        <f t="shared" si="3"/>
        <v/>
      </c>
      <c r="AB30" s="206" t="str">
        <f t="shared" si="4"/>
        <v/>
      </c>
      <c r="AC30" s="207" t="str">
        <f t="shared" si="5"/>
        <v/>
      </c>
      <c r="AD30" s="208" t="str">
        <f t="shared" si="6"/>
        <v/>
      </c>
      <c r="AE30" s="209" t="str">
        <f t="shared" si="18"/>
        <v/>
      </c>
      <c r="AF30" s="210" t="str">
        <f t="shared" si="7"/>
        <v/>
      </c>
      <c r="AG30" s="219" t="str">
        <f t="shared" si="8"/>
        <v/>
      </c>
      <c r="AH30" s="207" t="str">
        <f t="shared" si="9"/>
        <v/>
      </c>
    </row>
    <row r="31" spans="1:34" s="167" customFormat="1" ht="12.75" customHeight="1">
      <c r="A31" s="181">
        <v>24</v>
      </c>
      <c r="B31" s="177"/>
      <c r="C31" s="182"/>
      <c r="D31" s="179"/>
      <c r="E31" s="180" t="str">
        <f t="shared" si="10"/>
        <v/>
      </c>
      <c r="F31" s="179"/>
      <c r="G31" s="180" t="str">
        <f t="shared" si="11"/>
        <v/>
      </c>
      <c r="H31" s="179"/>
      <c r="I31" s="180" t="str">
        <f t="shared" si="12"/>
        <v/>
      </c>
      <c r="J31" s="179"/>
      <c r="K31" s="180" t="str">
        <f t="shared" si="13"/>
        <v/>
      </c>
      <c r="L31" s="179"/>
      <c r="M31" s="180" t="str">
        <f t="shared" si="14"/>
        <v/>
      </c>
      <c r="N31" s="179"/>
      <c r="O31" s="180" t="str">
        <f t="shared" si="15"/>
        <v/>
      </c>
      <c r="P31" s="179"/>
      <c r="Q31" s="192" t="str">
        <f t="shared" si="0"/>
        <v/>
      </c>
      <c r="R31" s="193"/>
      <c r="S31" s="179"/>
      <c r="T31" s="192" t="str">
        <f t="shared" si="16"/>
        <v/>
      </c>
      <c r="U31" s="193"/>
      <c r="V31" s="179"/>
      <c r="W31" s="192" t="str">
        <f t="shared" si="17"/>
        <v/>
      </c>
      <c r="X31" s="194"/>
      <c r="Y31" s="205" t="str">
        <f t="shared" si="1"/>
        <v/>
      </c>
      <c r="Z31" s="206" t="str">
        <f t="shared" si="2"/>
        <v/>
      </c>
      <c r="AA31" s="206" t="str">
        <f t="shared" si="3"/>
        <v/>
      </c>
      <c r="AB31" s="206" t="str">
        <f t="shared" si="4"/>
        <v/>
      </c>
      <c r="AC31" s="207" t="str">
        <f t="shared" si="5"/>
        <v/>
      </c>
      <c r="AD31" s="208" t="str">
        <f t="shared" si="6"/>
        <v/>
      </c>
      <c r="AE31" s="209" t="str">
        <f t="shared" si="18"/>
        <v/>
      </c>
      <c r="AF31" s="210" t="str">
        <f t="shared" si="7"/>
        <v/>
      </c>
      <c r="AG31" s="219" t="str">
        <f t="shared" si="8"/>
        <v/>
      </c>
      <c r="AH31" s="207" t="str">
        <f t="shared" si="9"/>
        <v/>
      </c>
    </row>
    <row r="32" spans="1:34" s="167" customFormat="1" ht="12.75" customHeight="1">
      <c r="A32" s="181">
        <v>25</v>
      </c>
      <c r="B32" s="177"/>
      <c r="C32" s="182"/>
      <c r="D32" s="179"/>
      <c r="E32" s="180" t="str">
        <f t="shared" si="10"/>
        <v/>
      </c>
      <c r="F32" s="179"/>
      <c r="G32" s="180" t="str">
        <f t="shared" si="11"/>
        <v/>
      </c>
      <c r="H32" s="179"/>
      <c r="I32" s="180" t="str">
        <f t="shared" si="12"/>
        <v/>
      </c>
      <c r="J32" s="179"/>
      <c r="K32" s="180" t="str">
        <f t="shared" si="13"/>
        <v/>
      </c>
      <c r="L32" s="179"/>
      <c r="M32" s="180" t="str">
        <f t="shared" si="14"/>
        <v/>
      </c>
      <c r="N32" s="179"/>
      <c r="O32" s="180" t="str">
        <f t="shared" si="15"/>
        <v/>
      </c>
      <c r="P32" s="179"/>
      <c r="Q32" s="192" t="str">
        <f t="shared" si="0"/>
        <v/>
      </c>
      <c r="R32" s="193"/>
      <c r="S32" s="179"/>
      <c r="T32" s="192" t="str">
        <f t="shared" si="16"/>
        <v/>
      </c>
      <c r="U32" s="193"/>
      <c r="V32" s="179"/>
      <c r="W32" s="192" t="str">
        <f t="shared" si="17"/>
        <v/>
      </c>
      <c r="X32" s="194"/>
      <c r="Y32" s="205" t="str">
        <f t="shared" si="1"/>
        <v/>
      </c>
      <c r="Z32" s="206" t="str">
        <f t="shared" si="2"/>
        <v/>
      </c>
      <c r="AA32" s="206" t="str">
        <f t="shared" si="3"/>
        <v/>
      </c>
      <c r="AB32" s="206" t="str">
        <f t="shared" si="4"/>
        <v/>
      </c>
      <c r="AC32" s="207" t="str">
        <f t="shared" si="5"/>
        <v/>
      </c>
      <c r="AD32" s="208" t="str">
        <f t="shared" si="6"/>
        <v/>
      </c>
      <c r="AE32" s="209" t="str">
        <f t="shared" si="18"/>
        <v/>
      </c>
      <c r="AF32" s="210" t="str">
        <f t="shared" si="7"/>
        <v/>
      </c>
      <c r="AG32" s="219" t="str">
        <f t="shared" si="8"/>
        <v/>
      </c>
      <c r="AH32" s="207" t="str">
        <f t="shared" si="9"/>
        <v/>
      </c>
    </row>
    <row r="33" spans="1:34" s="167" customFormat="1" ht="12.75" customHeight="1">
      <c r="A33" s="181">
        <v>26</v>
      </c>
      <c r="B33" s="177"/>
      <c r="C33" s="182"/>
      <c r="D33" s="179"/>
      <c r="E33" s="180" t="str">
        <f t="shared" si="10"/>
        <v/>
      </c>
      <c r="F33" s="179"/>
      <c r="G33" s="180" t="str">
        <f t="shared" si="11"/>
        <v/>
      </c>
      <c r="H33" s="179"/>
      <c r="I33" s="180" t="str">
        <f t="shared" si="12"/>
        <v/>
      </c>
      <c r="J33" s="179"/>
      <c r="K33" s="180" t="str">
        <f t="shared" si="13"/>
        <v/>
      </c>
      <c r="L33" s="179"/>
      <c r="M33" s="180" t="str">
        <f t="shared" si="14"/>
        <v/>
      </c>
      <c r="N33" s="179"/>
      <c r="O33" s="180" t="str">
        <f t="shared" si="15"/>
        <v/>
      </c>
      <c r="P33" s="179"/>
      <c r="Q33" s="192" t="str">
        <f t="shared" si="0"/>
        <v/>
      </c>
      <c r="R33" s="193"/>
      <c r="S33" s="179"/>
      <c r="T33" s="192" t="str">
        <f t="shared" si="16"/>
        <v/>
      </c>
      <c r="U33" s="193"/>
      <c r="V33" s="179"/>
      <c r="W33" s="192" t="str">
        <f t="shared" si="17"/>
        <v/>
      </c>
      <c r="X33" s="194"/>
      <c r="Y33" s="205" t="str">
        <f t="shared" si="1"/>
        <v/>
      </c>
      <c r="Z33" s="206" t="str">
        <f t="shared" si="2"/>
        <v/>
      </c>
      <c r="AA33" s="206" t="str">
        <f t="shared" si="3"/>
        <v/>
      </c>
      <c r="AB33" s="206" t="str">
        <f t="shared" si="4"/>
        <v/>
      </c>
      <c r="AC33" s="207" t="str">
        <f t="shared" si="5"/>
        <v/>
      </c>
      <c r="AD33" s="208" t="str">
        <f t="shared" si="6"/>
        <v/>
      </c>
      <c r="AE33" s="209" t="str">
        <f t="shared" si="18"/>
        <v/>
      </c>
      <c r="AF33" s="210" t="str">
        <f t="shared" si="7"/>
        <v/>
      </c>
      <c r="AG33" s="219" t="str">
        <f t="shared" si="8"/>
        <v/>
      </c>
      <c r="AH33" s="207" t="str">
        <f t="shared" si="9"/>
        <v/>
      </c>
    </row>
    <row r="34" spans="1:34" s="167" customFormat="1" ht="12.75" customHeight="1">
      <c r="A34" s="181">
        <v>27</v>
      </c>
      <c r="B34" s="177"/>
      <c r="C34" s="182"/>
      <c r="D34" s="179"/>
      <c r="E34" s="180" t="str">
        <f t="shared" si="10"/>
        <v/>
      </c>
      <c r="F34" s="179"/>
      <c r="G34" s="180" t="str">
        <f t="shared" si="11"/>
        <v/>
      </c>
      <c r="H34" s="179"/>
      <c r="I34" s="180" t="str">
        <f t="shared" si="12"/>
        <v/>
      </c>
      <c r="J34" s="179"/>
      <c r="K34" s="180" t="str">
        <f t="shared" si="13"/>
        <v/>
      </c>
      <c r="L34" s="179"/>
      <c r="M34" s="180" t="str">
        <f t="shared" si="14"/>
        <v/>
      </c>
      <c r="N34" s="179"/>
      <c r="O34" s="180" t="str">
        <f t="shared" si="15"/>
        <v/>
      </c>
      <c r="P34" s="179"/>
      <c r="Q34" s="192" t="str">
        <f t="shared" si="0"/>
        <v/>
      </c>
      <c r="R34" s="193"/>
      <c r="S34" s="179"/>
      <c r="T34" s="192" t="str">
        <f t="shared" si="16"/>
        <v/>
      </c>
      <c r="U34" s="193"/>
      <c r="V34" s="179"/>
      <c r="W34" s="192" t="str">
        <f t="shared" si="17"/>
        <v/>
      </c>
      <c r="X34" s="194"/>
      <c r="Y34" s="205" t="str">
        <f t="shared" si="1"/>
        <v/>
      </c>
      <c r="Z34" s="206" t="str">
        <f t="shared" si="2"/>
        <v/>
      </c>
      <c r="AA34" s="206" t="str">
        <f t="shared" si="3"/>
        <v/>
      </c>
      <c r="AB34" s="206" t="str">
        <f t="shared" si="4"/>
        <v/>
      </c>
      <c r="AC34" s="207" t="str">
        <f t="shared" si="5"/>
        <v/>
      </c>
      <c r="AD34" s="208" t="str">
        <f t="shared" si="6"/>
        <v/>
      </c>
      <c r="AE34" s="209" t="str">
        <f t="shared" si="18"/>
        <v/>
      </c>
      <c r="AF34" s="210" t="str">
        <f t="shared" si="7"/>
        <v/>
      </c>
      <c r="AG34" s="219" t="str">
        <f t="shared" si="8"/>
        <v/>
      </c>
      <c r="AH34" s="207" t="str">
        <f t="shared" si="9"/>
        <v/>
      </c>
    </row>
    <row r="35" spans="1:34" s="167" customFormat="1" ht="12.75" customHeight="1">
      <c r="A35" s="181">
        <v>28</v>
      </c>
      <c r="B35" s="177"/>
      <c r="C35" s="182"/>
      <c r="D35" s="179"/>
      <c r="E35" s="180" t="str">
        <f t="shared" si="10"/>
        <v/>
      </c>
      <c r="F35" s="179"/>
      <c r="G35" s="180" t="str">
        <f t="shared" si="11"/>
        <v/>
      </c>
      <c r="H35" s="179"/>
      <c r="I35" s="180" t="str">
        <f t="shared" si="12"/>
        <v/>
      </c>
      <c r="J35" s="179"/>
      <c r="K35" s="180" t="str">
        <f t="shared" si="13"/>
        <v/>
      </c>
      <c r="L35" s="179"/>
      <c r="M35" s="180" t="str">
        <f t="shared" si="14"/>
        <v/>
      </c>
      <c r="N35" s="179"/>
      <c r="O35" s="180" t="str">
        <f t="shared" si="15"/>
        <v/>
      </c>
      <c r="P35" s="179"/>
      <c r="Q35" s="192" t="str">
        <f t="shared" si="0"/>
        <v/>
      </c>
      <c r="R35" s="193"/>
      <c r="S35" s="179"/>
      <c r="T35" s="192" t="str">
        <f t="shared" si="16"/>
        <v/>
      </c>
      <c r="U35" s="193"/>
      <c r="V35" s="179"/>
      <c r="W35" s="192" t="str">
        <f t="shared" si="17"/>
        <v/>
      </c>
      <c r="X35" s="194"/>
      <c r="Y35" s="205" t="str">
        <f t="shared" si="1"/>
        <v/>
      </c>
      <c r="Z35" s="206" t="str">
        <f t="shared" si="2"/>
        <v/>
      </c>
      <c r="AA35" s="206" t="str">
        <f t="shared" si="3"/>
        <v/>
      </c>
      <c r="AB35" s="206" t="str">
        <f t="shared" si="4"/>
        <v/>
      </c>
      <c r="AC35" s="207" t="str">
        <f t="shared" si="5"/>
        <v/>
      </c>
      <c r="AD35" s="208" t="str">
        <f t="shared" si="6"/>
        <v/>
      </c>
      <c r="AE35" s="209" t="str">
        <f t="shared" si="18"/>
        <v/>
      </c>
      <c r="AF35" s="210" t="str">
        <f t="shared" si="7"/>
        <v/>
      </c>
      <c r="AG35" s="219" t="str">
        <f t="shared" si="8"/>
        <v/>
      </c>
      <c r="AH35" s="207" t="str">
        <f t="shared" si="9"/>
        <v/>
      </c>
    </row>
    <row r="36" spans="1:34" s="167" customFormat="1" ht="12.75" customHeight="1">
      <c r="A36" s="181">
        <v>29</v>
      </c>
      <c r="B36" s="177"/>
      <c r="C36" s="182"/>
      <c r="D36" s="179"/>
      <c r="E36" s="180" t="str">
        <f t="shared" si="10"/>
        <v/>
      </c>
      <c r="F36" s="179"/>
      <c r="G36" s="180" t="str">
        <f t="shared" si="11"/>
        <v/>
      </c>
      <c r="H36" s="179"/>
      <c r="I36" s="180" t="str">
        <f t="shared" si="12"/>
        <v/>
      </c>
      <c r="J36" s="179"/>
      <c r="K36" s="180" t="str">
        <f t="shared" si="13"/>
        <v/>
      </c>
      <c r="L36" s="179"/>
      <c r="M36" s="180" t="str">
        <f t="shared" si="14"/>
        <v/>
      </c>
      <c r="N36" s="179"/>
      <c r="O36" s="180" t="str">
        <f t="shared" si="15"/>
        <v/>
      </c>
      <c r="P36" s="179"/>
      <c r="Q36" s="192" t="str">
        <f t="shared" si="0"/>
        <v/>
      </c>
      <c r="R36" s="193"/>
      <c r="S36" s="179"/>
      <c r="T36" s="192" t="str">
        <f t="shared" si="16"/>
        <v/>
      </c>
      <c r="U36" s="193"/>
      <c r="V36" s="179"/>
      <c r="W36" s="192" t="str">
        <f t="shared" si="17"/>
        <v/>
      </c>
      <c r="X36" s="194"/>
      <c r="Y36" s="205" t="str">
        <f t="shared" si="1"/>
        <v/>
      </c>
      <c r="Z36" s="206" t="str">
        <f t="shared" si="2"/>
        <v/>
      </c>
      <c r="AA36" s="206" t="str">
        <f t="shared" si="3"/>
        <v/>
      </c>
      <c r="AB36" s="206" t="str">
        <f t="shared" si="4"/>
        <v/>
      </c>
      <c r="AC36" s="207" t="str">
        <f t="shared" si="5"/>
        <v/>
      </c>
      <c r="AD36" s="208" t="str">
        <f t="shared" si="6"/>
        <v/>
      </c>
      <c r="AE36" s="209" t="str">
        <f t="shared" si="18"/>
        <v/>
      </c>
      <c r="AF36" s="210" t="str">
        <f t="shared" si="7"/>
        <v/>
      </c>
      <c r="AG36" s="219" t="str">
        <f t="shared" si="8"/>
        <v/>
      </c>
      <c r="AH36" s="207" t="str">
        <f t="shared" si="9"/>
        <v/>
      </c>
    </row>
    <row r="37" spans="1:34" s="167" customFormat="1" ht="12.75" customHeight="1">
      <c r="A37" s="181">
        <v>30</v>
      </c>
      <c r="B37" s="177"/>
      <c r="C37" s="182"/>
      <c r="D37" s="179"/>
      <c r="E37" s="180" t="str">
        <f t="shared" si="10"/>
        <v/>
      </c>
      <c r="F37" s="179"/>
      <c r="G37" s="180" t="str">
        <f t="shared" si="11"/>
        <v/>
      </c>
      <c r="H37" s="179"/>
      <c r="I37" s="180" t="str">
        <f t="shared" si="12"/>
        <v/>
      </c>
      <c r="J37" s="179"/>
      <c r="K37" s="180" t="str">
        <f t="shared" si="13"/>
        <v/>
      </c>
      <c r="L37" s="179"/>
      <c r="M37" s="180" t="str">
        <f t="shared" si="14"/>
        <v/>
      </c>
      <c r="N37" s="179"/>
      <c r="O37" s="180" t="str">
        <f t="shared" si="15"/>
        <v/>
      </c>
      <c r="P37" s="179"/>
      <c r="Q37" s="192" t="str">
        <f t="shared" si="0"/>
        <v/>
      </c>
      <c r="R37" s="193"/>
      <c r="S37" s="179"/>
      <c r="T37" s="192" t="str">
        <f t="shared" si="16"/>
        <v/>
      </c>
      <c r="U37" s="193"/>
      <c r="V37" s="179"/>
      <c r="W37" s="192" t="str">
        <f t="shared" si="17"/>
        <v/>
      </c>
      <c r="X37" s="194"/>
      <c r="Y37" s="205" t="str">
        <f t="shared" si="1"/>
        <v/>
      </c>
      <c r="Z37" s="206" t="str">
        <f t="shared" si="2"/>
        <v/>
      </c>
      <c r="AA37" s="206" t="str">
        <f t="shared" si="3"/>
        <v/>
      </c>
      <c r="AB37" s="206" t="str">
        <f t="shared" si="4"/>
        <v/>
      </c>
      <c r="AC37" s="207" t="str">
        <f t="shared" si="5"/>
        <v/>
      </c>
      <c r="AD37" s="208" t="str">
        <f t="shared" si="6"/>
        <v/>
      </c>
      <c r="AE37" s="209" t="str">
        <f t="shared" si="18"/>
        <v/>
      </c>
      <c r="AF37" s="210" t="str">
        <f t="shared" si="7"/>
        <v/>
      </c>
      <c r="AG37" s="219" t="str">
        <f t="shared" si="8"/>
        <v/>
      </c>
      <c r="AH37" s="207" t="str">
        <f t="shared" si="9"/>
        <v/>
      </c>
    </row>
    <row r="38" spans="1:34" s="167" customFormat="1" ht="12.75" customHeight="1">
      <c r="A38" s="181">
        <v>31</v>
      </c>
      <c r="B38" s="177"/>
      <c r="C38" s="182"/>
      <c r="D38" s="179"/>
      <c r="E38" s="180" t="str">
        <f t="shared" si="10"/>
        <v/>
      </c>
      <c r="F38" s="179"/>
      <c r="G38" s="180" t="str">
        <f t="shared" si="11"/>
        <v/>
      </c>
      <c r="H38" s="179"/>
      <c r="I38" s="180" t="str">
        <f t="shared" si="12"/>
        <v/>
      </c>
      <c r="J38" s="179"/>
      <c r="K38" s="180" t="str">
        <f t="shared" si="13"/>
        <v/>
      </c>
      <c r="L38" s="179"/>
      <c r="M38" s="180" t="str">
        <f t="shared" si="14"/>
        <v/>
      </c>
      <c r="N38" s="179"/>
      <c r="O38" s="180" t="str">
        <f t="shared" si="15"/>
        <v/>
      </c>
      <c r="P38" s="179"/>
      <c r="Q38" s="192" t="str">
        <f t="shared" si="0"/>
        <v/>
      </c>
      <c r="R38" s="193"/>
      <c r="S38" s="179"/>
      <c r="T38" s="192" t="str">
        <f t="shared" si="16"/>
        <v/>
      </c>
      <c r="U38" s="193"/>
      <c r="V38" s="179"/>
      <c r="W38" s="192" t="str">
        <f t="shared" si="17"/>
        <v/>
      </c>
      <c r="X38" s="194"/>
      <c r="Y38" s="205" t="str">
        <f t="shared" si="1"/>
        <v/>
      </c>
      <c r="Z38" s="206" t="str">
        <f t="shared" si="2"/>
        <v/>
      </c>
      <c r="AA38" s="206" t="str">
        <f t="shared" si="3"/>
        <v/>
      </c>
      <c r="AB38" s="206" t="str">
        <f t="shared" si="4"/>
        <v/>
      </c>
      <c r="AC38" s="207" t="str">
        <f t="shared" si="5"/>
        <v/>
      </c>
      <c r="AD38" s="208" t="str">
        <f t="shared" si="6"/>
        <v/>
      </c>
      <c r="AE38" s="209" t="str">
        <f t="shared" si="18"/>
        <v/>
      </c>
      <c r="AF38" s="210" t="str">
        <f t="shared" si="7"/>
        <v/>
      </c>
      <c r="AG38" s="219" t="str">
        <f t="shared" si="8"/>
        <v/>
      </c>
      <c r="AH38" s="207" t="str">
        <f t="shared" si="9"/>
        <v/>
      </c>
    </row>
    <row r="39" spans="1:34" s="167" customFormat="1" ht="12.75" customHeight="1">
      <c r="A39" s="181">
        <v>32</v>
      </c>
      <c r="B39" s="177"/>
      <c r="C39" s="182"/>
      <c r="D39" s="179"/>
      <c r="E39" s="180" t="str">
        <f t="shared" si="10"/>
        <v/>
      </c>
      <c r="F39" s="179"/>
      <c r="G39" s="180" t="str">
        <f t="shared" si="11"/>
        <v/>
      </c>
      <c r="H39" s="179"/>
      <c r="I39" s="180" t="str">
        <f t="shared" si="12"/>
        <v/>
      </c>
      <c r="J39" s="179"/>
      <c r="K39" s="180" t="str">
        <f t="shared" si="13"/>
        <v/>
      </c>
      <c r="L39" s="179"/>
      <c r="M39" s="180" t="str">
        <f t="shared" si="14"/>
        <v/>
      </c>
      <c r="N39" s="179"/>
      <c r="O39" s="180" t="str">
        <f t="shared" si="15"/>
        <v/>
      </c>
      <c r="P39" s="179"/>
      <c r="Q39" s="192" t="str">
        <f t="shared" si="0"/>
        <v/>
      </c>
      <c r="R39" s="193"/>
      <c r="S39" s="179"/>
      <c r="T39" s="192" t="str">
        <f t="shared" si="16"/>
        <v/>
      </c>
      <c r="U39" s="193"/>
      <c r="V39" s="179"/>
      <c r="W39" s="192" t="str">
        <f t="shared" si="17"/>
        <v/>
      </c>
      <c r="X39" s="194"/>
      <c r="Y39" s="205" t="str">
        <f t="shared" si="1"/>
        <v/>
      </c>
      <c r="Z39" s="206" t="str">
        <f t="shared" si="2"/>
        <v/>
      </c>
      <c r="AA39" s="206" t="str">
        <f t="shared" si="3"/>
        <v/>
      </c>
      <c r="AB39" s="206" t="str">
        <f t="shared" si="4"/>
        <v/>
      </c>
      <c r="AC39" s="207" t="str">
        <f t="shared" si="5"/>
        <v/>
      </c>
      <c r="AD39" s="208" t="str">
        <f t="shared" si="6"/>
        <v/>
      </c>
      <c r="AE39" s="209" t="str">
        <f t="shared" si="18"/>
        <v/>
      </c>
      <c r="AF39" s="210" t="str">
        <f t="shared" si="7"/>
        <v/>
      </c>
      <c r="AG39" s="219" t="str">
        <f t="shared" si="8"/>
        <v/>
      </c>
      <c r="AH39" s="207" t="str">
        <f t="shared" si="9"/>
        <v/>
      </c>
    </row>
    <row r="40" spans="1:34" s="167" customFormat="1" ht="12.75" customHeight="1">
      <c r="A40" s="181">
        <v>33</v>
      </c>
      <c r="B40" s="177"/>
      <c r="C40" s="182"/>
      <c r="D40" s="179"/>
      <c r="E40" s="180" t="str">
        <f t="shared" si="10"/>
        <v/>
      </c>
      <c r="F40" s="179"/>
      <c r="G40" s="180" t="str">
        <f t="shared" si="11"/>
        <v/>
      </c>
      <c r="H40" s="179"/>
      <c r="I40" s="180" t="str">
        <f t="shared" si="12"/>
        <v/>
      </c>
      <c r="J40" s="179"/>
      <c r="K40" s="180" t="str">
        <f t="shared" si="13"/>
        <v/>
      </c>
      <c r="L40" s="179"/>
      <c r="M40" s="180" t="str">
        <f t="shared" si="14"/>
        <v/>
      </c>
      <c r="N40" s="179"/>
      <c r="O40" s="180" t="str">
        <f t="shared" si="15"/>
        <v/>
      </c>
      <c r="P40" s="179"/>
      <c r="Q40" s="192" t="str">
        <f t="shared" si="0"/>
        <v/>
      </c>
      <c r="R40" s="193"/>
      <c r="S40" s="179"/>
      <c r="T40" s="192" t="str">
        <f t="shared" si="16"/>
        <v/>
      </c>
      <c r="U40" s="193"/>
      <c r="V40" s="179"/>
      <c r="W40" s="192" t="str">
        <f t="shared" si="17"/>
        <v/>
      </c>
      <c r="X40" s="194"/>
      <c r="Y40" s="205" t="str">
        <f t="shared" si="1"/>
        <v/>
      </c>
      <c r="Z40" s="206" t="str">
        <f t="shared" si="2"/>
        <v/>
      </c>
      <c r="AA40" s="206" t="str">
        <f t="shared" si="3"/>
        <v/>
      </c>
      <c r="AB40" s="206" t="str">
        <f t="shared" si="4"/>
        <v/>
      </c>
      <c r="AC40" s="207" t="str">
        <f t="shared" si="5"/>
        <v/>
      </c>
      <c r="AD40" s="208" t="str">
        <f t="shared" si="6"/>
        <v/>
      </c>
      <c r="AE40" s="209" t="str">
        <f t="shared" si="18"/>
        <v/>
      </c>
      <c r="AF40" s="210" t="str">
        <f t="shared" si="7"/>
        <v/>
      </c>
      <c r="AG40" s="219" t="str">
        <f t="shared" si="8"/>
        <v/>
      </c>
      <c r="AH40" s="207" t="str">
        <f t="shared" si="9"/>
        <v/>
      </c>
    </row>
    <row r="41" spans="1:34" s="167" customFormat="1" ht="12.75" customHeight="1">
      <c r="A41" s="181">
        <v>34</v>
      </c>
      <c r="B41" s="177"/>
      <c r="C41" s="182"/>
      <c r="D41" s="179"/>
      <c r="E41" s="180" t="str">
        <f t="shared" si="10"/>
        <v/>
      </c>
      <c r="F41" s="179"/>
      <c r="G41" s="180" t="str">
        <f t="shared" si="11"/>
        <v/>
      </c>
      <c r="H41" s="179"/>
      <c r="I41" s="180" t="str">
        <f t="shared" si="12"/>
        <v/>
      </c>
      <c r="J41" s="179"/>
      <c r="K41" s="180" t="str">
        <f t="shared" si="13"/>
        <v/>
      </c>
      <c r="L41" s="179"/>
      <c r="M41" s="180" t="str">
        <f t="shared" si="14"/>
        <v/>
      </c>
      <c r="N41" s="179"/>
      <c r="O41" s="180" t="str">
        <f t="shared" si="15"/>
        <v/>
      </c>
      <c r="P41" s="179"/>
      <c r="Q41" s="192" t="str">
        <f t="shared" si="0"/>
        <v/>
      </c>
      <c r="R41" s="193"/>
      <c r="S41" s="179"/>
      <c r="T41" s="192" t="str">
        <f t="shared" si="16"/>
        <v/>
      </c>
      <c r="U41" s="193"/>
      <c r="V41" s="179"/>
      <c r="W41" s="192" t="str">
        <f t="shared" si="17"/>
        <v/>
      </c>
      <c r="X41" s="194"/>
      <c r="Y41" s="205" t="str">
        <f t="shared" si="1"/>
        <v/>
      </c>
      <c r="Z41" s="206" t="str">
        <f t="shared" si="2"/>
        <v/>
      </c>
      <c r="AA41" s="206" t="str">
        <f t="shared" si="3"/>
        <v/>
      </c>
      <c r="AB41" s="206" t="str">
        <f t="shared" si="4"/>
        <v/>
      </c>
      <c r="AC41" s="207" t="str">
        <f t="shared" si="5"/>
        <v/>
      </c>
      <c r="AD41" s="208" t="str">
        <f t="shared" si="6"/>
        <v/>
      </c>
      <c r="AE41" s="209" t="str">
        <f t="shared" si="18"/>
        <v/>
      </c>
      <c r="AF41" s="210" t="str">
        <f t="shared" si="7"/>
        <v/>
      </c>
      <c r="AG41" s="219" t="str">
        <f t="shared" si="8"/>
        <v/>
      </c>
      <c r="AH41" s="207" t="str">
        <f t="shared" si="9"/>
        <v/>
      </c>
    </row>
    <row r="42" spans="1:34" s="167" customFormat="1" ht="12.75" customHeight="1">
      <c r="A42" s="181">
        <v>35</v>
      </c>
      <c r="B42" s="177"/>
      <c r="C42" s="182"/>
      <c r="D42" s="179"/>
      <c r="E42" s="180" t="str">
        <f t="shared" si="10"/>
        <v/>
      </c>
      <c r="F42" s="179"/>
      <c r="G42" s="180" t="str">
        <f t="shared" si="11"/>
        <v/>
      </c>
      <c r="H42" s="179"/>
      <c r="I42" s="180" t="str">
        <f t="shared" si="12"/>
        <v/>
      </c>
      <c r="J42" s="179"/>
      <c r="K42" s="180" t="str">
        <f t="shared" si="13"/>
        <v/>
      </c>
      <c r="L42" s="179"/>
      <c r="M42" s="180" t="str">
        <f t="shared" si="14"/>
        <v/>
      </c>
      <c r="N42" s="179"/>
      <c r="O42" s="180" t="str">
        <f t="shared" si="15"/>
        <v/>
      </c>
      <c r="P42" s="179"/>
      <c r="Q42" s="192" t="str">
        <f t="shared" si="0"/>
        <v/>
      </c>
      <c r="R42" s="193"/>
      <c r="S42" s="179"/>
      <c r="T42" s="192" t="str">
        <f t="shared" si="16"/>
        <v/>
      </c>
      <c r="U42" s="193"/>
      <c r="V42" s="179"/>
      <c r="W42" s="192" t="str">
        <f t="shared" si="17"/>
        <v/>
      </c>
      <c r="X42" s="194"/>
      <c r="Y42" s="205" t="str">
        <f t="shared" si="1"/>
        <v/>
      </c>
      <c r="Z42" s="206" t="str">
        <f t="shared" si="2"/>
        <v/>
      </c>
      <c r="AA42" s="206" t="str">
        <f t="shared" si="3"/>
        <v/>
      </c>
      <c r="AB42" s="206" t="str">
        <f t="shared" si="4"/>
        <v/>
      </c>
      <c r="AC42" s="207" t="str">
        <f t="shared" si="5"/>
        <v/>
      </c>
      <c r="AD42" s="208" t="str">
        <f t="shared" si="6"/>
        <v/>
      </c>
      <c r="AE42" s="209" t="str">
        <f t="shared" si="18"/>
        <v/>
      </c>
      <c r="AF42" s="210" t="str">
        <f t="shared" si="7"/>
        <v/>
      </c>
      <c r="AG42" s="219" t="str">
        <f t="shared" si="8"/>
        <v/>
      </c>
      <c r="AH42" s="207" t="str">
        <f t="shared" si="9"/>
        <v/>
      </c>
    </row>
    <row r="43" spans="1:34" s="167" customFormat="1" ht="12.75" customHeight="1">
      <c r="A43" s="181">
        <v>36</v>
      </c>
      <c r="B43" s="177"/>
      <c r="C43" s="182"/>
      <c r="D43" s="179"/>
      <c r="E43" s="180" t="str">
        <f t="shared" si="10"/>
        <v/>
      </c>
      <c r="F43" s="179"/>
      <c r="G43" s="180" t="str">
        <f t="shared" si="11"/>
        <v/>
      </c>
      <c r="H43" s="179"/>
      <c r="I43" s="180" t="str">
        <f t="shared" si="12"/>
        <v/>
      </c>
      <c r="J43" s="179"/>
      <c r="K43" s="180" t="str">
        <f t="shared" si="13"/>
        <v/>
      </c>
      <c r="L43" s="179"/>
      <c r="M43" s="180" t="str">
        <f t="shared" si="14"/>
        <v/>
      </c>
      <c r="N43" s="179"/>
      <c r="O43" s="180" t="str">
        <f t="shared" si="15"/>
        <v/>
      </c>
      <c r="P43" s="179"/>
      <c r="Q43" s="192" t="str">
        <f t="shared" si="0"/>
        <v/>
      </c>
      <c r="R43" s="193"/>
      <c r="S43" s="179"/>
      <c r="T43" s="192" t="str">
        <f t="shared" si="16"/>
        <v/>
      </c>
      <c r="U43" s="193"/>
      <c r="V43" s="179"/>
      <c r="W43" s="192" t="str">
        <f t="shared" si="17"/>
        <v/>
      </c>
      <c r="X43" s="194"/>
      <c r="Y43" s="205" t="str">
        <f t="shared" si="1"/>
        <v/>
      </c>
      <c r="Z43" s="206" t="str">
        <f t="shared" si="2"/>
        <v/>
      </c>
      <c r="AA43" s="206" t="str">
        <f t="shared" si="3"/>
        <v/>
      </c>
      <c r="AB43" s="206" t="str">
        <f t="shared" si="4"/>
        <v/>
      </c>
      <c r="AC43" s="207" t="str">
        <f t="shared" si="5"/>
        <v/>
      </c>
      <c r="AD43" s="208" t="str">
        <f t="shared" si="6"/>
        <v/>
      </c>
      <c r="AE43" s="209" t="str">
        <f t="shared" si="18"/>
        <v/>
      </c>
      <c r="AF43" s="210" t="str">
        <f t="shared" si="7"/>
        <v/>
      </c>
      <c r="AG43" s="219" t="str">
        <f t="shared" si="8"/>
        <v/>
      </c>
      <c r="AH43" s="207" t="str">
        <f t="shared" si="9"/>
        <v/>
      </c>
    </row>
    <row r="44" spans="1:34" s="167" customFormat="1" ht="12.75" customHeight="1">
      <c r="A44" s="181">
        <v>37</v>
      </c>
      <c r="B44" s="177"/>
      <c r="C44" s="182"/>
      <c r="D44" s="179"/>
      <c r="E44" s="180" t="str">
        <f t="shared" si="10"/>
        <v/>
      </c>
      <c r="F44" s="179"/>
      <c r="G44" s="180" t="str">
        <f t="shared" si="11"/>
        <v/>
      </c>
      <c r="H44" s="179"/>
      <c r="I44" s="180" t="str">
        <f t="shared" si="12"/>
        <v/>
      </c>
      <c r="J44" s="179"/>
      <c r="K44" s="180" t="str">
        <f t="shared" si="13"/>
        <v/>
      </c>
      <c r="L44" s="179"/>
      <c r="M44" s="180" t="str">
        <f t="shared" si="14"/>
        <v/>
      </c>
      <c r="N44" s="179"/>
      <c r="O44" s="180" t="str">
        <f t="shared" si="15"/>
        <v/>
      </c>
      <c r="P44" s="179"/>
      <c r="Q44" s="192" t="str">
        <f t="shared" si="0"/>
        <v/>
      </c>
      <c r="R44" s="193"/>
      <c r="S44" s="179"/>
      <c r="T44" s="192" t="str">
        <f t="shared" si="16"/>
        <v/>
      </c>
      <c r="U44" s="193"/>
      <c r="V44" s="179"/>
      <c r="W44" s="192" t="str">
        <f t="shared" si="17"/>
        <v/>
      </c>
      <c r="X44" s="194"/>
      <c r="Y44" s="205" t="str">
        <f t="shared" si="1"/>
        <v/>
      </c>
      <c r="Z44" s="206" t="str">
        <f t="shared" si="2"/>
        <v/>
      </c>
      <c r="AA44" s="206" t="str">
        <f t="shared" si="3"/>
        <v/>
      </c>
      <c r="AB44" s="206" t="str">
        <f t="shared" si="4"/>
        <v/>
      </c>
      <c r="AC44" s="207" t="str">
        <f t="shared" si="5"/>
        <v/>
      </c>
      <c r="AD44" s="208" t="str">
        <f t="shared" si="6"/>
        <v/>
      </c>
      <c r="AE44" s="209" t="str">
        <f t="shared" si="18"/>
        <v/>
      </c>
      <c r="AF44" s="210" t="str">
        <f t="shared" si="7"/>
        <v/>
      </c>
      <c r="AG44" s="219" t="str">
        <f t="shared" si="8"/>
        <v/>
      </c>
      <c r="AH44" s="207" t="str">
        <f t="shared" si="9"/>
        <v/>
      </c>
    </row>
    <row r="45" spans="1:34" s="167" customFormat="1" ht="12.75" customHeight="1">
      <c r="A45" s="181">
        <v>38</v>
      </c>
      <c r="B45" s="177"/>
      <c r="C45" s="182"/>
      <c r="D45" s="179"/>
      <c r="E45" s="180" t="str">
        <f t="shared" si="10"/>
        <v/>
      </c>
      <c r="F45" s="179"/>
      <c r="G45" s="180" t="str">
        <f t="shared" si="11"/>
        <v/>
      </c>
      <c r="H45" s="179"/>
      <c r="I45" s="180" t="str">
        <f t="shared" si="12"/>
        <v/>
      </c>
      <c r="J45" s="179"/>
      <c r="K45" s="180" t="str">
        <f t="shared" si="13"/>
        <v/>
      </c>
      <c r="L45" s="179"/>
      <c r="M45" s="180" t="str">
        <f t="shared" si="14"/>
        <v/>
      </c>
      <c r="N45" s="179"/>
      <c r="O45" s="180" t="str">
        <f t="shared" si="15"/>
        <v/>
      </c>
      <c r="P45" s="179"/>
      <c r="Q45" s="192" t="str">
        <f t="shared" si="0"/>
        <v/>
      </c>
      <c r="R45" s="193"/>
      <c r="S45" s="179"/>
      <c r="T45" s="192" t="str">
        <f t="shared" si="16"/>
        <v/>
      </c>
      <c r="U45" s="193"/>
      <c r="V45" s="179"/>
      <c r="W45" s="192" t="str">
        <f t="shared" si="17"/>
        <v/>
      </c>
      <c r="X45" s="194"/>
      <c r="Y45" s="205" t="str">
        <f t="shared" si="1"/>
        <v/>
      </c>
      <c r="Z45" s="206" t="str">
        <f t="shared" si="2"/>
        <v/>
      </c>
      <c r="AA45" s="206" t="str">
        <f t="shared" si="3"/>
        <v/>
      </c>
      <c r="AB45" s="206" t="str">
        <f t="shared" si="4"/>
        <v/>
      </c>
      <c r="AC45" s="207" t="str">
        <f t="shared" si="5"/>
        <v/>
      </c>
      <c r="AD45" s="208" t="str">
        <f t="shared" si="6"/>
        <v/>
      </c>
      <c r="AE45" s="209" t="str">
        <f t="shared" si="18"/>
        <v/>
      </c>
      <c r="AF45" s="210" t="str">
        <f t="shared" si="7"/>
        <v/>
      </c>
      <c r="AG45" s="219" t="str">
        <f t="shared" si="8"/>
        <v/>
      </c>
      <c r="AH45" s="207" t="str">
        <f t="shared" si="9"/>
        <v/>
      </c>
    </row>
    <row r="46" spans="1:34" s="167" customFormat="1" ht="12.75" customHeight="1">
      <c r="A46" s="181">
        <v>39</v>
      </c>
      <c r="B46" s="177"/>
      <c r="C46" s="182"/>
      <c r="D46" s="179"/>
      <c r="E46" s="180" t="str">
        <f t="shared" si="10"/>
        <v/>
      </c>
      <c r="F46" s="179"/>
      <c r="G46" s="180" t="str">
        <f t="shared" si="11"/>
        <v/>
      </c>
      <c r="H46" s="179"/>
      <c r="I46" s="180" t="str">
        <f t="shared" si="12"/>
        <v/>
      </c>
      <c r="J46" s="179"/>
      <c r="K46" s="180" t="str">
        <f t="shared" si="13"/>
        <v/>
      </c>
      <c r="L46" s="179"/>
      <c r="M46" s="180" t="str">
        <f t="shared" si="14"/>
        <v/>
      </c>
      <c r="N46" s="179"/>
      <c r="O46" s="180" t="str">
        <f t="shared" si="15"/>
        <v/>
      </c>
      <c r="P46" s="179"/>
      <c r="Q46" s="192" t="str">
        <f t="shared" si="0"/>
        <v/>
      </c>
      <c r="R46" s="193"/>
      <c r="S46" s="179"/>
      <c r="T46" s="192" t="str">
        <f t="shared" si="16"/>
        <v/>
      </c>
      <c r="U46" s="193"/>
      <c r="V46" s="179"/>
      <c r="W46" s="192" t="str">
        <f t="shared" si="17"/>
        <v/>
      </c>
      <c r="X46" s="194"/>
      <c r="Y46" s="205" t="str">
        <f t="shared" si="1"/>
        <v/>
      </c>
      <c r="Z46" s="206" t="str">
        <f t="shared" si="2"/>
        <v/>
      </c>
      <c r="AA46" s="206" t="str">
        <f t="shared" si="3"/>
        <v/>
      </c>
      <c r="AB46" s="206" t="str">
        <f t="shared" si="4"/>
        <v/>
      </c>
      <c r="AC46" s="207" t="str">
        <f t="shared" si="5"/>
        <v/>
      </c>
      <c r="AD46" s="208" t="str">
        <f t="shared" si="6"/>
        <v/>
      </c>
      <c r="AE46" s="209" t="str">
        <f t="shared" si="18"/>
        <v/>
      </c>
      <c r="AF46" s="210" t="str">
        <f t="shared" si="7"/>
        <v/>
      </c>
      <c r="AG46" s="219" t="str">
        <f t="shared" si="8"/>
        <v/>
      </c>
      <c r="AH46" s="207" t="str">
        <f t="shared" si="9"/>
        <v/>
      </c>
    </row>
    <row r="47" spans="1:34" s="167" customFormat="1" ht="12.75" customHeight="1">
      <c r="A47" s="181">
        <v>40</v>
      </c>
      <c r="B47" s="177"/>
      <c r="C47" s="182"/>
      <c r="D47" s="179"/>
      <c r="E47" s="180" t="str">
        <f t="shared" si="10"/>
        <v/>
      </c>
      <c r="F47" s="179"/>
      <c r="G47" s="180" t="str">
        <f t="shared" si="11"/>
        <v/>
      </c>
      <c r="H47" s="179"/>
      <c r="I47" s="180" t="str">
        <f t="shared" si="12"/>
        <v/>
      </c>
      <c r="J47" s="179"/>
      <c r="K47" s="180" t="str">
        <f t="shared" si="13"/>
        <v/>
      </c>
      <c r="L47" s="179"/>
      <c r="M47" s="180" t="str">
        <f t="shared" si="14"/>
        <v/>
      </c>
      <c r="N47" s="179"/>
      <c r="O47" s="180" t="str">
        <f t="shared" si="15"/>
        <v/>
      </c>
      <c r="P47" s="179"/>
      <c r="Q47" s="192" t="str">
        <f t="shared" si="0"/>
        <v/>
      </c>
      <c r="R47" s="193"/>
      <c r="S47" s="179"/>
      <c r="T47" s="192" t="str">
        <f t="shared" si="16"/>
        <v/>
      </c>
      <c r="U47" s="193"/>
      <c r="V47" s="179"/>
      <c r="W47" s="192" t="str">
        <f t="shared" si="17"/>
        <v/>
      </c>
      <c r="X47" s="194"/>
      <c r="Y47" s="205" t="str">
        <f t="shared" si="1"/>
        <v/>
      </c>
      <c r="Z47" s="206" t="str">
        <f t="shared" si="2"/>
        <v/>
      </c>
      <c r="AA47" s="206" t="str">
        <f t="shared" si="3"/>
        <v/>
      </c>
      <c r="AB47" s="206" t="str">
        <f t="shared" si="4"/>
        <v/>
      </c>
      <c r="AC47" s="207" t="str">
        <f t="shared" si="5"/>
        <v/>
      </c>
      <c r="AD47" s="208" t="str">
        <f t="shared" si="6"/>
        <v/>
      </c>
      <c r="AE47" s="209" t="str">
        <f t="shared" si="18"/>
        <v/>
      </c>
      <c r="AF47" s="210" t="str">
        <f t="shared" si="7"/>
        <v/>
      </c>
      <c r="AG47" s="219" t="str">
        <f t="shared" si="8"/>
        <v/>
      </c>
      <c r="AH47" s="207" t="str">
        <f t="shared" si="9"/>
        <v/>
      </c>
    </row>
    <row r="48" spans="1:34" s="167" customFormat="1" ht="12.75" customHeight="1">
      <c r="A48" s="181">
        <v>41</v>
      </c>
      <c r="B48" s="177"/>
      <c r="C48" s="182"/>
      <c r="D48" s="179"/>
      <c r="E48" s="180" t="str">
        <f t="shared" si="10"/>
        <v/>
      </c>
      <c r="F48" s="179"/>
      <c r="G48" s="180" t="str">
        <f t="shared" si="11"/>
        <v/>
      </c>
      <c r="H48" s="179"/>
      <c r="I48" s="180" t="str">
        <f t="shared" si="12"/>
        <v/>
      </c>
      <c r="J48" s="179"/>
      <c r="K48" s="180" t="str">
        <f t="shared" si="13"/>
        <v/>
      </c>
      <c r="L48" s="179"/>
      <c r="M48" s="180" t="str">
        <f t="shared" si="14"/>
        <v/>
      </c>
      <c r="N48" s="179"/>
      <c r="O48" s="180" t="str">
        <f t="shared" si="15"/>
        <v/>
      </c>
      <c r="P48" s="179"/>
      <c r="Q48" s="192" t="str">
        <f t="shared" si="0"/>
        <v/>
      </c>
      <c r="R48" s="193"/>
      <c r="S48" s="179"/>
      <c r="T48" s="192" t="str">
        <f t="shared" si="16"/>
        <v/>
      </c>
      <c r="U48" s="193"/>
      <c r="V48" s="179"/>
      <c r="W48" s="192" t="str">
        <f t="shared" si="17"/>
        <v/>
      </c>
      <c r="X48" s="194"/>
      <c r="Y48" s="205" t="str">
        <f t="shared" si="1"/>
        <v/>
      </c>
      <c r="Z48" s="206" t="str">
        <f t="shared" si="2"/>
        <v/>
      </c>
      <c r="AA48" s="206" t="str">
        <f t="shared" si="3"/>
        <v/>
      </c>
      <c r="AB48" s="206" t="str">
        <f t="shared" si="4"/>
        <v/>
      </c>
      <c r="AC48" s="207" t="str">
        <f t="shared" si="5"/>
        <v/>
      </c>
      <c r="AD48" s="208" t="str">
        <f t="shared" si="6"/>
        <v/>
      </c>
      <c r="AE48" s="209" t="str">
        <f t="shared" si="18"/>
        <v/>
      </c>
      <c r="AF48" s="210" t="str">
        <f t="shared" si="7"/>
        <v/>
      </c>
      <c r="AG48" s="219" t="str">
        <f t="shared" si="8"/>
        <v/>
      </c>
      <c r="AH48" s="207" t="str">
        <f t="shared" si="9"/>
        <v/>
      </c>
    </row>
    <row r="49" spans="1:36" s="167" customFormat="1" ht="12.75" customHeight="1">
      <c r="A49" s="181">
        <v>42</v>
      </c>
      <c r="B49" s="177"/>
      <c r="C49" s="182"/>
      <c r="D49" s="179"/>
      <c r="E49" s="180" t="str">
        <f t="shared" si="10"/>
        <v/>
      </c>
      <c r="F49" s="179"/>
      <c r="G49" s="180" t="str">
        <f t="shared" si="11"/>
        <v/>
      </c>
      <c r="H49" s="179"/>
      <c r="I49" s="180" t="str">
        <f t="shared" si="12"/>
        <v/>
      </c>
      <c r="J49" s="179"/>
      <c r="K49" s="180" t="str">
        <f t="shared" si="13"/>
        <v/>
      </c>
      <c r="L49" s="179"/>
      <c r="M49" s="180" t="str">
        <f t="shared" si="14"/>
        <v/>
      </c>
      <c r="N49" s="179"/>
      <c r="O49" s="180" t="str">
        <f t="shared" si="15"/>
        <v/>
      </c>
      <c r="P49" s="179"/>
      <c r="Q49" s="192" t="str">
        <f t="shared" si="0"/>
        <v/>
      </c>
      <c r="R49" s="193"/>
      <c r="S49" s="179"/>
      <c r="T49" s="192" t="str">
        <f t="shared" si="16"/>
        <v/>
      </c>
      <c r="U49" s="193"/>
      <c r="V49" s="179"/>
      <c r="W49" s="192" t="str">
        <f t="shared" si="17"/>
        <v/>
      </c>
      <c r="X49" s="194"/>
      <c r="Y49" s="205" t="str">
        <f t="shared" si="1"/>
        <v/>
      </c>
      <c r="Z49" s="206" t="str">
        <f t="shared" si="2"/>
        <v/>
      </c>
      <c r="AA49" s="206" t="str">
        <f t="shared" si="3"/>
        <v/>
      </c>
      <c r="AB49" s="206" t="str">
        <f t="shared" si="4"/>
        <v/>
      </c>
      <c r="AC49" s="207" t="str">
        <f t="shared" si="5"/>
        <v/>
      </c>
      <c r="AD49" s="208" t="str">
        <f t="shared" si="6"/>
        <v/>
      </c>
      <c r="AE49" s="209" t="str">
        <f t="shared" si="18"/>
        <v/>
      </c>
      <c r="AF49" s="210" t="str">
        <f t="shared" si="7"/>
        <v/>
      </c>
      <c r="AG49" s="219" t="str">
        <f t="shared" si="8"/>
        <v/>
      </c>
      <c r="AH49" s="207" t="str">
        <f t="shared" si="9"/>
        <v/>
      </c>
    </row>
    <row r="50" spans="1:36" s="167" customFormat="1" ht="12.75" customHeight="1">
      <c r="A50" s="181">
        <v>43</v>
      </c>
      <c r="B50" s="177"/>
      <c r="C50" s="182"/>
      <c r="D50" s="179"/>
      <c r="E50" s="180" t="str">
        <f t="shared" si="10"/>
        <v/>
      </c>
      <c r="F50" s="179"/>
      <c r="G50" s="180" t="str">
        <f t="shared" si="11"/>
        <v/>
      </c>
      <c r="H50" s="179"/>
      <c r="I50" s="180" t="str">
        <f t="shared" si="12"/>
        <v/>
      </c>
      <c r="J50" s="179"/>
      <c r="K50" s="180" t="str">
        <f t="shared" si="13"/>
        <v/>
      </c>
      <c r="L50" s="179"/>
      <c r="M50" s="180" t="str">
        <f t="shared" si="14"/>
        <v/>
      </c>
      <c r="N50" s="179"/>
      <c r="O50" s="180" t="str">
        <f t="shared" si="15"/>
        <v/>
      </c>
      <c r="P50" s="179"/>
      <c r="Q50" s="192" t="str">
        <f t="shared" si="0"/>
        <v/>
      </c>
      <c r="R50" s="193"/>
      <c r="S50" s="179"/>
      <c r="T50" s="192" t="str">
        <f t="shared" si="16"/>
        <v/>
      </c>
      <c r="U50" s="193"/>
      <c r="V50" s="179"/>
      <c r="W50" s="192" t="str">
        <f t="shared" si="17"/>
        <v/>
      </c>
      <c r="X50" s="194"/>
      <c r="Y50" s="205" t="str">
        <f t="shared" si="1"/>
        <v/>
      </c>
      <c r="Z50" s="206" t="str">
        <f t="shared" si="2"/>
        <v/>
      </c>
      <c r="AA50" s="206" t="str">
        <f t="shared" si="3"/>
        <v/>
      </c>
      <c r="AB50" s="206" t="str">
        <f t="shared" si="4"/>
        <v/>
      </c>
      <c r="AC50" s="207" t="str">
        <f t="shared" si="5"/>
        <v/>
      </c>
      <c r="AD50" s="208" t="str">
        <f t="shared" si="6"/>
        <v/>
      </c>
      <c r="AE50" s="209" t="str">
        <f t="shared" si="18"/>
        <v/>
      </c>
      <c r="AF50" s="210" t="str">
        <f t="shared" si="7"/>
        <v/>
      </c>
      <c r="AG50" s="219" t="str">
        <f t="shared" si="8"/>
        <v/>
      </c>
      <c r="AH50" s="207" t="str">
        <f t="shared" si="9"/>
        <v/>
      </c>
    </row>
    <row r="51" spans="1:36" s="167" customFormat="1" ht="12.75" customHeight="1">
      <c r="A51" s="181">
        <v>44</v>
      </c>
      <c r="B51" s="177"/>
      <c r="C51" s="182"/>
      <c r="D51" s="179"/>
      <c r="E51" s="180" t="str">
        <f t="shared" si="10"/>
        <v/>
      </c>
      <c r="F51" s="179"/>
      <c r="G51" s="180" t="str">
        <f t="shared" si="11"/>
        <v/>
      </c>
      <c r="H51" s="179"/>
      <c r="I51" s="180" t="str">
        <f t="shared" si="12"/>
        <v/>
      </c>
      <c r="J51" s="179"/>
      <c r="K51" s="180" t="str">
        <f t="shared" si="13"/>
        <v/>
      </c>
      <c r="L51" s="179"/>
      <c r="M51" s="180" t="str">
        <f t="shared" si="14"/>
        <v/>
      </c>
      <c r="N51" s="179"/>
      <c r="O51" s="180" t="str">
        <f t="shared" si="15"/>
        <v/>
      </c>
      <c r="P51" s="179"/>
      <c r="Q51" s="192" t="str">
        <f t="shared" si="0"/>
        <v/>
      </c>
      <c r="R51" s="193"/>
      <c r="S51" s="179"/>
      <c r="T51" s="192" t="str">
        <f t="shared" si="16"/>
        <v/>
      </c>
      <c r="U51" s="193"/>
      <c r="V51" s="179"/>
      <c r="W51" s="192" t="str">
        <f t="shared" si="17"/>
        <v/>
      </c>
      <c r="X51" s="194"/>
      <c r="Y51" s="205" t="str">
        <f t="shared" si="1"/>
        <v/>
      </c>
      <c r="Z51" s="206" t="str">
        <f t="shared" si="2"/>
        <v/>
      </c>
      <c r="AA51" s="206" t="str">
        <f t="shared" si="3"/>
        <v/>
      </c>
      <c r="AB51" s="206" t="str">
        <f t="shared" si="4"/>
        <v/>
      </c>
      <c r="AC51" s="207" t="str">
        <f t="shared" si="5"/>
        <v/>
      </c>
      <c r="AD51" s="208" t="str">
        <f t="shared" si="6"/>
        <v/>
      </c>
      <c r="AE51" s="209" t="str">
        <f t="shared" si="18"/>
        <v/>
      </c>
      <c r="AF51" s="210" t="str">
        <f t="shared" si="7"/>
        <v/>
      </c>
      <c r="AG51" s="219" t="str">
        <f t="shared" si="8"/>
        <v/>
      </c>
      <c r="AH51" s="207" t="str">
        <f t="shared" si="9"/>
        <v/>
      </c>
    </row>
    <row r="52" spans="1:36" s="167" customFormat="1" ht="12.75" customHeight="1">
      <c r="A52" s="181">
        <v>45</v>
      </c>
      <c r="B52" s="177"/>
      <c r="C52" s="182"/>
      <c r="D52" s="179"/>
      <c r="E52" s="180" t="str">
        <f t="shared" si="10"/>
        <v/>
      </c>
      <c r="F52" s="179"/>
      <c r="G52" s="180" t="str">
        <f t="shared" si="11"/>
        <v/>
      </c>
      <c r="H52" s="179"/>
      <c r="I52" s="180" t="str">
        <f t="shared" si="12"/>
        <v/>
      </c>
      <c r="J52" s="179"/>
      <c r="K52" s="180" t="str">
        <f t="shared" si="13"/>
        <v/>
      </c>
      <c r="L52" s="179"/>
      <c r="M52" s="180" t="str">
        <f t="shared" si="14"/>
        <v/>
      </c>
      <c r="N52" s="179"/>
      <c r="O52" s="180" t="str">
        <f t="shared" si="15"/>
        <v/>
      </c>
      <c r="P52" s="179"/>
      <c r="Q52" s="192" t="str">
        <f t="shared" si="0"/>
        <v/>
      </c>
      <c r="R52" s="193"/>
      <c r="S52" s="179"/>
      <c r="T52" s="192" t="str">
        <f t="shared" si="16"/>
        <v/>
      </c>
      <c r="U52" s="193"/>
      <c r="V52" s="179"/>
      <c r="W52" s="192" t="str">
        <f t="shared" si="17"/>
        <v/>
      </c>
      <c r="X52" s="194"/>
      <c r="Y52" s="205" t="str">
        <f t="shared" si="1"/>
        <v/>
      </c>
      <c r="Z52" s="206" t="str">
        <f t="shared" si="2"/>
        <v/>
      </c>
      <c r="AA52" s="206" t="str">
        <f t="shared" si="3"/>
        <v/>
      </c>
      <c r="AB52" s="206" t="str">
        <f t="shared" si="4"/>
        <v/>
      </c>
      <c r="AC52" s="207" t="str">
        <f t="shared" si="5"/>
        <v/>
      </c>
      <c r="AD52" s="208" t="str">
        <f t="shared" si="6"/>
        <v/>
      </c>
      <c r="AE52" s="209" t="str">
        <f t="shared" si="18"/>
        <v/>
      </c>
      <c r="AF52" s="210" t="str">
        <f t="shared" si="7"/>
        <v/>
      </c>
      <c r="AG52" s="219" t="str">
        <f t="shared" si="8"/>
        <v/>
      </c>
      <c r="AH52" s="207" t="str">
        <f t="shared" si="9"/>
        <v/>
      </c>
    </row>
    <row r="53" spans="1:36" s="167" customFormat="1" ht="12.75" customHeight="1">
      <c r="A53" s="181">
        <v>46</v>
      </c>
      <c r="B53" s="177"/>
      <c r="C53" s="182"/>
      <c r="D53" s="179"/>
      <c r="E53" s="180" t="str">
        <f t="shared" si="10"/>
        <v/>
      </c>
      <c r="F53" s="179"/>
      <c r="G53" s="180" t="str">
        <f t="shared" si="11"/>
        <v/>
      </c>
      <c r="H53" s="179"/>
      <c r="I53" s="180" t="str">
        <f t="shared" si="12"/>
        <v/>
      </c>
      <c r="J53" s="179"/>
      <c r="K53" s="180" t="str">
        <f t="shared" si="13"/>
        <v/>
      </c>
      <c r="L53" s="179"/>
      <c r="M53" s="180" t="str">
        <f t="shared" si="14"/>
        <v/>
      </c>
      <c r="N53" s="179"/>
      <c r="O53" s="180" t="str">
        <f t="shared" si="15"/>
        <v/>
      </c>
      <c r="P53" s="179"/>
      <c r="Q53" s="192" t="str">
        <f t="shared" si="0"/>
        <v/>
      </c>
      <c r="R53" s="193"/>
      <c r="S53" s="179"/>
      <c r="T53" s="192" t="str">
        <f t="shared" si="16"/>
        <v/>
      </c>
      <c r="U53" s="193"/>
      <c r="V53" s="179"/>
      <c r="W53" s="192" t="str">
        <f t="shared" si="17"/>
        <v/>
      </c>
      <c r="X53" s="194"/>
      <c r="Y53" s="205" t="str">
        <f t="shared" si="1"/>
        <v/>
      </c>
      <c r="Z53" s="206" t="str">
        <f t="shared" si="2"/>
        <v/>
      </c>
      <c r="AA53" s="206" t="str">
        <f t="shared" si="3"/>
        <v/>
      </c>
      <c r="AB53" s="206" t="str">
        <f t="shared" si="4"/>
        <v/>
      </c>
      <c r="AC53" s="207" t="str">
        <f t="shared" si="5"/>
        <v/>
      </c>
      <c r="AD53" s="208" t="str">
        <f t="shared" si="6"/>
        <v/>
      </c>
      <c r="AE53" s="209" t="str">
        <f t="shared" si="18"/>
        <v/>
      </c>
      <c r="AF53" s="210" t="str">
        <f t="shared" si="7"/>
        <v/>
      </c>
      <c r="AG53" s="219" t="str">
        <f t="shared" si="8"/>
        <v/>
      </c>
      <c r="AH53" s="207" t="str">
        <f t="shared" si="9"/>
        <v/>
      </c>
    </row>
    <row r="54" spans="1:36" s="167" customFormat="1" ht="12.75" customHeight="1">
      <c r="A54" s="181">
        <v>47</v>
      </c>
      <c r="B54" s="177"/>
      <c r="C54" s="182"/>
      <c r="D54" s="179"/>
      <c r="E54" s="180" t="str">
        <f t="shared" si="10"/>
        <v/>
      </c>
      <c r="F54" s="179"/>
      <c r="G54" s="180" t="str">
        <f t="shared" si="11"/>
        <v/>
      </c>
      <c r="H54" s="179"/>
      <c r="I54" s="180" t="str">
        <f t="shared" si="12"/>
        <v/>
      </c>
      <c r="J54" s="179"/>
      <c r="K54" s="180" t="str">
        <f t="shared" si="13"/>
        <v/>
      </c>
      <c r="L54" s="179"/>
      <c r="M54" s="180" t="str">
        <f t="shared" si="14"/>
        <v/>
      </c>
      <c r="N54" s="179"/>
      <c r="O54" s="180" t="str">
        <f t="shared" si="15"/>
        <v/>
      </c>
      <c r="P54" s="179"/>
      <c r="Q54" s="192" t="str">
        <f t="shared" si="0"/>
        <v/>
      </c>
      <c r="R54" s="193"/>
      <c r="S54" s="179"/>
      <c r="T54" s="192" t="str">
        <f t="shared" si="16"/>
        <v/>
      </c>
      <c r="U54" s="193"/>
      <c r="V54" s="179"/>
      <c r="W54" s="192" t="str">
        <f t="shared" si="17"/>
        <v/>
      </c>
      <c r="X54" s="194"/>
      <c r="Y54" s="205" t="str">
        <f t="shared" si="1"/>
        <v/>
      </c>
      <c r="Z54" s="206" t="str">
        <f t="shared" si="2"/>
        <v/>
      </c>
      <c r="AA54" s="206" t="str">
        <f t="shared" si="3"/>
        <v/>
      </c>
      <c r="AB54" s="206" t="str">
        <f t="shared" si="4"/>
        <v/>
      </c>
      <c r="AC54" s="207" t="str">
        <f t="shared" si="5"/>
        <v/>
      </c>
      <c r="AD54" s="208" t="str">
        <f t="shared" si="6"/>
        <v/>
      </c>
      <c r="AE54" s="209" t="str">
        <f t="shared" si="18"/>
        <v/>
      </c>
      <c r="AF54" s="210" t="str">
        <f t="shared" si="7"/>
        <v/>
      </c>
      <c r="AG54" s="219" t="str">
        <f t="shared" si="8"/>
        <v/>
      </c>
      <c r="AH54" s="207" t="str">
        <f t="shared" si="9"/>
        <v/>
      </c>
    </row>
    <row r="55" spans="1:36" s="167" customFormat="1" ht="12.75" customHeight="1">
      <c r="A55" s="181">
        <v>48</v>
      </c>
      <c r="B55" s="177"/>
      <c r="C55" s="182"/>
      <c r="D55" s="179"/>
      <c r="E55" s="180" t="str">
        <f t="shared" si="10"/>
        <v/>
      </c>
      <c r="F55" s="179"/>
      <c r="G55" s="180" t="str">
        <f t="shared" si="11"/>
        <v/>
      </c>
      <c r="H55" s="179"/>
      <c r="I55" s="180" t="str">
        <f t="shared" si="12"/>
        <v/>
      </c>
      <c r="J55" s="179"/>
      <c r="K55" s="180" t="str">
        <f t="shared" si="13"/>
        <v/>
      </c>
      <c r="L55" s="179"/>
      <c r="M55" s="180" t="str">
        <f t="shared" si="14"/>
        <v/>
      </c>
      <c r="N55" s="179"/>
      <c r="O55" s="180" t="str">
        <f t="shared" si="15"/>
        <v/>
      </c>
      <c r="P55" s="179"/>
      <c r="Q55" s="192" t="str">
        <f t="shared" si="0"/>
        <v/>
      </c>
      <c r="R55" s="193"/>
      <c r="S55" s="179"/>
      <c r="T55" s="192" t="str">
        <f t="shared" si="16"/>
        <v/>
      </c>
      <c r="U55" s="193"/>
      <c r="V55" s="179"/>
      <c r="W55" s="192" t="str">
        <f t="shared" si="17"/>
        <v/>
      </c>
      <c r="X55" s="194"/>
      <c r="Y55" s="205" t="str">
        <f t="shared" si="1"/>
        <v/>
      </c>
      <c r="Z55" s="206" t="str">
        <f t="shared" si="2"/>
        <v/>
      </c>
      <c r="AA55" s="206" t="str">
        <f t="shared" si="3"/>
        <v/>
      </c>
      <c r="AB55" s="206" t="str">
        <f t="shared" si="4"/>
        <v/>
      </c>
      <c r="AC55" s="207" t="str">
        <f t="shared" si="5"/>
        <v/>
      </c>
      <c r="AD55" s="208" t="str">
        <f t="shared" si="6"/>
        <v/>
      </c>
      <c r="AE55" s="209" t="str">
        <f t="shared" si="18"/>
        <v/>
      </c>
      <c r="AF55" s="210" t="str">
        <f t="shared" si="7"/>
        <v/>
      </c>
      <c r="AG55" s="219" t="str">
        <f t="shared" si="8"/>
        <v/>
      </c>
      <c r="AH55" s="207" t="str">
        <f t="shared" si="9"/>
        <v/>
      </c>
    </row>
    <row r="56" spans="1:36" s="167" customFormat="1" ht="12.75" customHeight="1">
      <c r="A56" s="181">
        <v>49</v>
      </c>
      <c r="B56" s="177"/>
      <c r="C56" s="182"/>
      <c r="D56" s="179"/>
      <c r="E56" s="180" t="str">
        <f t="shared" si="10"/>
        <v/>
      </c>
      <c r="F56" s="179"/>
      <c r="G56" s="180" t="str">
        <f t="shared" si="11"/>
        <v/>
      </c>
      <c r="H56" s="179"/>
      <c r="I56" s="180" t="str">
        <f t="shared" si="12"/>
        <v/>
      </c>
      <c r="J56" s="179"/>
      <c r="K56" s="180" t="str">
        <f t="shared" si="13"/>
        <v/>
      </c>
      <c r="L56" s="179"/>
      <c r="M56" s="180" t="str">
        <f t="shared" si="14"/>
        <v/>
      </c>
      <c r="N56" s="179"/>
      <c r="O56" s="180" t="str">
        <f t="shared" si="15"/>
        <v/>
      </c>
      <c r="P56" s="179"/>
      <c r="Q56" s="192" t="str">
        <f t="shared" si="0"/>
        <v/>
      </c>
      <c r="R56" s="193"/>
      <c r="S56" s="179"/>
      <c r="T56" s="192" t="str">
        <f t="shared" si="16"/>
        <v/>
      </c>
      <c r="U56" s="193"/>
      <c r="V56" s="179"/>
      <c r="W56" s="192" t="str">
        <f t="shared" si="17"/>
        <v/>
      </c>
      <c r="X56" s="194"/>
      <c r="Y56" s="205" t="str">
        <f t="shared" si="1"/>
        <v/>
      </c>
      <c r="Z56" s="206" t="str">
        <f t="shared" si="2"/>
        <v/>
      </c>
      <c r="AA56" s="206" t="str">
        <f t="shared" si="3"/>
        <v/>
      </c>
      <c r="AB56" s="206" t="str">
        <f t="shared" si="4"/>
        <v/>
      </c>
      <c r="AC56" s="207" t="str">
        <f t="shared" si="5"/>
        <v/>
      </c>
      <c r="AD56" s="208" t="str">
        <f t="shared" si="6"/>
        <v/>
      </c>
      <c r="AE56" s="209" t="str">
        <f t="shared" si="18"/>
        <v/>
      </c>
      <c r="AF56" s="210" t="str">
        <f t="shared" si="7"/>
        <v/>
      </c>
      <c r="AG56" s="219" t="str">
        <f t="shared" si="8"/>
        <v/>
      </c>
      <c r="AH56" s="207" t="str">
        <f t="shared" si="9"/>
        <v/>
      </c>
    </row>
    <row r="57" spans="1:36" s="167" customFormat="1" ht="12.75" customHeight="1">
      <c r="A57" s="181">
        <v>50</v>
      </c>
      <c r="B57" s="177"/>
      <c r="C57" s="182"/>
      <c r="D57" s="179"/>
      <c r="E57" s="180" t="str">
        <f t="shared" si="10"/>
        <v/>
      </c>
      <c r="F57" s="179"/>
      <c r="G57" s="180" t="str">
        <f t="shared" si="11"/>
        <v/>
      </c>
      <c r="H57" s="179"/>
      <c r="I57" s="180" t="str">
        <f t="shared" si="12"/>
        <v/>
      </c>
      <c r="J57" s="179"/>
      <c r="K57" s="180" t="str">
        <f t="shared" si="13"/>
        <v/>
      </c>
      <c r="L57" s="179"/>
      <c r="M57" s="180" t="str">
        <f t="shared" si="14"/>
        <v/>
      </c>
      <c r="N57" s="179"/>
      <c r="O57" s="180" t="str">
        <f t="shared" si="15"/>
        <v/>
      </c>
      <c r="P57" s="179"/>
      <c r="Q57" s="192" t="str">
        <f t="shared" si="0"/>
        <v/>
      </c>
      <c r="R57" s="193"/>
      <c r="S57" s="179"/>
      <c r="T57" s="192" t="str">
        <f t="shared" si="16"/>
        <v/>
      </c>
      <c r="U57" s="193"/>
      <c r="V57" s="179"/>
      <c r="W57" s="192" t="str">
        <f t="shared" si="17"/>
        <v/>
      </c>
      <c r="X57" s="194"/>
      <c r="Y57" s="205" t="str">
        <f t="shared" si="1"/>
        <v/>
      </c>
      <c r="Z57" s="206" t="str">
        <f t="shared" si="2"/>
        <v/>
      </c>
      <c r="AA57" s="206" t="str">
        <f t="shared" si="3"/>
        <v/>
      </c>
      <c r="AB57" s="206" t="str">
        <f t="shared" si="4"/>
        <v/>
      </c>
      <c r="AC57" s="207" t="str">
        <f t="shared" si="5"/>
        <v/>
      </c>
      <c r="AD57" s="208" t="str">
        <f t="shared" si="6"/>
        <v/>
      </c>
      <c r="AE57" s="209" t="str">
        <f t="shared" si="18"/>
        <v/>
      </c>
      <c r="AF57" s="210" t="str">
        <f t="shared" si="7"/>
        <v/>
      </c>
      <c r="AG57" s="219" t="str">
        <f t="shared" si="8"/>
        <v/>
      </c>
      <c r="AH57" s="207" t="str">
        <f t="shared" si="9"/>
        <v/>
      </c>
    </row>
    <row r="58" spans="1:36" s="167" customFormat="1" ht="12.75" customHeight="1">
      <c r="A58" s="181">
        <v>51</v>
      </c>
      <c r="B58" s="177"/>
      <c r="C58" s="182"/>
      <c r="D58" s="179"/>
      <c r="E58" s="180" t="str">
        <f t="shared" si="10"/>
        <v/>
      </c>
      <c r="F58" s="179"/>
      <c r="G58" s="180" t="str">
        <f t="shared" si="11"/>
        <v/>
      </c>
      <c r="H58" s="179"/>
      <c r="I58" s="180" t="str">
        <f t="shared" si="12"/>
        <v/>
      </c>
      <c r="J58" s="179"/>
      <c r="K58" s="180" t="str">
        <f t="shared" si="13"/>
        <v/>
      </c>
      <c r="L58" s="179"/>
      <c r="M58" s="180" t="str">
        <f t="shared" si="14"/>
        <v/>
      </c>
      <c r="N58" s="179"/>
      <c r="O58" s="180" t="str">
        <f t="shared" si="15"/>
        <v/>
      </c>
      <c r="P58" s="179"/>
      <c r="Q58" s="192" t="str">
        <f t="shared" si="0"/>
        <v/>
      </c>
      <c r="R58" s="193"/>
      <c r="S58" s="179"/>
      <c r="T58" s="192" t="str">
        <f t="shared" si="16"/>
        <v/>
      </c>
      <c r="U58" s="193"/>
      <c r="V58" s="179"/>
      <c r="W58" s="192" t="str">
        <f t="shared" si="17"/>
        <v/>
      </c>
      <c r="X58" s="194"/>
      <c r="Y58" s="205" t="str">
        <f t="shared" si="1"/>
        <v/>
      </c>
      <c r="Z58" s="206" t="str">
        <f t="shared" si="2"/>
        <v/>
      </c>
      <c r="AA58" s="206" t="str">
        <f t="shared" si="3"/>
        <v/>
      </c>
      <c r="AB58" s="206" t="str">
        <f t="shared" si="4"/>
        <v/>
      </c>
      <c r="AC58" s="207" t="str">
        <f t="shared" si="5"/>
        <v/>
      </c>
      <c r="AD58" s="208" t="str">
        <f t="shared" si="6"/>
        <v/>
      </c>
      <c r="AE58" s="209" t="str">
        <f t="shared" si="18"/>
        <v/>
      </c>
      <c r="AF58" s="210" t="str">
        <f t="shared" si="7"/>
        <v/>
      </c>
      <c r="AG58" s="219" t="str">
        <f t="shared" si="8"/>
        <v/>
      </c>
      <c r="AH58" s="207" t="str">
        <f t="shared" si="9"/>
        <v/>
      </c>
    </row>
    <row r="59" spans="1:36" s="167" customFormat="1" ht="12.75" customHeight="1">
      <c r="A59" s="181">
        <v>52</v>
      </c>
      <c r="B59" s="177"/>
      <c r="C59" s="182"/>
      <c r="D59" s="179"/>
      <c r="E59" s="180" t="str">
        <f t="shared" si="10"/>
        <v/>
      </c>
      <c r="F59" s="179"/>
      <c r="G59" s="180" t="str">
        <f t="shared" si="11"/>
        <v/>
      </c>
      <c r="H59" s="179"/>
      <c r="I59" s="180" t="str">
        <f t="shared" si="12"/>
        <v/>
      </c>
      <c r="J59" s="179"/>
      <c r="K59" s="180" t="str">
        <f t="shared" si="13"/>
        <v/>
      </c>
      <c r="L59" s="179"/>
      <c r="M59" s="180" t="str">
        <f t="shared" si="14"/>
        <v/>
      </c>
      <c r="N59" s="179"/>
      <c r="O59" s="180" t="str">
        <f t="shared" si="15"/>
        <v/>
      </c>
      <c r="P59" s="179"/>
      <c r="Q59" s="192" t="str">
        <f t="shared" si="0"/>
        <v/>
      </c>
      <c r="R59" s="193"/>
      <c r="S59" s="179"/>
      <c r="T59" s="192" t="str">
        <f t="shared" si="16"/>
        <v/>
      </c>
      <c r="U59" s="193"/>
      <c r="V59" s="179"/>
      <c r="W59" s="192" t="str">
        <f t="shared" si="17"/>
        <v/>
      </c>
      <c r="X59" s="194"/>
      <c r="Y59" s="205" t="str">
        <f t="shared" si="1"/>
        <v/>
      </c>
      <c r="Z59" s="206" t="str">
        <f t="shared" si="2"/>
        <v/>
      </c>
      <c r="AA59" s="206" t="str">
        <f t="shared" si="3"/>
        <v/>
      </c>
      <c r="AB59" s="206" t="str">
        <f t="shared" si="4"/>
        <v/>
      </c>
      <c r="AC59" s="207" t="str">
        <f t="shared" si="5"/>
        <v/>
      </c>
      <c r="AD59" s="208" t="str">
        <f t="shared" si="6"/>
        <v/>
      </c>
      <c r="AE59" s="209" t="str">
        <f t="shared" si="18"/>
        <v/>
      </c>
      <c r="AF59" s="210" t="str">
        <f t="shared" si="7"/>
        <v/>
      </c>
      <c r="AG59" s="219" t="str">
        <f t="shared" si="8"/>
        <v/>
      </c>
      <c r="AH59" s="207" t="str">
        <f t="shared" si="9"/>
        <v/>
      </c>
    </row>
    <row r="60" spans="1:36" s="167" customFormat="1" ht="12.75" customHeight="1">
      <c r="A60" s="181">
        <v>53</v>
      </c>
      <c r="B60" s="177"/>
      <c r="C60" s="182"/>
      <c r="D60" s="179"/>
      <c r="E60" s="180" t="str">
        <f t="shared" si="10"/>
        <v/>
      </c>
      <c r="F60" s="179"/>
      <c r="G60" s="180" t="str">
        <f t="shared" si="11"/>
        <v/>
      </c>
      <c r="H60" s="179"/>
      <c r="I60" s="180" t="str">
        <f t="shared" si="12"/>
        <v/>
      </c>
      <c r="J60" s="179"/>
      <c r="K60" s="180" t="str">
        <f t="shared" si="13"/>
        <v/>
      </c>
      <c r="L60" s="179"/>
      <c r="M60" s="180" t="str">
        <f t="shared" si="14"/>
        <v/>
      </c>
      <c r="N60" s="179"/>
      <c r="O60" s="180" t="str">
        <f t="shared" si="15"/>
        <v/>
      </c>
      <c r="P60" s="179"/>
      <c r="Q60" s="192" t="str">
        <f t="shared" si="0"/>
        <v/>
      </c>
      <c r="R60" s="193"/>
      <c r="S60" s="179"/>
      <c r="T60" s="192" t="str">
        <f t="shared" si="16"/>
        <v/>
      </c>
      <c r="U60" s="193"/>
      <c r="V60" s="179"/>
      <c r="W60" s="192" t="str">
        <f t="shared" si="17"/>
        <v/>
      </c>
      <c r="X60" s="194"/>
      <c r="Y60" s="205" t="str">
        <f t="shared" si="1"/>
        <v/>
      </c>
      <c r="Z60" s="206" t="str">
        <f t="shared" si="2"/>
        <v/>
      </c>
      <c r="AA60" s="206" t="str">
        <f t="shared" si="3"/>
        <v/>
      </c>
      <c r="AB60" s="206" t="str">
        <f t="shared" si="4"/>
        <v/>
      </c>
      <c r="AC60" s="207" t="str">
        <f t="shared" si="5"/>
        <v/>
      </c>
      <c r="AD60" s="208" t="str">
        <f t="shared" si="6"/>
        <v/>
      </c>
      <c r="AE60" s="209" t="str">
        <f t="shared" si="18"/>
        <v/>
      </c>
      <c r="AF60" s="210" t="str">
        <f t="shared" si="7"/>
        <v/>
      </c>
      <c r="AG60" s="219" t="str">
        <f t="shared" si="8"/>
        <v/>
      </c>
      <c r="AH60" s="207" t="str">
        <f t="shared" si="9"/>
        <v/>
      </c>
    </row>
    <row r="61" spans="1:36" s="167" customFormat="1" ht="12.75" customHeight="1">
      <c r="A61" s="181">
        <v>54</v>
      </c>
      <c r="B61" s="177"/>
      <c r="C61" s="182"/>
      <c r="D61" s="179"/>
      <c r="E61" s="180" t="str">
        <f t="shared" si="10"/>
        <v/>
      </c>
      <c r="F61" s="179"/>
      <c r="G61" s="180" t="str">
        <f t="shared" si="11"/>
        <v/>
      </c>
      <c r="H61" s="179"/>
      <c r="I61" s="180" t="str">
        <f t="shared" si="12"/>
        <v/>
      </c>
      <c r="J61" s="179"/>
      <c r="K61" s="180" t="str">
        <f t="shared" si="13"/>
        <v/>
      </c>
      <c r="L61" s="179"/>
      <c r="M61" s="180" t="str">
        <f t="shared" si="14"/>
        <v/>
      </c>
      <c r="N61" s="179"/>
      <c r="O61" s="180" t="str">
        <f t="shared" si="15"/>
        <v/>
      </c>
      <c r="P61" s="179"/>
      <c r="Q61" s="192" t="str">
        <f t="shared" si="0"/>
        <v/>
      </c>
      <c r="R61" s="193"/>
      <c r="S61" s="179"/>
      <c r="T61" s="192" t="str">
        <f t="shared" si="16"/>
        <v/>
      </c>
      <c r="U61" s="193"/>
      <c r="V61" s="179"/>
      <c r="W61" s="192" t="str">
        <f t="shared" si="17"/>
        <v/>
      </c>
      <c r="X61" s="194"/>
      <c r="Y61" s="205" t="str">
        <f t="shared" si="1"/>
        <v/>
      </c>
      <c r="Z61" s="206" t="str">
        <f t="shared" si="2"/>
        <v/>
      </c>
      <c r="AA61" s="206" t="str">
        <f t="shared" si="3"/>
        <v/>
      </c>
      <c r="AB61" s="206" t="str">
        <f t="shared" si="4"/>
        <v/>
      </c>
      <c r="AC61" s="207" t="str">
        <f t="shared" si="5"/>
        <v/>
      </c>
      <c r="AD61" s="208" t="str">
        <f t="shared" si="6"/>
        <v/>
      </c>
      <c r="AE61" s="209" t="str">
        <f t="shared" si="18"/>
        <v/>
      </c>
      <c r="AF61" s="210" t="str">
        <f t="shared" si="7"/>
        <v/>
      </c>
      <c r="AG61" s="219" t="str">
        <f t="shared" si="8"/>
        <v/>
      </c>
      <c r="AH61" s="207" t="str">
        <f t="shared" si="9"/>
        <v/>
      </c>
    </row>
    <row r="62" spans="1:36" s="167" customFormat="1" ht="12.75" customHeight="1">
      <c r="A62" s="181">
        <v>55</v>
      </c>
      <c r="B62" s="177"/>
      <c r="C62" s="182"/>
      <c r="D62" s="179"/>
      <c r="E62" s="180" t="str">
        <f t="shared" si="10"/>
        <v/>
      </c>
      <c r="F62" s="179"/>
      <c r="G62" s="180" t="str">
        <f t="shared" si="11"/>
        <v/>
      </c>
      <c r="H62" s="179"/>
      <c r="I62" s="180" t="str">
        <f t="shared" si="12"/>
        <v/>
      </c>
      <c r="J62" s="179"/>
      <c r="K62" s="180" t="str">
        <f t="shared" si="13"/>
        <v/>
      </c>
      <c r="L62" s="179"/>
      <c r="M62" s="180" t="str">
        <f t="shared" si="14"/>
        <v/>
      </c>
      <c r="N62" s="179"/>
      <c r="O62" s="185" t="str">
        <f t="shared" si="15"/>
        <v/>
      </c>
      <c r="P62" s="179"/>
      <c r="Q62" s="195" t="str">
        <f t="shared" si="0"/>
        <v/>
      </c>
      <c r="R62" s="196"/>
      <c r="S62" s="179"/>
      <c r="T62" s="195" t="str">
        <f t="shared" si="16"/>
        <v/>
      </c>
      <c r="U62" s="196"/>
      <c r="V62" s="179"/>
      <c r="W62" s="195" t="str">
        <f t="shared" si="17"/>
        <v/>
      </c>
      <c r="X62" s="197"/>
      <c r="Y62" s="211" t="str">
        <f t="shared" si="1"/>
        <v/>
      </c>
      <c r="Z62" s="212" t="str">
        <f t="shared" si="2"/>
        <v/>
      </c>
      <c r="AA62" s="212" t="str">
        <f t="shared" si="3"/>
        <v/>
      </c>
      <c r="AB62" s="212" t="str">
        <f t="shared" si="4"/>
        <v/>
      </c>
      <c r="AC62" s="213" t="str">
        <f t="shared" si="5"/>
        <v/>
      </c>
      <c r="AD62" s="214" t="str">
        <f t="shared" si="6"/>
        <v/>
      </c>
      <c r="AE62" s="215" t="str">
        <f t="shared" si="18"/>
        <v/>
      </c>
      <c r="AF62" s="216" t="str">
        <f t="shared" si="7"/>
        <v/>
      </c>
      <c r="AG62" s="220" t="str">
        <f t="shared" si="8"/>
        <v/>
      </c>
      <c r="AH62" s="213" t="str">
        <f t="shared" si="9"/>
        <v/>
      </c>
    </row>
    <row r="63" spans="1:36" s="167" customFormat="1" ht="12.75" customHeight="1">
      <c r="A63" s="342" t="s">
        <v>33</v>
      </c>
      <c r="B63" s="343"/>
      <c r="C63" s="344"/>
      <c r="D63" s="345" t="str">
        <f>IF(COUNTA(D8:D62)=0,"",(SUM(D8:D62)))</f>
        <v/>
      </c>
      <c r="E63" s="346"/>
      <c r="F63" s="345" t="str">
        <f>IF(COUNTA(F8:F62)=0,"",(SUM(F8:F62)))</f>
        <v/>
      </c>
      <c r="G63" s="346"/>
      <c r="H63" s="345" t="str">
        <f t="shared" ref="H63" si="19">IF(COUNTA(H8:H62)=0,"",(SUM(H8:H62)))</f>
        <v/>
      </c>
      <c r="I63" s="346"/>
      <c r="J63" s="345" t="str">
        <f t="shared" ref="J63" si="20">IF(COUNTA(J8:J62)=0,"",(SUM(J8:J62)))</f>
        <v/>
      </c>
      <c r="K63" s="346"/>
      <c r="L63" s="345" t="str">
        <f t="shared" ref="L63" si="21">IF(COUNTA(L8:L62)=0,"",(SUM(L8:L62)))</f>
        <v/>
      </c>
      <c r="M63" s="346"/>
      <c r="N63" s="345" t="str">
        <f t="shared" ref="N63" si="22">IF(COUNTA(N8:N62)=0,"",(SUM(N8:N62)))</f>
        <v/>
      </c>
      <c r="O63" s="346"/>
      <c r="P63" s="345" t="str">
        <f t="shared" ref="P63" si="23">IF(COUNTA(P8:P62)=0,"",(SUM(P8:P62)))</f>
        <v/>
      </c>
      <c r="Q63" s="346"/>
      <c r="R63" s="198"/>
      <c r="S63" s="345" t="str">
        <f t="shared" ref="S63" si="24">IF(COUNTA(S8:S62)=0,"",(SUM(S8:S62)))</f>
        <v/>
      </c>
      <c r="T63" s="346"/>
      <c r="U63" s="199"/>
      <c r="V63" s="345" t="str">
        <f t="shared" ref="V63" si="25">IF(COUNTA(V8:V62)=0,"",(SUM(V8:V62)))</f>
        <v/>
      </c>
      <c r="W63" s="346"/>
      <c r="X63" s="199"/>
      <c r="Y63" s="342" t="s">
        <v>34</v>
      </c>
      <c r="Z63" s="343"/>
      <c r="AA63" s="343"/>
      <c r="AB63" s="343"/>
      <c r="AC63" s="347"/>
      <c r="AD63" s="217" t="str">
        <f>IF(OR(COUNTIF(AD8:AD62,"P")&lt;&gt;0,COUNTIF(AD8:AD62,"F")&lt;&gt;0,COUNTIF(AD8:AD62,"ab")&lt;&gt;0),(COUNTIF(AD8:AD62,"ab")),"")</f>
        <v/>
      </c>
      <c r="AE63" s="217" t="str">
        <f>IF(OR(COUNTIF(AE8:AE62,"P")&lt;&gt;0,COUNTIF(AE8:AE62,"F")&lt;&gt;0,COUNTIF(AE8:AE62,"ab")&lt;&gt;0,COUNTIF(AE8:AE62,"Q1")&lt;&gt;0,COUNTIF(AE8:AE62,"Q2")&lt;&gt;0,COUNTIF(AE8:AE62,"R1")&lt;&gt;0,COUNTIF(AE8:AE62,"R2")&lt;&gt;0),(COUNTIF(AE8:AE62,"ab")),"")</f>
        <v/>
      </c>
      <c r="AF63" s="348" t="s">
        <v>34</v>
      </c>
      <c r="AG63" s="349"/>
      <c r="AH63" s="350"/>
      <c r="AI63" s="221"/>
      <c r="AJ63" s="221"/>
    </row>
    <row r="64" spans="1:36" s="167" customFormat="1" ht="12.75" customHeight="1">
      <c r="A64" s="351" t="s">
        <v>35</v>
      </c>
      <c r="B64" s="352"/>
      <c r="C64" s="353"/>
      <c r="D64" s="354" t="str">
        <f>IF(D63="","",IF(D63=0,0,AVERAGE(D8:D62)))</f>
        <v/>
      </c>
      <c r="E64" s="355"/>
      <c r="F64" s="354" t="str">
        <f>IF(F63="","",IF(F63=0,0,AVERAGE(F8:F62)))</f>
        <v/>
      </c>
      <c r="G64" s="355"/>
      <c r="H64" s="354" t="str">
        <f t="shared" ref="H64" si="26">IF(H63="","",IF(H63=0,0,AVERAGE(H8:H62)))</f>
        <v/>
      </c>
      <c r="I64" s="355"/>
      <c r="J64" s="354" t="str">
        <f t="shared" ref="J64" si="27">IF(J63="","",IF(J63=0,0,AVERAGE(J8:J62)))</f>
        <v/>
      </c>
      <c r="K64" s="355"/>
      <c r="L64" s="354" t="str">
        <f t="shared" ref="L64" si="28">IF(L63="","",IF(L63=0,0,AVERAGE(L8:L62)))</f>
        <v/>
      </c>
      <c r="M64" s="355"/>
      <c r="N64" s="354" t="str">
        <f t="shared" ref="N64" si="29">IF(N63="","",IF(N63=0,0,AVERAGE(N8:N62)))</f>
        <v/>
      </c>
      <c r="O64" s="355"/>
      <c r="P64" s="354" t="str">
        <f t="shared" ref="P64" si="30">IF(P63="","",IF(P63=0,0,AVERAGE(P8:P62)))</f>
        <v/>
      </c>
      <c r="Q64" s="355"/>
      <c r="R64" s="200"/>
      <c r="S64" s="354" t="str">
        <f t="shared" ref="S64" si="31">IF(S63="","",IF(S63=0,0,AVERAGE(S8:S62)))</f>
        <v/>
      </c>
      <c r="T64" s="355"/>
      <c r="U64" s="201"/>
      <c r="V64" s="354" t="str">
        <f t="shared" ref="V64" si="32">IF(V63="","",IF(V63=0,0,AVERAGE(V8:V62)))</f>
        <v/>
      </c>
      <c r="W64" s="355"/>
      <c r="X64" s="201"/>
      <c r="Y64" s="356" t="s">
        <v>36</v>
      </c>
      <c r="Z64" s="357"/>
      <c r="AA64" s="357"/>
      <c r="AB64" s="357"/>
      <c r="AC64" s="358"/>
      <c r="AD64" s="218" t="str">
        <f>IF(OR(COUNTIF(AD8:AD62,"P")&lt;&gt;0,COUNTIF(AD8:AD62,"F")&lt;&gt;0,COUNTIF(AD8:AD62,"ab")&lt;&gt;0),(COUNTIF(AD8:AD62,"P")),"")</f>
        <v/>
      </c>
      <c r="AE64" s="218" t="str">
        <f>IF(OR(COUNTIF(AE8:AE62,"P")&lt;&gt;0,COUNTIF(AE8:AE62,"F")&lt;&gt;0,COUNTIF(AE8:AE62,"ab")&lt;&gt;0,COUNTIF(AE8:AE62,"Q1")&lt;&gt;0,COUNTIF(AE8:AE62,"Q2")&lt;&gt;0,COUNTIF(AE8:AE62,"R1")&lt;&gt;0,COUNTIF(AE8:AE62,"R2")&lt;&gt;0),(COUNTIF(AE8:AE62,"P")),"")</f>
        <v/>
      </c>
      <c r="AF64" s="356" t="s">
        <v>36</v>
      </c>
      <c r="AG64" s="357"/>
      <c r="AH64" s="359"/>
    </row>
    <row r="65" spans="1:66" s="167" customFormat="1" ht="13.2">
      <c r="A65" s="222"/>
      <c r="B65" s="223"/>
      <c r="C65" s="224"/>
      <c r="D65" s="225"/>
      <c r="E65" s="226"/>
      <c r="F65" s="227"/>
      <c r="G65" s="226"/>
      <c r="H65" s="227"/>
      <c r="I65" s="226"/>
      <c r="J65" s="227"/>
      <c r="K65" s="226"/>
      <c r="L65" s="227"/>
      <c r="M65" s="226"/>
      <c r="N65" s="227"/>
      <c r="O65" s="226"/>
      <c r="P65" s="227"/>
      <c r="Q65" s="256"/>
      <c r="R65" s="226"/>
      <c r="S65" s="227"/>
      <c r="T65" s="226"/>
      <c r="U65" s="257"/>
      <c r="V65" s="258"/>
      <c r="W65" s="259"/>
      <c r="X65" s="260"/>
      <c r="Y65" s="420" t="s">
        <v>37</v>
      </c>
      <c r="Z65" s="352"/>
      <c r="AA65" s="352"/>
      <c r="AB65" s="352"/>
      <c r="AC65" s="360"/>
      <c r="AD65" s="283" t="str">
        <f>IF(OR(COUNTIF(AD8:AD62,"P")&lt;&gt;0,COUNTIF(AD8:AD62,"F")&lt;&gt;0,COUNTIF(AD8:AD62,"ab")&lt;&gt;0),(COUNTIF(AD8:AD62,"F")),"")</f>
        <v/>
      </c>
      <c r="AE65" s="218" t="str">
        <f>IF(OR(COUNTIF(AE8:AE62,"P")&lt;&gt;0,COUNTIF(AE8:AE62,"F")&lt;&gt;0,COUNTIF(AE8:AE62,"ab")&lt;&gt;0,COUNTIF(AE8:AE62,"Q1")&lt;&gt;0,COUNTIF(AE8:AE62,"Q2")&lt;&gt;0,COUNTIF(AE8:AE62,"R1")&lt;&gt;0,COUNTIF(AE8:AE62,"R2")&lt;&gt;0),(COUNTIF(AE8:AE62,"Q1")),"")</f>
        <v/>
      </c>
      <c r="AF65" s="356" t="s">
        <v>38</v>
      </c>
      <c r="AG65" s="357"/>
      <c r="AH65" s="359"/>
    </row>
    <row r="66" spans="1:66" s="167" customFormat="1" ht="12" customHeight="1">
      <c r="A66" s="418" t="s">
        <v>39</v>
      </c>
      <c r="B66" s="418"/>
      <c r="C66" s="228" t="s">
        <v>40</v>
      </c>
      <c r="D66" s="229"/>
      <c r="E66" s="192" t="str">
        <f>IF(D$63="","",(COUNTIF(E$8:E$62,"A")))</f>
        <v/>
      </c>
      <c r="F66" s="229"/>
      <c r="G66" s="192" t="str">
        <f>IF(F$63="","",(COUNTIF(G$8:G$62,"A")))</f>
        <v/>
      </c>
      <c r="H66" s="229"/>
      <c r="I66" s="192" t="str">
        <f>IF(H$63="","",(COUNTIF(I$8:I$62,"A")))</f>
        <v/>
      </c>
      <c r="J66" s="229"/>
      <c r="K66" s="192" t="str">
        <f>IF(J$63="","",(COUNTIF(K$8:K$62,"A")))</f>
        <v/>
      </c>
      <c r="L66" s="229"/>
      <c r="M66" s="192" t="str">
        <f>IF(L$63="","",(COUNTIF(M$8:M$62,"A")))</f>
        <v/>
      </c>
      <c r="N66" s="229"/>
      <c r="O66" s="192" t="str">
        <f>IF(N$63="","",(COUNTIF(O$8:O$62,"A")))</f>
        <v/>
      </c>
      <c r="P66" s="229"/>
      <c r="Q66" s="192" t="str">
        <f>IF(P$63="","",(COUNTIF(Q$8:Q$62,"A")))</f>
        <v/>
      </c>
      <c r="R66" s="229"/>
      <c r="S66" s="229"/>
      <c r="T66" s="192" t="str">
        <f>IF(S$63="","",(COUNTIF(T$8:T$62,"A")))</f>
        <v/>
      </c>
      <c r="U66" s="261"/>
      <c r="V66" s="262"/>
      <c r="W66" s="192" t="str">
        <f>IF(V$63="","",(COUNTIF(W$8:W$62,"A")))</f>
        <v/>
      </c>
      <c r="X66" s="263"/>
      <c r="Y66" s="205" t="str">
        <f>IF((COUNT($D66:$W66)=0),"",(SUM($D66:$W66)))</f>
        <v/>
      </c>
      <c r="Z66" s="284"/>
      <c r="AA66" s="284"/>
      <c r="AB66" s="284"/>
      <c r="AC66" s="284"/>
      <c r="AD66" s="285"/>
      <c r="AE66" s="218" t="str">
        <f>IF(OR(COUNTIF(AE8:AE62,"P")&lt;&gt;0,COUNTIF(AE8:AE62,"F")&lt;&gt;0,COUNTIF(AE8:AE62,"ab")&lt;&gt;0,COUNTIF(AE8:AE62,"Q1")&lt;&gt;0,COUNTIF(AE8:AE62,"Q2")&lt;&gt;0,COUNTIF(AE8:AE62,"R1")&lt;&gt;0,COUNTIF(AE8:AE62,"R2")&lt;&gt;0),(COUNTIF(AE8:AE62,"Q2")),"")</f>
        <v/>
      </c>
      <c r="AF66" s="356" t="s">
        <v>41</v>
      </c>
      <c r="AG66" s="357"/>
      <c r="AH66" s="359"/>
    </row>
    <row r="67" spans="1:66" s="167" customFormat="1" ht="12" customHeight="1">
      <c r="A67" s="418"/>
      <c r="B67" s="418"/>
      <c r="C67" s="228" t="s">
        <v>42</v>
      </c>
      <c r="D67" s="229"/>
      <c r="E67" s="192" t="str">
        <f>IF(D$63="","",(COUNTIF(E$8:E$62,"B")))</f>
        <v/>
      </c>
      <c r="F67" s="229"/>
      <c r="G67" s="192" t="str">
        <f>IF(F$63="","",(COUNTIF(G$8:G$62,"B")))</f>
        <v/>
      </c>
      <c r="H67" s="229"/>
      <c r="I67" s="192" t="str">
        <f>IF(H$63="","",(COUNTIF(I$8:I$62,"B")))</f>
        <v/>
      </c>
      <c r="J67" s="229"/>
      <c r="K67" s="192" t="str">
        <f>IF(J$63="","",(COUNTIF(K$8:K$62,"B")))</f>
        <v/>
      </c>
      <c r="L67" s="229"/>
      <c r="M67" s="192" t="str">
        <f>IF(L$63="","",(COUNTIF(M$8:M$62,"B")))</f>
        <v/>
      </c>
      <c r="N67" s="229"/>
      <c r="O67" s="192" t="str">
        <f>IF(N$63="","",(COUNTIF(O$8:O$62,"B")))</f>
        <v/>
      </c>
      <c r="P67" s="229"/>
      <c r="Q67" s="192" t="str">
        <f>IF(P$63="","",(COUNTIF(Q$8:Q$62,"B")))</f>
        <v/>
      </c>
      <c r="R67" s="229"/>
      <c r="S67" s="229"/>
      <c r="T67" s="192" t="str">
        <f>IF(S$63="","",(COUNTIF(T$8:T$62,"B")))</f>
        <v/>
      </c>
      <c r="U67" s="261"/>
      <c r="V67" s="262"/>
      <c r="W67" s="192" t="str">
        <f>IF(V$63="","",(COUNTIF(W$8:W$62,"B")))</f>
        <v/>
      </c>
      <c r="X67" s="264"/>
      <c r="Y67" s="286"/>
      <c r="Z67" s="240" t="str">
        <f>IF((COUNT($D67:$W67)=0),"",SUM($D67:$W67))</f>
        <v/>
      </c>
      <c r="AA67" s="229"/>
      <c r="AB67" s="229"/>
      <c r="AC67" s="229"/>
      <c r="AD67" s="287"/>
      <c r="AE67" s="218" t="str">
        <f>IF(OR(COUNTIF(AE8:AE62,"P")&lt;&gt;0,COUNTIF(AE8:AE62,"F")&lt;&gt;0,COUNTIF(AE8:AE62,"ab")&lt;&gt;0,COUNTIF(AE8:AE62,"Q1")&lt;&gt;0,COUNTIF(AE8:AE62,"Q2")&lt;&gt;0,COUNTIF(AE8:AE62,"R1")&lt;&gt;0,COUNTIF(AE8:AE62,"R2")&lt;&gt;0),(COUNTIF(AE8:AE62,"R1")),"")</f>
        <v/>
      </c>
      <c r="AF67" s="356" t="s">
        <v>43</v>
      </c>
      <c r="AG67" s="357"/>
      <c r="AH67" s="359"/>
    </row>
    <row r="68" spans="1:66" s="167" customFormat="1" ht="12" customHeight="1">
      <c r="A68" s="418"/>
      <c r="B68" s="418"/>
      <c r="C68" s="228" t="s">
        <v>44</v>
      </c>
      <c r="D68" s="229"/>
      <c r="E68" s="192" t="str">
        <f>IF(D$63="","",(COUNTIF(E$8:E$62,"C")))</f>
        <v/>
      </c>
      <c r="F68" s="229"/>
      <c r="G68" s="192" t="str">
        <f>IF(F$63="","",(COUNTIF(G$8:G$62,"C")))</f>
        <v/>
      </c>
      <c r="H68" s="229"/>
      <c r="I68" s="192" t="str">
        <f>IF(H$63="","",(COUNTIF(I$8:I$62,"C")))</f>
        <v/>
      </c>
      <c r="J68" s="229"/>
      <c r="K68" s="192" t="str">
        <f>IF(J$63="","",(COUNTIF(K$8:K$62,"C")))</f>
        <v/>
      </c>
      <c r="L68" s="229"/>
      <c r="M68" s="192" t="str">
        <f>IF(L$63="","",(COUNTIF(M$8:M$62,"C")))</f>
        <v/>
      </c>
      <c r="N68" s="229"/>
      <c r="O68" s="192" t="str">
        <f>IF(N$63="","",(COUNTIF(O$8:O$62,"C")))</f>
        <v/>
      </c>
      <c r="P68" s="229"/>
      <c r="Q68" s="192" t="str">
        <f>IF(P$63="","",(COUNTIF(Q$8:Q$62,"C")))</f>
        <v/>
      </c>
      <c r="R68" s="229"/>
      <c r="S68" s="229"/>
      <c r="T68" s="192" t="str">
        <f>IF(S$63="","",(COUNTIF(T$8:T$62,"C")))</f>
        <v/>
      </c>
      <c r="U68" s="261"/>
      <c r="V68" s="262"/>
      <c r="W68" s="192" t="str">
        <f>IF(V$63="","",(COUNTIF(W$8:W$62,"C")))</f>
        <v/>
      </c>
      <c r="X68" s="264"/>
      <c r="Y68" s="286"/>
      <c r="Z68" s="229"/>
      <c r="AA68" s="240" t="str">
        <f>IF((COUNT($D68:$W68)=0),"",SUM($D68:$W68))</f>
        <v/>
      </c>
      <c r="AB68" s="229"/>
      <c r="AC68" s="229"/>
      <c r="AD68" s="287"/>
      <c r="AE68" s="218" t="str">
        <f>IF(OR(COUNTIF(AE8:AE62,"P")&lt;&gt;0,COUNTIF(AE8:AE62,"F")&lt;&gt;0,COUNTIF(AE8:AE62,"ab")&lt;&gt;0,COUNTIF(AE8:AE62,"Q1")&lt;&gt;0,COUNTIF(AE8:AE62,"Q2")&lt;&gt;0,COUNTIF(AE8:AE62,"R1")&lt;&gt;0,COUNTIF(AE8:AE62,"R2")&lt;&gt;0),(COUNTIF(AE8:AE62,"R2")),"")</f>
        <v/>
      </c>
      <c r="AF68" s="356" t="s">
        <v>45</v>
      </c>
      <c r="AG68" s="357"/>
      <c r="AH68" s="359"/>
    </row>
    <row r="69" spans="1:66" s="167" customFormat="1" ht="12" customHeight="1">
      <c r="A69" s="418"/>
      <c r="B69" s="418"/>
      <c r="C69" s="228" t="s">
        <v>46</v>
      </c>
      <c r="D69" s="229"/>
      <c r="E69" s="192" t="str">
        <f>IF(D$63="","",(COUNTIF(E$8:E$62,"S")))</f>
        <v/>
      </c>
      <c r="F69" s="229"/>
      <c r="G69" s="192" t="str">
        <f>IF(F$63="","",(COUNTIF(G$8:G$62,"S")))</f>
        <v/>
      </c>
      <c r="H69" s="229"/>
      <c r="I69" s="192" t="str">
        <f>IF(H$63="","",(COUNTIF(I$8:I$62,"S")))</f>
        <v/>
      </c>
      <c r="J69" s="229"/>
      <c r="K69" s="192" t="str">
        <f>IF(J$63="","",(COUNTIF(K$8:K$62,"S")))</f>
        <v/>
      </c>
      <c r="L69" s="229"/>
      <c r="M69" s="192" t="str">
        <f>IF(L$63="","",(COUNTIF(M$8:M$62,"S")))</f>
        <v/>
      </c>
      <c r="N69" s="229"/>
      <c r="O69" s="192" t="str">
        <f>IF(N$63="","",(COUNTIF(O$8:O$62,"S")))</f>
        <v/>
      </c>
      <c r="P69" s="229"/>
      <c r="Q69" s="192" t="str">
        <f>IF(P$63="","",(COUNTIF(Q$8:Q$62,"S")))</f>
        <v/>
      </c>
      <c r="R69" s="229"/>
      <c r="S69" s="229"/>
      <c r="T69" s="192" t="str">
        <f>IF(S$63="","",(COUNTIF(T$8:T$62,"S")))</f>
        <v/>
      </c>
      <c r="U69" s="261"/>
      <c r="V69" s="262"/>
      <c r="W69" s="192" t="str">
        <f>IF(V$63="","",(COUNTIF(W$8:W$62,"S")))</f>
        <v/>
      </c>
      <c r="X69" s="264"/>
      <c r="Y69" s="286"/>
      <c r="Z69" s="229"/>
      <c r="AA69" s="229"/>
      <c r="AB69" s="240" t="str">
        <f>IF((COUNT($D69:$W69)=0),"",SUM($D69:$W69))</f>
        <v/>
      </c>
      <c r="AC69" s="229"/>
      <c r="AD69" s="287"/>
      <c r="AE69" s="218" t="str">
        <f>IF(OR(COUNTIF(AE8:AE62,"P")&lt;&gt;0,COUNTIF(AE8:AE62,"F")&lt;&gt;0,COUNTIF(AE8:AE62,"ab")&lt;&gt;0,COUNTIF(AE8:AE62,"Q1")&lt;&gt;0,COUNTIF(AE8:AE62,"Q2")&lt;&gt;0,COUNTIF(AE8:AE62,"R1")&lt;&gt;0,COUNTIF(AE8:AE62,"R2")&lt;&gt;0),(COUNTIF(AE8:AE62,"F")),"")</f>
        <v/>
      </c>
      <c r="AF69" s="356" t="s">
        <v>37</v>
      </c>
      <c r="AG69" s="357"/>
      <c r="AH69" s="359"/>
    </row>
    <row r="70" spans="1:66" s="167" customFormat="1" ht="12" customHeight="1">
      <c r="A70" s="418"/>
      <c r="B70" s="418"/>
      <c r="C70" s="228" t="s">
        <v>32</v>
      </c>
      <c r="D70" s="229"/>
      <c r="E70" s="192" t="str">
        <f>IF(D$63="","",(COUNTIF(E$8:E$62,"W")))</f>
        <v/>
      </c>
      <c r="F70" s="229"/>
      <c r="G70" s="192" t="str">
        <f>IF(F$63="","",(COUNTIF(G$8:G$62,"W")))</f>
        <v/>
      </c>
      <c r="H70" s="229"/>
      <c r="I70" s="192" t="str">
        <f>IF(H$63="","",(COUNTIF(I$8:I$62,"W")))</f>
        <v/>
      </c>
      <c r="J70" s="229"/>
      <c r="K70" s="192" t="str">
        <f>IF(J$63="","",(COUNTIF(K$8:K$62,"W")))</f>
        <v/>
      </c>
      <c r="L70" s="229"/>
      <c r="M70" s="192" t="str">
        <f>IF(L$63="","",(COUNTIF(M$8:M$62,"W")))</f>
        <v/>
      </c>
      <c r="N70" s="229"/>
      <c r="O70" s="192" t="str">
        <f>IF(N$63="","",(COUNTIF(O$8:O$62,"W")))</f>
        <v/>
      </c>
      <c r="P70" s="229"/>
      <c r="Q70" s="192" t="str">
        <f>IF(P$63="","",(COUNTIF(Q$8:Q$62,"W")))</f>
        <v/>
      </c>
      <c r="R70" s="229"/>
      <c r="S70" s="229"/>
      <c r="T70" s="192" t="str">
        <f>IF(S$63="","",(COUNTIF(T$8:T$62,"W")))</f>
        <v/>
      </c>
      <c r="U70" s="261"/>
      <c r="V70" s="265"/>
      <c r="W70" s="192" t="str">
        <f>IF(V$63="","",(COUNTIF(W$8:W$62,"W")))</f>
        <v/>
      </c>
      <c r="X70" s="266"/>
      <c r="Y70" s="286"/>
      <c r="Z70" s="229"/>
      <c r="AA70" s="229"/>
      <c r="AB70" s="229"/>
      <c r="AC70" s="240" t="str">
        <f>IF((COUNT($D70:$W70)=0),"",SUM($D70:$W70))</f>
        <v/>
      </c>
      <c r="AD70" s="287"/>
      <c r="AE70" s="283" t="str">
        <f>IF(AND(AE63="",AE64="",AE65="",AE66="",AE67="",AE68="",AE69=""),"",SUM(AE63:AE69))</f>
        <v/>
      </c>
      <c r="AF70" s="351" t="s">
        <v>33</v>
      </c>
      <c r="AG70" s="352"/>
      <c r="AH70" s="353"/>
    </row>
    <row r="71" spans="1:66" s="167" customFormat="1" ht="12" customHeight="1">
      <c r="A71" s="419"/>
      <c r="B71" s="419"/>
      <c r="C71" s="230" t="s">
        <v>47</v>
      </c>
      <c r="D71" s="231"/>
      <c r="E71" s="232" t="str">
        <f>IF(D$63="","",(COUNTIF(E$8:E$62,"ab")))</f>
        <v/>
      </c>
      <c r="F71" s="231"/>
      <c r="G71" s="232" t="str">
        <f>IF(F$63="","",(COUNTIF(G$8:G$62,"ab")))</f>
        <v/>
      </c>
      <c r="H71" s="231"/>
      <c r="I71" s="232" t="str">
        <f>IF(H$63="","",(COUNTIF(I$8:I$62,"ab")))</f>
        <v/>
      </c>
      <c r="J71" s="231"/>
      <c r="K71" s="232" t="str">
        <f>IF(J$63="","",(COUNTIF(K$8:K$62,"ab")))</f>
        <v/>
      </c>
      <c r="L71" s="231"/>
      <c r="M71" s="232" t="str">
        <f>IF(L$63="","",(COUNTIF(M$8:M$62,"ab")))</f>
        <v/>
      </c>
      <c r="N71" s="231"/>
      <c r="O71" s="232" t="str">
        <f>IF(N$63="","",(COUNTIF(O$8:O$62,"ab")))</f>
        <v/>
      </c>
      <c r="P71" s="231"/>
      <c r="Q71" s="232" t="str">
        <f>IF(P$63="","",(COUNTIF(Q$8:Q$62,"ab")))</f>
        <v/>
      </c>
      <c r="R71" s="231"/>
      <c r="S71" s="231"/>
      <c r="T71" s="232" t="str">
        <f>IF(S$63="","",(COUNTIF(T$8:T$62,"ab")))</f>
        <v/>
      </c>
      <c r="U71" s="267"/>
      <c r="V71" s="268"/>
      <c r="W71" s="269" t="str">
        <f>IF(V$63="","",(COUNTIF(W$8:W$62,"ab")))</f>
        <v/>
      </c>
      <c r="X71" s="270"/>
      <c r="Y71" s="288"/>
      <c r="Z71" s="288"/>
      <c r="AA71" s="288"/>
      <c r="AB71" s="288"/>
      <c r="AC71" s="288"/>
      <c r="AD71" s="289" t="str">
        <f>IF((COUNT($D71:$W71)=0),"",SUM($D71:$W71))</f>
        <v/>
      </c>
      <c r="AE71" s="290"/>
      <c r="AF71" s="257"/>
      <c r="AG71" s="257"/>
      <c r="AH71" s="288"/>
    </row>
    <row r="72" spans="1:66" s="167" customFormat="1" ht="12" customHeight="1">
      <c r="A72" s="361" t="s">
        <v>33</v>
      </c>
      <c r="B72" s="362"/>
      <c r="C72" s="362"/>
      <c r="D72" s="233"/>
      <c r="E72" s="234" t="str">
        <f>IF(D$63="","",(SUM(E$66:E$71)))</f>
        <v/>
      </c>
      <c r="F72" s="233"/>
      <c r="G72" s="234" t="str">
        <f>IF(F$63="","",(SUM(G$66:G$71)))</f>
        <v/>
      </c>
      <c r="H72" s="233"/>
      <c r="I72" s="234" t="str">
        <f>IF(H$63="","",(SUM(I$66:I$71)))</f>
        <v/>
      </c>
      <c r="J72" s="233"/>
      <c r="K72" s="234" t="str">
        <f>IF(J$63="","",(SUM(K$66:K$71)))</f>
        <v/>
      </c>
      <c r="L72" s="233"/>
      <c r="M72" s="234" t="str">
        <f>IF(L$63="","",(SUM(M$66:M$71)))</f>
        <v/>
      </c>
      <c r="N72" s="233"/>
      <c r="O72" s="234" t="str">
        <f>IF(N$63="","",(SUM(O$66:O$71)))</f>
        <v/>
      </c>
      <c r="P72" s="233"/>
      <c r="Q72" s="234" t="str">
        <f>IF(P$63="","",(SUM(Q$66:Q$71)))</f>
        <v/>
      </c>
      <c r="R72" s="233"/>
      <c r="S72" s="233"/>
      <c r="T72" s="234" t="str">
        <f>IF(S$63="","",(SUM(T$66:T$71)))</f>
        <v/>
      </c>
      <c r="U72" s="271"/>
      <c r="V72" s="272"/>
      <c r="W72" s="273" t="str">
        <f>IF(V$63="","",(SUM(W$66:W$71)))</f>
        <v/>
      </c>
      <c r="X72" s="274"/>
      <c r="Y72" s="274"/>
      <c r="Z72" s="288"/>
      <c r="AA72" s="288"/>
      <c r="AB72" s="288"/>
      <c r="AC72" s="288"/>
      <c r="AD72" s="290"/>
      <c r="AE72" s="290"/>
      <c r="AF72" s="257"/>
      <c r="AG72" s="257"/>
      <c r="AH72" s="288"/>
    </row>
    <row r="73" spans="1:66" s="167" customFormat="1" ht="9.75" customHeight="1">
      <c r="A73" s="221"/>
      <c r="B73" s="221"/>
      <c r="C73" s="221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89"/>
      <c r="AE73" s="289"/>
      <c r="AF73" s="291"/>
      <c r="AG73" s="291"/>
      <c r="AH73" s="235"/>
    </row>
    <row r="74" spans="1:66" s="167" customFormat="1" ht="15" customHeight="1">
      <c r="A74" s="221"/>
      <c r="B74" s="221"/>
      <c r="C74" s="236" t="s">
        <v>48</v>
      </c>
      <c r="D74" s="237" t="str">
        <f>IF(D$63="","",(COUNTIFS(D$8:D$62,"&lt;=39",D$8:D$62,"&gt;=30")))</f>
        <v/>
      </c>
      <c r="E74" s="238"/>
      <c r="F74" s="237" t="str">
        <f>IF(F$63="","",(COUNTIFS(F$8:F$62,"&lt;=39",F$8:F$62,"&gt;=30")))</f>
        <v/>
      </c>
      <c r="G74" s="238"/>
      <c r="H74" s="237" t="str">
        <f>IF(H$63="","",(COUNTIFS(H$8:H$62,"&lt;=39",H$8:H$62,"&gt;=30")))</f>
        <v/>
      </c>
      <c r="I74" s="238"/>
      <c r="J74" s="237" t="str">
        <f>IF(J$63="","",(COUNTIFS(J$8:J$62,"&lt;=39",J$8:J$62,"&gt;=30")))</f>
        <v/>
      </c>
      <c r="K74" s="238"/>
      <c r="L74" s="237" t="str">
        <f>IF(L$63="","",(COUNTIFS(L$8:L$62,"&lt;=39",L$8:L$62,"&gt;=30")))</f>
        <v/>
      </c>
      <c r="M74" s="238"/>
      <c r="N74" s="237" t="str">
        <f>IF(N$63="","",(COUNTIFS(N$8:N$62,"&lt;=39",N$8:N$62,"&gt;=30")))</f>
        <v/>
      </c>
      <c r="O74" s="238"/>
      <c r="P74" s="237" t="str">
        <f>IF(P$63="","",(COUNTIFS(P$8:P$62,"&lt;=39",P$8:P$62,"&gt;=30")))</f>
        <v/>
      </c>
      <c r="Q74" s="238"/>
      <c r="R74" s="238"/>
      <c r="S74" s="237" t="str">
        <f>IF(S$63="","",(COUNTIFS(S$8:S$62,"&lt;=39",S$8:S$62,"&gt;=30")))</f>
        <v/>
      </c>
      <c r="T74" s="238"/>
      <c r="U74" s="238"/>
      <c r="V74" s="275" t="str">
        <f>IF(V$63="","",(COUNTIFS(V$8:V$62,"&lt;=39",V$8:V$62,"&gt;=30")))</f>
        <v/>
      </c>
      <c r="W74" s="276"/>
      <c r="X74" s="277"/>
      <c r="Y74" s="235"/>
      <c r="Z74" s="363" t="s">
        <v>49</v>
      </c>
      <c r="AA74" s="364"/>
      <c r="AB74" s="364"/>
      <c r="AC74" s="364"/>
      <c r="AD74" s="365"/>
      <c r="AE74" s="366" t="s">
        <v>50</v>
      </c>
      <c r="AF74" s="367"/>
      <c r="AG74" s="367"/>
      <c r="AH74" s="368"/>
    </row>
    <row r="75" spans="1:66" s="167" customFormat="1" ht="13.2">
      <c r="A75" s="221"/>
      <c r="B75" s="221"/>
      <c r="C75" s="239" t="s">
        <v>51</v>
      </c>
      <c r="D75" s="240" t="str">
        <f>IF(D$63="","",(COUNTIFS(D$8:D$62,"&lt;=29",D$8:D$62,"&gt;=20")))</f>
        <v/>
      </c>
      <c r="E75" s="229"/>
      <c r="F75" s="240" t="str">
        <f>IF(F$63="","",(COUNTIFS(F$8:F$62,"&lt;=29",F$8:F$62,"&gt;=20")))</f>
        <v/>
      </c>
      <c r="G75" s="229"/>
      <c r="H75" s="240" t="str">
        <f>IF(H$63="","",(COUNTIFS(H$8:H$62,"&lt;=29",H$8:H$62,"&gt;=20")))</f>
        <v/>
      </c>
      <c r="I75" s="229"/>
      <c r="J75" s="240" t="str">
        <f>IF(J$63="","",(COUNTIFS(J$8:J$62,"&lt;=29",J$8:J$62,"&gt;=20")))</f>
        <v/>
      </c>
      <c r="K75" s="229"/>
      <c r="L75" s="240" t="str">
        <f>IF(L$63="","",(COUNTIFS(L$8:L$62,"&lt;=29",L$8:L$62,"&gt;=20")))</f>
        <v/>
      </c>
      <c r="M75" s="229"/>
      <c r="N75" s="240" t="str">
        <f>IF(N$63="","",(COUNTIFS(N$8:N$62,"&lt;=29",N$8:N$62,"&gt;=20")))</f>
        <v/>
      </c>
      <c r="O75" s="229"/>
      <c r="P75" s="240" t="str">
        <f>IF(P$63="","",(COUNTIFS(P$8:P$62,"&lt;=29",P$8:P$62,"&gt;=20")))</f>
        <v/>
      </c>
      <c r="Q75" s="229"/>
      <c r="R75" s="229"/>
      <c r="S75" s="240" t="str">
        <f>IF(S$63="","",(COUNTIFS(S$8:S$62,"&lt;=29",S$8:S$62,"&gt;=20")))</f>
        <v/>
      </c>
      <c r="T75" s="229"/>
      <c r="U75" s="229"/>
      <c r="V75" s="278" t="str">
        <f>IF(V$63="","",(COUNTIFS(V$8:V$62,"&lt;=29",V$8:V$62,"&gt;=20")))</f>
        <v/>
      </c>
      <c r="W75" s="279"/>
      <c r="X75" s="270"/>
      <c r="Y75" s="235"/>
      <c r="Z75" s="363" t="s">
        <v>20</v>
      </c>
      <c r="AA75" s="364"/>
      <c r="AB75" s="364"/>
      <c r="AC75" s="364"/>
      <c r="AD75" s="364"/>
      <c r="AE75" s="364"/>
      <c r="AF75" s="364"/>
      <c r="AG75" s="364"/>
      <c r="AH75" s="365"/>
    </row>
    <row r="76" spans="1:66" s="167" customFormat="1" ht="13.2">
      <c r="A76" s="221"/>
      <c r="B76" s="221"/>
      <c r="C76" s="241" t="s">
        <v>52</v>
      </c>
      <c r="D76" s="240" t="str">
        <f>IF(D$63="","",(COUNTIFS(D$8:D$62,"&gt;=10",D$8:D$62,"&lt;=19")))</f>
        <v/>
      </c>
      <c r="E76" s="229"/>
      <c r="F76" s="240" t="str">
        <f>IF(F$63="","",(COUNTIFS(F$8:F$62,"&gt;=10",F$8:F$62,"&lt;=19")))</f>
        <v/>
      </c>
      <c r="G76" s="229"/>
      <c r="H76" s="240" t="str">
        <f>IF(H$63="","",(COUNTIFS(H$8:H$62,"&gt;=10",H$8:H$62,"&lt;=19")))</f>
        <v/>
      </c>
      <c r="I76" s="229"/>
      <c r="J76" s="240" t="str">
        <f>IF(J$63="","",(COUNTIFS(J$8:J$62,"&gt;=10",J$8:J$62,"&lt;=19")))</f>
        <v/>
      </c>
      <c r="K76" s="229"/>
      <c r="L76" s="240" t="str">
        <f>IF(L$63="","",(COUNTIFS(L$8:L$62,"&gt;=10",L$8:L$62,"&lt;=19")))</f>
        <v/>
      </c>
      <c r="M76" s="229"/>
      <c r="N76" s="240" t="str">
        <f>IF(N$63="","",(COUNTIFS(N$8:N$62,"&gt;=10",N$8:N$62,"&lt;=19")))</f>
        <v/>
      </c>
      <c r="O76" s="229"/>
      <c r="P76" s="240" t="str">
        <f>IF(P$63="","",(COUNTIFS(P$8:P$62,"&gt;=10",P$8:P$62,"&lt;=19")))</f>
        <v/>
      </c>
      <c r="Q76" s="229"/>
      <c r="R76" s="229"/>
      <c r="S76" s="240" t="str">
        <f>IF(S$63="","",(COUNTIFS(S$8:S$62,"&gt;=10",S$8:S$62,"&lt;=19")))</f>
        <v/>
      </c>
      <c r="T76" s="229"/>
      <c r="U76" s="229"/>
      <c r="V76" s="278" t="str">
        <f>IF(V$63="","",(COUNTIFS(V$8:V$62,"&gt;=10",V$8:V$62,"&lt;=19")))</f>
        <v/>
      </c>
      <c r="W76" s="279"/>
      <c r="X76" s="270"/>
      <c r="Z76" s="292" t="s">
        <v>53</v>
      </c>
      <c r="AA76" s="369" t="s">
        <v>54</v>
      </c>
      <c r="AB76" s="370"/>
      <c r="AC76" s="370"/>
      <c r="AD76" s="370"/>
      <c r="AE76" s="370"/>
      <c r="AF76" s="370"/>
      <c r="AG76" s="370"/>
      <c r="AH76" s="371"/>
    </row>
    <row r="77" spans="1:66" s="167" customFormat="1" ht="13.2">
      <c r="A77" s="221"/>
      <c r="B77" s="221"/>
      <c r="C77" s="242" t="s">
        <v>55</v>
      </c>
      <c r="D77" s="243" t="str">
        <f>IF(D$63="","",(COUNTIFS(D$8:D$62,"&gt;=0",D$8:D$62,"&lt;=9")))</f>
        <v/>
      </c>
      <c r="E77" s="244"/>
      <c r="F77" s="243" t="str">
        <f>IF(F$63="","",(COUNTIFS(F$8:F$62,"&gt;=0",F$8:F$62,"&lt;=9")))</f>
        <v/>
      </c>
      <c r="G77" s="244"/>
      <c r="H77" s="243" t="str">
        <f>IF(H$63="","",(COUNTIFS(H$8:H$62,"&gt;=0",H$8:H$62,"&lt;=9")))</f>
        <v/>
      </c>
      <c r="I77" s="244"/>
      <c r="J77" s="243" t="str">
        <f>IF(J$63="","",(COUNTIFS(J$8:J$62,"&gt;=0",J$8:J$62,"&lt;=9")))</f>
        <v/>
      </c>
      <c r="K77" s="244"/>
      <c r="L77" s="243" t="str">
        <f>IF(L$63="","",(COUNTIFS(L$8:L$62,"&gt;=0",L$8:L$62,"&lt;=9")))</f>
        <v/>
      </c>
      <c r="M77" s="244"/>
      <c r="N77" s="243" t="str">
        <f>IF(N$63="","",(COUNTIFS(N$8:N$62,"&gt;=0",N$8:N$62,"&lt;=9")))</f>
        <v/>
      </c>
      <c r="O77" s="244"/>
      <c r="P77" s="243" t="str">
        <f>IF(P$63="","",(COUNTIFS(P$8:P$62,"&gt;=0",P$8:P$62,"&lt;=9")))</f>
        <v/>
      </c>
      <c r="Q77" s="244"/>
      <c r="R77" s="244"/>
      <c r="S77" s="243" t="str">
        <f>IF(S$63="","",(COUNTIFS(S$8:S$62,"&gt;=0",S$8:S$62,"&lt;=9")))</f>
        <v/>
      </c>
      <c r="T77" s="244"/>
      <c r="U77" s="244"/>
      <c r="V77" s="280" t="str">
        <f>IF(V$63="","",(COUNTIFS(V$8:V$62,"&gt;=0",V$8:V$62,"&lt;=9")))</f>
        <v/>
      </c>
      <c r="W77" s="281"/>
      <c r="X77" s="282"/>
      <c r="Y77" s="235"/>
      <c r="Z77" s="293" t="s">
        <v>56</v>
      </c>
      <c r="AA77" s="372" t="s">
        <v>57</v>
      </c>
      <c r="AB77" s="373"/>
      <c r="AC77" s="373"/>
      <c r="AD77" s="373"/>
      <c r="AE77" s="373"/>
      <c r="AF77" s="373"/>
      <c r="AG77" s="373"/>
      <c r="AH77" s="374"/>
    </row>
    <row r="78" spans="1:66" ht="13.5" customHeight="1">
      <c r="A78" s="70"/>
      <c r="B78" s="70"/>
      <c r="C78" s="245"/>
      <c r="D78" s="70"/>
      <c r="E78" s="246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246"/>
      <c r="Z78" s="294" t="s">
        <v>58</v>
      </c>
      <c r="AA78" s="372" t="s">
        <v>59</v>
      </c>
      <c r="AB78" s="373"/>
      <c r="AC78" s="373"/>
      <c r="AD78" s="373"/>
      <c r="AE78" s="373"/>
      <c r="AF78" s="373"/>
      <c r="AG78" s="373"/>
      <c r="AH78" s="374"/>
    </row>
    <row r="79" spans="1:66" s="167" customFormat="1" ht="14.25" customHeight="1">
      <c r="A79" s="221"/>
      <c r="B79" s="247" t="s">
        <v>27</v>
      </c>
      <c r="C79" s="375" t="s">
        <v>60</v>
      </c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76"/>
      <c r="W79" s="377"/>
      <c r="X79" s="221"/>
      <c r="Y79" s="235"/>
      <c r="Z79" s="295" t="s">
        <v>61</v>
      </c>
      <c r="AA79" s="372" t="s">
        <v>62</v>
      </c>
      <c r="AB79" s="373"/>
      <c r="AC79" s="373"/>
      <c r="AD79" s="373"/>
      <c r="AE79" s="373"/>
      <c r="AF79" s="373"/>
      <c r="AG79" s="373"/>
      <c r="AH79" s="374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/>
      <c r="AX79" s="221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  <c r="BM79" s="221"/>
      <c r="BN79" s="221"/>
    </row>
    <row r="80" spans="1:66" s="167" customFormat="1" ht="12" customHeight="1">
      <c r="A80" s="221"/>
      <c r="B80" s="378" t="s">
        <v>15</v>
      </c>
      <c r="C80" s="379"/>
      <c r="D80" s="380" t="s">
        <v>16</v>
      </c>
      <c r="E80" s="381"/>
      <c r="F80" s="381"/>
      <c r="G80" s="381"/>
      <c r="H80" s="381"/>
      <c r="I80" s="381"/>
      <c r="J80" s="381"/>
      <c r="K80" s="381"/>
      <c r="L80" s="381"/>
      <c r="M80" s="382"/>
      <c r="N80" s="380" t="s">
        <v>17</v>
      </c>
      <c r="O80" s="381"/>
      <c r="P80" s="381"/>
      <c r="Q80" s="381"/>
      <c r="R80" s="381"/>
      <c r="S80" s="381"/>
      <c r="T80" s="381"/>
      <c r="U80" s="381"/>
      <c r="V80" s="381"/>
      <c r="W80" s="382"/>
      <c r="X80" s="221"/>
      <c r="Y80" s="235"/>
      <c r="Z80" s="296" t="s">
        <v>63</v>
      </c>
      <c r="AA80" s="372" t="s">
        <v>64</v>
      </c>
      <c r="AB80" s="373"/>
      <c r="AC80" s="373"/>
      <c r="AD80" s="373"/>
      <c r="AE80" s="373"/>
      <c r="AF80" s="373"/>
      <c r="AG80" s="373"/>
      <c r="AH80" s="374"/>
      <c r="AJ80" s="221"/>
      <c r="AK80" s="221"/>
      <c r="AL80" s="221"/>
      <c r="AM80" s="221"/>
      <c r="AN80" s="221"/>
      <c r="AO80" s="221"/>
      <c r="AP80" s="221"/>
      <c r="AQ80" s="221"/>
      <c r="AR80" s="221"/>
      <c r="AS80" s="221"/>
      <c r="AT80" s="221"/>
      <c r="AU80" s="221"/>
      <c r="AV80" s="221"/>
      <c r="AW80" s="221"/>
      <c r="AX80" s="221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</row>
    <row r="81" spans="1:66" s="167" customFormat="1" ht="12" customHeight="1">
      <c r="A81" s="221"/>
      <c r="B81" s="248" t="s">
        <v>65</v>
      </c>
      <c r="C81" s="249" t="s">
        <v>66</v>
      </c>
      <c r="D81" s="383" t="s">
        <v>67</v>
      </c>
      <c r="E81" s="384"/>
      <c r="F81" s="385" t="s">
        <v>68</v>
      </c>
      <c r="G81" s="386"/>
      <c r="H81" s="386"/>
      <c r="I81" s="386"/>
      <c r="J81" s="386"/>
      <c r="K81" s="386"/>
      <c r="L81" s="386"/>
      <c r="M81" s="387"/>
      <c r="N81" s="383" t="s">
        <v>69</v>
      </c>
      <c r="O81" s="384"/>
      <c r="P81" s="386" t="s">
        <v>70</v>
      </c>
      <c r="Q81" s="386"/>
      <c r="R81" s="386"/>
      <c r="S81" s="386"/>
      <c r="T81" s="386"/>
      <c r="U81" s="386"/>
      <c r="V81" s="386"/>
      <c r="W81" s="387"/>
      <c r="X81" s="221"/>
      <c r="Y81" s="235"/>
      <c r="Z81" s="297" t="s">
        <v>71</v>
      </c>
      <c r="AA81" s="372" t="s">
        <v>72</v>
      </c>
      <c r="AB81" s="373"/>
      <c r="AC81" s="373"/>
      <c r="AD81" s="373"/>
      <c r="AE81" s="373"/>
      <c r="AF81" s="373"/>
      <c r="AG81" s="373"/>
      <c r="AH81" s="374"/>
      <c r="AI81" s="221"/>
      <c r="AJ81" s="298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221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</row>
    <row r="82" spans="1:66" s="167" customFormat="1" ht="12" customHeight="1">
      <c r="A82" s="221"/>
      <c r="B82" s="250" t="s">
        <v>73</v>
      </c>
      <c r="C82" s="251" t="s">
        <v>74</v>
      </c>
      <c r="D82" s="388" t="s">
        <v>75</v>
      </c>
      <c r="E82" s="389"/>
      <c r="F82" s="390" t="s">
        <v>76</v>
      </c>
      <c r="G82" s="391"/>
      <c r="H82" s="391"/>
      <c r="I82" s="391"/>
      <c r="J82" s="391"/>
      <c r="K82" s="391"/>
      <c r="L82" s="391"/>
      <c r="M82" s="392"/>
      <c r="N82" s="388" t="s">
        <v>77</v>
      </c>
      <c r="O82" s="389"/>
      <c r="P82" s="391" t="s">
        <v>78</v>
      </c>
      <c r="Q82" s="391"/>
      <c r="R82" s="391"/>
      <c r="S82" s="391"/>
      <c r="T82" s="391"/>
      <c r="U82" s="391"/>
      <c r="V82" s="391"/>
      <c r="W82" s="392"/>
      <c r="X82" s="221"/>
      <c r="Y82" s="416" t="s">
        <v>79</v>
      </c>
      <c r="Z82" s="416"/>
      <c r="AA82" s="416"/>
      <c r="AB82" s="417" t="s">
        <v>80</v>
      </c>
      <c r="AC82" s="417"/>
      <c r="AD82" s="417"/>
      <c r="AE82" s="417"/>
      <c r="AF82" s="417"/>
      <c r="AG82" s="417"/>
      <c r="AH82" s="417"/>
      <c r="AI82" s="221"/>
      <c r="AJ82" s="298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</row>
    <row r="83" spans="1:66" s="167" customFormat="1" ht="12" customHeight="1">
      <c r="A83" s="221"/>
      <c r="B83" s="250" t="s">
        <v>81</v>
      </c>
      <c r="C83" s="251" t="s">
        <v>82</v>
      </c>
      <c r="D83" s="388" t="s">
        <v>83</v>
      </c>
      <c r="E83" s="389"/>
      <c r="F83" s="390" t="s">
        <v>84</v>
      </c>
      <c r="G83" s="391"/>
      <c r="H83" s="391"/>
      <c r="I83" s="391"/>
      <c r="J83" s="391"/>
      <c r="K83" s="391"/>
      <c r="L83" s="391"/>
      <c r="M83" s="392"/>
      <c r="N83" s="388" t="s">
        <v>85</v>
      </c>
      <c r="O83" s="389"/>
      <c r="P83" s="391" t="s">
        <v>86</v>
      </c>
      <c r="Q83" s="391"/>
      <c r="R83" s="391"/>
      <c r="S83" s="391"/>
      <c r="T83" s="391"/>
      <c r="U83" s="391"/>
      <c r="V83" s="391"/>
      <c r="W83" s="392"/>
      <c r="X83" s="221"/>
      <c r="Y83" s="416"/>
      <c r="Z83" s="416"/>
      <c r="AA83" s="416"/>
      <c r="AB83" s="416"/>
      <c r="AC83" s="416"/>
      <c r="AD83" s="416"/>
      <c r="AE83" s="416"/>
      <c r="AF83" s="416"/>
      <c r="AG83" s="416"/>
      <c r="AH83" s="416"/>
      <c r="AI83" s="221"/>
      <c r="AJ83" s="298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</row>
    <row r="84" spans="1:66" s="167" customFormat="1" ht="12" customHeight="1">
      <c r="A84" s="221"/>
      <c r="B84" s="250" t="s">
        <v>87</v>
      </c>
      <c r="C84" s="251" t="s">
        <v>88</v>
      </c>
      <c r="D84" s="388" t="s">
        <v>89</v>
      </c>
      <c r="E84" s="389"/>
      <c r="F84" s="390" t="s">
        <v>90</v>
      </c>
      <c r="G84" s="391"/>
      <c r="H84" s="391"/>
      <c r="I84" s="391"/>
      <c r="J84" s="391"/>
      <c r="K84" s="391"/>
      <c r="L84" s="391"/>
      <c r="M84" s="392"/>
      <c r="N84" s="388" t="s">
        <v>91</v>
      </c>
      <c r="O84" s="389"/>
      <c r="P84" s="391" t="s">
        <v>92</v>
      </c>
      <c r="Q84" s="391"/>
      <c r="R84" s="391"/>
      <c r="S84" s="391"/>
      <c r="T84" s="391"/>
      <c r="U84" s="391"/>
      <c r="V84" s="391"/>
      <c r="W84" s="392"/>
      <c r="X84" s="221"/>
      <c r="Y84" s="415" t="s">
        <v>93</v>
      </c>
      <c r="Z84" s="415"/>
      <c r="AA84" s="415"/>
      <c r="AB84" s="415"/>
      <c r="AC84" s="416" t="s">
        <v>80</v>
      </c>
      <c r="AD84" s="416"/>
      <c r="AE84" s="416"/>
      <c r="AF84" s="416"/>
      <c r="AG84" s="416"/>
      <c r="AH84" s="416"/>
      <c r="AI84" s="221"/>
      <c r="AJ84" s="298"/>
      <c r="AK84" s="221"/>
      <c r="AL84" s="221"/>
      <c r="AM84" s="221"/>
      <c r="AN84" s="221"/>
      <c r="AO84" s="221"/>
      <c r="AP84" s="221"/>
      <c r="AQ84" s="221"/>
      <c r="AR84" s="221"/>
      <c r="AS84" s="221"/>
      <c r="AT84" s="221"/>
      <c r="AU84" s="221"/>
      <c r="AV84" s="221"/>
      <c r="AW84" s="221"/>
      <c r="AX84" s="221"/>
      <c r="AY84" s="221"/>
      <c r="AZ84" s="221"/>
      <c r="BA84" s="221"/>
      <c r="BB84" s="221"/>
      <c r="BC84" s="221"/>
      <c r="BD84" s="221"/>
      <c r="BE84" s="221"/>
      <c r="BF84" s="221"/>
      <c r="BG84" s="221"/>
      <c r="BH84" s="221"/>
      <c r="BI84" s="221"/>
      <c r="BJ84" s="221"/>
      <c r="BK84" s="221"/>
      <c r="BL84" s="221"/>
      <c r="BM84" s="221"/>
      <c r="BN84" s="221"/>
    </row>
    <row r="85" spans="1:66" s="167" customFormat="1" ht="12" customHeight="1">
      <c r="A85" s="221"/>
      <c r="B85" s="250" t="s">
        <v>94</v>
      </c>
      <c r="C85" s="252"/>
      <c r="D85" s="388" t="s">
        <v>95</v>
      </c>
      <c r="E85" s="389"/>
      <c r="F85" s="390" t="s">
        <v>96</v>
      </c>
      <c r="G85" s="391"/>
      <c r="H85" s="391"/>
      <c r="I85" s="391"/>
      <c r="J85" s="391"/>
      <c r="K85" s="391"/>
      <c r="L85" s="391"/>
      <c r="M85" s="392"/>
      <c r="N85" s="388" t="s">
        <v>97</v>
      </c>
      <c r="O85" s="389"/>
      <c r="P85" s="391" t="s">
        <v>98</v>
      </c>
      <c r="Q85" s="391"/>
      <c r="R85" s="391"/>
      <c r="S85" s="391"/>
      <c r="T85" s="391"/>
      <c r="U85" s="391"/>
      <c r="V85" s="391"/>
      <c r="W85" s="392"/>
      <c r="X85" s="221"/>
      <c r="Y85" s="415"/>
      <c r="Z85" s="415"/>
      <c r="AA85" s="415"/>
      <c r="AB85" s="415"/>
      <c r="AC85" s="416"/>
      <c r="AD85" s="416"/>
      <c r="AE85" s="416"/>
      <c r="AF85" s="416"/>
      <c r="AG85" s="416"/>
      <c r="AH85" s="416"/>
      <c r="AI85" s="221"/>
    </row>
    <row r="86" spans="1:66" s="167" customFormat="1" ht="12" customHeight="1">
      <c r="A86" s="221"/>
      <c r="B86" s="250" t="s">
        <v>99</v>
      </c>
      <c r="C86" s="253"/>
      <c r="D86" s="388" t="s">
        <v>100</v>
      </c>
      <c r="E86" s="389"/>
      <c r="F86" s="390" t="s">
        <v>101</v>
      </c>
      <c r="G86" s="391"/>
      <c r="H86" s="391"/>
      <c r="I86" s="391"/>
      <c r="J86" s="391"/>
      <c r="K86" s="391"/>
      <c r="L86" s="391"/>
      <c r="M86" s="392"/>
      <c r="N86" s="388" t="s">
        <v>102</v>
      </c>
      <c r="O86" s="389"/>
      <c r="P86" s="391" t="s">
        <v>103</v>
      </c>
      <c r="Q86" s="391"/>
      <c r="R86" s="391"/>
      <c r="S86" s="391"/>
      <c r="T86" s="391"/>
      <c r="U86" s="391"/>
      <c r="V86" s="391"/>
      <c r="W86" s="392"/>
      <c r="X86" s="221"/>
      <c r="Y86" s="413" t="s">
        <v>104</v>
      </c>
      <c r="Z86" s="413"/>
      <c r="AA86" s="413"/>
      <c r="AB86" s="413"/>
      <c r="AC86" s="413"/>
      <c r="AD86" s="414" t="s">
        <v>80</v>
      </c>
      <c r="AE86" s="414"/>
      <c r="AF86" s="414"/>
      <c r="AG86" s="414"/>
      <c r="AH86" s="414"/>
    </row>
    <row r="87" spans="1:66" s="167" customFormat="1" ht="12" customHeight="1">
      <c r="A87" s="221"/>
      <c r="B87" s="250" t="s">
        <v>105</v>
      </c>
      <c r="C87" s="253"/>
      <c r="D87" s="388" t="s">
        <v>106</v>
      </c>
      <c r="E87" s="389"/>
      <c r="F87" s="393"/>
      <c r="G87" s="394"/>
      <c r="H87" s="394"/>
      <c r="I87" s="394"/>
      <c r="J87" s="394"/>
      <c r="K87" s="394"/>
      <c r="L87" s="394"/>
      <c r="M87" s="395"/>
      <c r="N87" s="388" t="s">
        <v>107</v>
      </c>
      <c r="O87" s="389"/>
      <c r="P87" s="391" t="s">
        <v>108</v>
      </c>
      <c r="Q87" s="391"/>
      <c r="R87" s="391"/>
      <c r="S87" s="391"/>
      <c r="T87" s="391"/>
      <c r="U87" s="391"/>
      <c r="V87" s="391"/>
      <c r="W87" s="392"/>
      <c r="X87" s="221"/>
      <c r="Y87" s="413"/>
      <c r="Z87" s="413"/>
      <c r="AA87" s="413"/>
      <c r="AB87" s="413"/>
      <c r="AC87" s="413"/>
      <c r="AD87" s="414"/>
      <c r="AE87" s="414"/>
      <c r="AF87" s="414"/>
      <c r="AG87" s="414"/>
      <c r="AH87" s="414"/>
      <c r="AI87" s="299"/>
      <c r="AJ87" s="300"/>
      <c r="AK87" s="301"/>
    </row>
    <row r="88" spans="1:66" s="167" customFormat="1" ht="12" customHeight="1">
      <c r="A88" s="221"/>
      <c r="B88" s="254" t="s">
        <v>109</v>
      </c>
      <c r="C88" s="255"/>
      <c r="D88" s="396" t="s">
        <v>110</v>
      </c>
      <c r="E88" s="397"/>
      <c r="F88" s="398"/>
      <c r="G88" s="399"/>
      <c r="H88" s="399"/>
      <c r="I88" s="399"/>
      <c r="J88" s="399"/>
      <c r="K88" s="399"/>
      <c r="L88" s="399"/>
      <c r="M88" s="400"/>
      <c r="N88" s="396" t="s">
        <v>111</v>
      </c>
      <c r="O88" s="397"/>
      <c r="P88" s="399"/>
      <c r="Q88" s="399"/>
      <c r="R88" s="399"/>
      <c r="S88" s="399"/>
      <c r="T88" s="399"/>
      <c r="U88" s="399"/>
      <c r="V88" s="399"/>
      <c r="W88" s="400"/>
      <c r="X88" s="221"/>
      <c r="Y88" s="413"/>
      <c r="Z88" s="413"/>
      <c r="AA88" s="413"/>
      <c r="AB88" s="413"/>
      <c r="AC88" s="413"/>
      <c r="AD88" s="414"/>
      <c r="AE88" s="414"/>
      <c r="AF88" s="414"/>
      <c r="AG88" s="414"/>
      <c r="AH88" s="414"/>
      <c r="AI88" s="299"/>
      <c r="AJ88" s="300"/>
      <c r="AK88" s="301"/>
    </row>
    <row r="89" spans="1:66">
      <c r="A89" s="401" t="s">
        <v>112</v>
      </c>
      <c r="B89" s="401"/>
      <c r="C89" s="401"/>
      <c r="D89" s="401"/>
      <c r="E89" s="401"/>
      <c r="F89" s="401"/>
      <c r="G89" s="401"/>
      <c r="H89" s="401"/>
      <c r="I89" s="401"/>
      <c r="J89" s="401"/>
      <c r="K89" s="401"/>
      <c r="L89" s="401"/>
      <c r="M89" s="401"/>
      <c r="N89" s="401"/>
      <c r="O89" s="401"/>
      <c r="P89" s="401"/>
      <c r="Q89" s="401"/>
      <c r="R89" s="401"/>
      <c r="S89" s="401"/>
      <c r="T89" s="401"/>
      <c r="U89" s="401"/>
      <c r="V89" s="401"/>
      <c r="W89" s="401"/>
      <c r="X89" s="401"/>
      <c r="Y89" s="401"/>
      <c r="Z89" s="401"/>
      <c r="AA89" s="401"/>
      <c r="AB89" s="401"/>
      <c r="AC89" s="401"/>
      <c r="AD89" s="401"/>
      <c r="AE89" s="401"/>
      <c r="AF89" s="401"/>
      <c r="AG89" s="401"/>
      <c r="AH89" s="401"/>
    </row>
  </sheetData>
  <sheetProtection algorithmName="SHA-512" hashValue="KBoMm4cyUHe9TqLmb0pbrQNfkd+vt0x0pY399NvsocUAH4Lrr5CoVKYCrw1Bg/ZxTpT1oLK2PPKiefiL78GzQw==" saltValue="4aU9deG9zE4czg2N55qKWQ==" spinCount="100000" sheet="1" objects="1" scenarios="1"/>
  <mergeCells count="115">
    <mergeCell ref="A89:AH89"/>
    <mergeCell ref="A6:A7"/>
    <mergeCell ref="B6:B7"/>
    <mergeCell ref="AD6:AD7"/>
    <mergeCell ref="AE6:AE7"/>
    <mergeCell ref="AF6:AF7"/>
    <mergeCell ref="AG6:AG7"/>
    <mergeCell ref="AH6:AH7"/>
    <mergeCell ref="Y86:AC88"/>
    <mergeCell ref="AD86:AH88"/>
    <mergeCell ref="Y82:AA83"/>
    <mergeCell ref="AB82:AH83"/>
    <mergeCell ref="Y84:AB85"/>
    <mergeCell ref="AC84:AH85"/>
    <mergeCell ref="A66:B71"/>
    <mergeCell ref="D86:E86"/>
    <mergeCell ref="F86:M86"/>
    <mergeCell ref="N86:O86"/>
    <mergeCell ref="P86:W86"/>
    <mergeCell ref="D87:E87"/>
    <mergeCell ref="F87:M87"/>
    <mergeCell ref="N87:O87"/>
    <mergeCell ref="P87:W87"/>
    <mergeCell ref="D88:E88"/>
    <mergeCell ref="F88:M88"/>
    <mergeCell ref="N88:O88"/>
    <mergeCell ref="P88:W88"/>
    <mergeCell ref="D83:E83"/>
    <mergeCell ref="F83:M83"/>
    <mergeCell ref="N83:O83"/>
    <mergeCell ref="P83:W83"/>
    <mergeCell ref="D84:E84"/>
    <mergeCell ref="F84:M84"/>
    <mergeCell ref="N84:O84"/>
    <mergeCell ref="P84:W84"/>
    <mergeCell ref="D85:E85"/>
    <mergeCell ref="F85:M85"/>
    <mergeCell ref="N85:O85"/>
    <mergeCell ref="P85:W85"/>
    <mergeCell ref="D81:E81"/>
    <mergeCell ref="F81:M81"/>
    <mergeCell ref="N81:O81"/>
    <mergeCell ref="P81:W81"/>
    <mergeCell ref="AA81:AH81"/>
    <mergeCell ref="D82:E82"/>
    <mergeCell ref="F82:M82"/>
    <mergeCell ref="N82:O82"/>
    <mergeCell ref="P82:W82"/>
    <mergeCell ref="Z75:AH75"/>
    <mergeCell ref="AA76:AH76"/>
    <mergeCell ref="AA77:AH77"/>
    <mergeCell ref="AA78:AH78"/>
    <mergeCell ref="C79:W79"/>
    <mergeCell ref="AA79:AH79"/>
    <mergeCell ref="B80:C80"/>
    <mergeCell ref="D80:M80"/>
    <mergeCell ref="N80:W80"/>
    <mergeCell ref="AA80:AH80"/>
    <mergeCell ref="Y65:AC65"/>
    <mergeCell ref="AF65:AH65"/>
    <mergeCell ref="AF66:AH66"/>
    <mergeCell ref="AF67:AH67"/>
    <mergeCell ref="AF68:AH68"/>
    <mergeCell ref="AF69:AH69"/>
    <mergeCell ref="AF70:AH70"/>
    <mergeCell ref="A72:C72"/>
    <mergeCell ref="Z74:AD74"/>
    <mergeCell ref="AE74:AH74"/>
    <mergeCell ref="AF63:AH63"/>
    <mergeCell ref="A64:C64"/>
    <mergeCell ref="D64:E64"/>
    <mergeCell ref="F64:G64"/>
    <mergeCell ref="H64:I64"/>
    <mergeCell ref="J64:K64"/>
    <mergeCell ref="L64:M64"/>
    <mergeCell ref="N64:O64"/>
    <mergeCell ref="P64:Q64"/>
    <mergeCell ref="S64:T64"/>
    <mergeCell ref="V64:W64"/>
    <mergeCell ref="Y64:AC64"/>
    <mergeCell ref="AF64:AH64"/>
    <mergeCell ref="Y6:AC6"/>
    <mergeCell ref="A63:C63"/>
    <mergeCell ref="D63:E63"/>
    <mergeCell ref="F63:G63"/>
    <mergeCell ref="H63:I63"/>
    <mergeCell ref="J63:K63"/>
    <mergeCell ref="L63:M63"/>
    <mergeCell ref="N63:O63"/>
    <mergeCell ref="P63:Q63"/>
    <mergeCell ref="S63:T63"/>
    <mergeCell ref="V63:W63"/>
    <mergeCell ref="Y63:AC63"/>
    <mergeCell ref="D6:E6"/>
    <mergeCell ref="F6:G6"/>
    <mergeCell ref="H6:I6"/>
    <mergeCell ref="J6:K6"/>
    <mergeCell ref="L6:M6"/>
    <mergeCell ref="N6:O6"/>
    <mergeCell ref="P6:R6"/>
    <mergeCell ref="S6:U6"/>
    <mergeCell ref="V6:X6"/>
    <mergeCell ref="A3:AH3"/>
    <mergeCell ref="A4:C4"/>
    <mergeCell ref="D4:R4"/>
    <mergeCell ref="S4:V4"/>
    <mergeCell ref="W4:AB4"/>
    <mergeCell ref="AC4:AF4"/>
    <mergeCell ref="AG4:AH4"/>
    <mergeCell ref="A5:C5"/>
    <mergeCell ref="D5:I5"/>
    <mergeCell ref="J5:M5"/>
    <mergeCell ref="N5:R5"/>
    <mergeCell ref="S5:V5"/>
    <mergeCell ref="W5:AH5"/>
  </mergeCells>
  <conditionalFormatting sqref="B8:B62">
    <cfRule type="expression" dxfId="101" priority="1">
      <formula>$AE8="F"</formula>
    </cfRule>
    <cfRule type="expression" dxfId="100" priority="2">
      <formula>$AE8="R2"</formula>
    </cfRule>
    <cfRule type="expression" dxfId="99" priority="3">
      <formula>$AE8="R1"</formula>
    </cfRule>
    <cfRule type="expression" dxfId="98" priority="4">
      <formula>$AE8="Q2"</formula>
    </cfRule>
    <cfRule type="expression" dxfId="97" priority="5">
      <formula>$AE8="Q1"</formula>
    </cfRule>
    <cfRule type="expression" dxfId="96" priority="21">
      <formula>$AE$8="P"</formula>
    </cfRule>
  </conditionalFormatting>
  <conditionalFormatting sqref="D8:D62">
    <cfRule type="cellIs" dxfId="95" priority="64" operator="between">
      <formula>10</formula>
      <formula>19</formula>
    </cfRule>
    <cfRule type="cellIs" dxfId="94" priority="63" operator="between">
      <formula>20</formula>
      <formula>29</formula>
    </cfRule>
    <cfRule type="cellIs" dxfId="93" priority="62" operator="between">
      <formula>30</formula>
      <formula>39</formula>
    </cfRule>
    <cfRule type="cellIs" dxfId="92" priority="66" operator="between">
      <formula>0</formula>
      <formula>9</formula>
    </cfRule>
    <cfRule type="containsBlanks" dxfId="91" priority="65">
      <formula>LEN(TRIM(D8))=0</formula>
    </cfRule>
  </conditionalFormatting>
  <conditionalFormatting sqref="F8:F62">
    <cfRule type="cellIs" dxfId="90" priority="16" operator="between">
      <formula>30</formula>
      <formula>39</formula>
    </cfRule>
    <cfRule type="cellIs" dxfId="89" priority="17" operator="between">
      <formula>20</formula>
      <formula>29</formula>
    </cfRule>
    <cfRule type="cellIs" dxfId="88" priority="18" operator="between">
      <formula>10</formula>
      <formula>19</formula>
    </cfRule>
    <cfRule type="containsBlanks" dxfId="87" priority="19">
      <formula>LEN(TRIM(F8))=0</formula>
    </cfRule>
    <cfRule type="cellIs" dxfId="86" priority="20" operator="between">
      <formula>0</formula>
      <formula>9</formula>
    </cfRule>
  </conditionalFormatting>
  <conditionalFormatting sqref="H8:H62">
    <cfRule type="cellIs" dxfId="85" priority="13" operator="between">
      <formula>10</formula>
      <formula>19</formula>
    </cfRule>
    <cfRule type="cellIs" dxfId="84" priority="11" operator="between">
      <formula>30</formula>
      <formula>39</formula>
    </cfRule>
    <cfRule type="cellIs" dxfId="83" priority="12" operator="between">
      <formula>20</formula>
      <formula>29</formula>
    </cfRule>
    <cfRule type="containsBlanks" dxfId="82" priority="14">
      <formula>LEN(TRIM(H8))=0</formula>
    </cfRule>
    <cfRule type="cellIs" dxfId="81" priority="15" operator="between">
      <formula>0</formula>
      <formula>9</formula>
    </cfRule>
  </conditionalFormatting>
  <conditionalFormatting sqref="J8:J62">
    <cfRule type="cellIs" dxfId="80" priority="6" operator="between">
      <formula>30</formula>
      <formula>39</formula>
    </cfRule>
    <cfRule type="cellIs" dxfId="79" priority="8" operator="between">
      <formula>10</formula>
      <formula>19</formula>
    </cfRule>
    <cfRule type="containsBlanks" dxfId="78" priority="9">
      <formula>LEN(TRIM(J8))=0</formula>
    </cfRule>
    <cfRule type="cellIs" dxfId="77" priority="10" operator="between">
      <formula>0</formula>
      <formula>9</formula>
    </cfRule>
    <cfRule type="cellIs" dxfId="76" priority="7" operator="between">
      <formula>20</formula>
      <formula>29</formula>
    </cfRule>
  </conditionalFormatting>
  <conditionalFormatting sqref="L8:L62">
    <cfRule type="cellIs" dxfId="75" priority="42" operator="between">
      <formula>30</formula>
      <formula>39</formula>
    </cfRule>
    <cfRule type="cellIs" dxfId="74" priority="43" operator="between">
      <formula>20</formula>
      <formula>29</formula>
    </cfRule>
    <cfRule type="cellIs" dxfId="73" priority="44" operator="between">
      <formula>10</formula>
      <formula>19</formula>
    </cfRule>
    <cfRule type="cellIs" dxfId="72" priority="46" operator="between">
      <formula>0</formula>
      <formula>9</formula>
    </cfRule>
    <cfRule type="containsBlanks" dxfId="71" priority="45">
      <formula>LEN(TRIM(L8))=0</formula>
    </cfRule>
  </conditionalFormatting>
  <conditionalFormatting sqref="N8:N62">
    <cfRule type="cellIs" dxfId="70" priority="37" operator="between">
      <formula>30</formula>
      <formula>39</formula>
    </cfRule>
    <cfRule type="cellIs" dxfId="69" priority="38" operator="between">
      <formula>20</formula>
      <formula>29</formula>
    </cfRule>
    <cfRule type="containsBlanks" dxfId="68" priority="40">
      <formula>LEN(TRIM(N8))=0</formula>
    </cfRule>
    <cfRule type="cellIs" dxfId="67" priority="41" operator="between">
      <formula>0</formula>
      <formula>9</formula>
    </cfRule>
    <cfRule type="cellIs" dxfId="66" priority="39" operator="between">
      <formula>10</formula>
      <formula>19</formula>
    </cfRule>
  </conditionalFormatting>
  <conditionalFormatting sqref="P8:P62">
    <cfRule type="cellIs" dxfId="65" priority="33" operator="between">
      <formula>20</formula>
      <formula>29</formula>
    </cfRule>
    <cfRule type="cellIs" dxfId="64" priority="34" operator="between">
      <formula>10</formula>
      <formula>19</formula>
    </cfRule>
    <cfRule type="containsBlanks" dxfId="63" priority="35">
      <formula>LEN(TRIM(P8))=0</formula>
    </cfRule>
    <cfRule type="cellIs" dxfId="62" priority="36" operator="between">
      <formula>0</formula>
      <formula>9</formula>
    </cfRule>
    <cfRule type="cellIs" dxfId="61" priority="32" operator="between">
      <formula>30</formula>
      <formula>39</formula>
    </cfRule>
  </conditionalFormatting>
  <conditionalFormatting sqref="S8:S62">
    <cfRule type="cellIs" dxfId="60" priority="26" operator="between">
      <formula>0</formula>
      <formula>9</formula>
    </cfRule>
    <cfRule type="containsBlanks" dxfId="59" priority="25">
      <formula>LEN(TRIM(S8))=0</formula>
    </cfRule>
    <cfRule type="cellIs" dxfId="58" priority="24" operator="between">
      <formula>10</formula>
      <formula>19</formula>
    </cfRule>
    <cfRule type="cellIs" dxfId="57" priority="23" operator="between">
      <formula>20</formula>
      <formula>29</formula>
    </cfRule>
    <cfRule type="cellIs" dxfId="56" priority="22" operator="between">
      <formula>30</formula>
      <formula>39</formula>
    </cfRule>
  </conditionalFormatting>
  <conditionalFormatting sqref="V8:V62">
    <cfRule type="cellIs" dxfId="55" priority="27" operator="between">
      <formula>30</formula>
      <formula>39</formula>
    </cfRule>
    <cfRule type="cellIs" dxfId="54" priority="28" operator="between">
      <formula>20</formula>
      <formula>29</formula>
    </cfRule>
    <cfRule type="cellIs" dxfId="53" priority="29" operator="between">
      <formula>10</formula>
      <formula>19</formula>
    </cfRule>
    <cfRule type="containsBlanks" dxfId="52" priority="30">
      <formula>LEN(TRIM(V8))=0</formula>
    </cfRule>
    <cfRule type="cellIs" dxfId="51" priority="31" operator="between">
      <formula>0</formula>
      <formula>9</formula>
    </cfRule>
  </conditionalFormatting>
  <dataValidations count="9">
    <dataValidation type="custom" allowBlank="1" showInputMessage="1" showErrorMessage="1" sqref="AK6" xr:uid="{00000000-0002-0000-0800-000000000000}">
      <formula1>EXACT(AK6,LOWER(AK10))</formula1>
    </dataValidation>
    <dataValidation type="custom" allowBlank="1" showInputMessage="1" showErrorMessage="1" sqref="AI74" xr:uid="{00000000-0002-0000-0800-000001000000}">
      <formula1>OR(AND(AI74&gt;=0,AI74&lt;=100),AI74="ab")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8:D10 F8:F10 H8:H10 J8:J10 L8:L10 N8:N10 P8:P10 S8:S10 V8:V10" xr:uid="{00000000-0002-0000-0800-000002000000}">
      <formula1>OR(AND(D8:D62&gt;=0,D8:D62&lt;=100),D8:D62="ab")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11:D23 F11:F23 H11:H23 J11:J23 L11:L23 N11:N23 P11:P23 S11:S23 V11:V23" xr:uid="{00000000-0002-0000-0800-000003000000}">
      <formula1>OR(AND(D11:D66&gt;=0,D11:D66&lt;=100),D11:D66="ab")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24:D53 F24:F53 H24:H53 J24:J53 L24:L53 N24:N53 P24:P53 S24:S53 V24:V53" xr:uid="{00000000-0002-0000-0800-000004000000}">
      <formula1>OR(AND(D24:D83&gt;=0,D24:D83&lt;=100),D24:D83="ab")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54:D62 F54:F62 H54:H62 J54:J62 L54:L62 N54:N62 P54:P62 S54:S62 V54:V62" xr:uid="{00000000-0002-0000-0800-000005000000}">
      <formula1>OR(AND(D54:D114&gt;=0,D54:D114&lt;=100),D54:D114="ab")</formula1>
    </dataValidation>
    <dataValidation type="list" allowBlank="1" showInputMessage="1" showErrorMessage="1" sqref="R8:R62" xr:uid="{00000000-0002-0000-0800-000006000000}">
      <formula1>$B$81:$B$88</formula1>
    </dataValidation>
    <dataValidation type="list" allowBlank="1" showInputMessage="1" showErrorMessage="1" sqref="U8:U62" xr:uid="{00000000-0002-0000-0800-000007000000}">
      <formula1>$D$81:$D$88</formula1>
    </dataValidation>
    <dataValidation type="list" allowBlank="1" showInputMessage="1" showErrorMessage="1" sqref="X8:X62" xr:uid="{00000000-0002-0000-0800-000008000000}">
      <formula1>$N$81:$N$88</formula1>
    </dataValidation>
  </dataValidations>
  <pageMargins left="0.196850393700787" right="0.196850393700787" top="0.23622047244094499" bottom="0" header="0.31496062992126" footer="0.31496062992126"/>
  <pageSetup paperSize="8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N89"/>
  <sheetViews>
    <sheetView topLeftCell="A66" workbookViewId="0">
      <selection activeCell="AJ66" sqref="AJ66"/>
    </sheetView>
  </sheetViews>
  <sheetFormatPr defaultColWidth="9.109375" defaultRowHeight="13.8"/>
  <cols>
    <col min="1" max="1" width="3.33203125" style="168" customWidth="1"/>
    <col min="2" max="2" width="5.88671875" style="168" customWidth="1"/>
    <col min="3" max="3" width="25.33203125" style="168" customWidth="1"/>
    <col min="4" max="4" width="3.6640625" style="168" customWidth="1"/>
    <col min="5" max="5" width="3" style="168" customWidth="1"/>
    <col min="6" max="6" width="3.6640625" style="168" customWidth="1"/>
    <col min="7" max="7" width="3" style="168" customWidth="1"/>
    <col min="8" max="8" width="3.6640625" style="168" customWidth="1"/>
    <col min="9" max="9" width="3" style="168" customWidth="1"/>
    <col min="10" max="10" width="3.6640625" style="168" customWidth="1"/>
    <col min="11" max="11" width="3" style="168" customWidth="1"/>
    <col min="12" max="12" width="3.6640625" style="168" customWidth="1"/>
    <col min="13" max="13" width="3" style="168" customWidth="1"/>
    <col min="14" max="14" width="3.6640625" style="168" customWidth="1"/>
    <col min="15" max="15" width="3" style="168" customWidth="1"/>
    <col min="16" max="16" width="3.6640625" style="168" customWidth="1"/>
    <col min="17" max="17" width="3" style="168" customWidth="1"/>
    <col min="18" max="18" width="3.33203125" style="168" customWidth="1"/>
    <col min="19" max="19" width="3.6640625" style="168" customWidth="1"/>
    <col min="20" max="20" width="3" style="168" customWidth="1"/>
    <col min="21" max="21" width="3.33203125" style="168" customWidth="1"/>
    <col min="22" max="22" width="3.6640625" style="168" customWidth="1"/>
    <col min="23" max="23" width="3" style="168" customWidth="1"/>
    <col min="24" max="24" width="3.33203125" style="168" customWidth="1"/>
    <col min="25" max="29" width="3.5546875" style="169" customWidth="1"/>
    <col min="30" max="30" width="3" style="170" customWidth="1"/>
    <col min="31" max="31" width="3.5546875" style="170" customWidth="1"/>
    <col min="32" max="32" width="4.88671875" style="171" customWidth="1"/>
    <col min="33" max="33" width="5.88671875" style="171" customWidth="1"/>
    <col min="34" max="34" width="3.88671875" style="169" customWidth="1"/>
    <col min="35" max="16384" width="9.109375" style="168"/>
  </cols>
  <sheetData>
    <row r="2" spans="1:34" ht="7.5" customHeight="1"/>
    <row r="3" spans="1:34" ht="19.5" customHeight="1">
      <c r="A3" s="308" t="s">
        <v>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</row>
    <row r="4" spans="1:34" s="166" customFormat="1" ht="15.75" customHeight="1">
      <c r="A4" s="310" t="s">
        <v>1</v>
      </c>
      <c r="B4" s="310"/>
      <c r="C4" s="310"/>
      <c r="D4" s="311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3" t="s">
        <v>2</v>
      </c>
      <c r="T4" s="314"/>
      <c r="U4" s="314"/>
      <c r="V4" s="315"/>
      <c r="W4" s="316"/>
      <c r="X4" s="317"/>
      <c r="Y4" s="317"/>
      <c r="Z4" s="317"/>
      <c r="AA4" s="317"/>
      <c r="AB4" s="318"/>
      <c r="AC4" s="319" t="s">
        <v>3</v>
      </c>
      <c r="AD4" s="320"/>
      <c r="AE4" s="321"/>
      <c r="AF4" s="321"/>
      <c r="AG4" s="316"/>
      <c r="AH4" s="318"/>
    </row>
    <row r="5" spans="1:34" s="166" customFormat="1" ht="15.75" customHeight="1">
      <c r="A5" s="310" t="s">
        <v>4</v>
      </c>
      <c r="B5" s="310"/>
      <c r="C5" s="310"/>
      <c r="D5" s="322"/>
      <c r="E5" s="322"/>
      <c r="F5" s="322"/>
      <c r="G5" s="322"/>
      <c r="H5" s="322"/>
      <c r="I5" s="322"/>
      <c r="J5" s="323" t="s">
        <v>5</v>
      </c>
      <c r="K5" s="323"/>
      <c r="L5" s="323"/>
      <c r="M5" s="323"/>
      <c r="N5" s="311"/>
      <c r="O5" s="312"/>
      <c r="P5" s="312"/>
      <c r="Q5" s="312"/>
      <c r="R5" s="312"/>
      <c r="S5" s="324" t="s">
        <v>6</v>
      </c>
      <c r="T5" s="325"/>
      <c r="U5" s="325"/>
      <c r="V5" s="326"/>
      <c r="W5" s="327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9"/>
    </row>
    <row r="6" spans="1:34" ht="76.5" customHeight="1">
      <c r="A6" s="402"/>
      <c r="B6" s="404" t="s">
        <v>7</v>
      </c>
      <c r="C6" s="172" t="s">
        <v>8</v>
      </c>
      <c r="D6" s="330" t="s">
        <v>9</v>
      </c>
      <c r="E6" s="331"/>
      <c r="F6" s="330" t="s">
        <v>10</v>
      </c>
      <c r="G6" s="331"/>
      <c r="H6" s="332" t="s">
        <v>11</v>
      </c>
      <c r="I6" s="333"/>
      <c r="J6" s="330" t="s">
        <v>12</v>
      </c>
      <c r="K6" s="331"/>
      <c r="L6" s="330" t="s">
        <v>13</v>
      </c>
      <c r="M6" s="331"/>
      <c r="N6" s="330" t="s">
        <v>14</v>
      </c>
      <c r="O6" s="334"/>
      <c r="P6" s="335" t="s">
        <v>15</v>
      </c>
      <c r="Q6" s="336"/>
      <c r="R6" s="337"/>
      <c r="S6" s="332" t="s">
        <v>16</v>
      </c>
      <c r="T6" s="338"/>
      <c r="U6" s="333"/>
      <c r="V6" s="332" t="s">
        <v>17</v>
      </c>
      <c r="W6" s="338"/>
      <c r="X6" s="333"/>
      <c r="Y6" s="339" t="s">
        <v>18</v>
      </c>
      <c r="Z6" s="340"/>
      <c r="AA6" s="340"/>
      <c r="AB6" s="340"/>
      <c r="AC6" s="341"/>
      <c r="AD6" s="406" t="s">
        <v>19</v>
      </c>
      <c r="AE6" s="408" t="s">
        <v>20</v>
      </c>
      <c r="AF6" s="332" t="s">
        <v>21</v>
      </c>
      <c r="AG6" s="338" t="s">
        <v>22</v>
      </c>
      <c r="AH6" s="333" t="s">
        <v>23</v>
      </c>
    </row>
    <row r="7" spans="1:34" ht="18" customHeight="1">
      <c r="A7" s="403"/>
      <c r="B7" s="405"/>
      <c r="C7" s="173" t="s">
        <v>24</v>
      </c>
      <c r="D7" s="174" t="s">
        <v>25</v>
      </c>
      <c r="E7" s="175" t="s">
        <v>26</v>
      </c>
      <c r="F7" s="174" t="s">
        <v>25</v>
      </c>
      <c r="G7" s="175" t="s">
        <v>26</v>
      </c>
      <c r="H7" s="174" t="s">
        <v>25</v>
      </c>
      <c r="I7" s="175" t="s">
        <v>26</v>
      </c>
      <c r="J7" s="174" t="s">
        <v>25</v>
      </c>
      <c r="K7" s="175" t="s">
        <v>26</v>
      </c>
      <c r="L7" s="174" t="s">
        <v>25</v>
      </c>
      <c r="M7" s="175" t="s">
        <v>26</v>
      </c>
      <c r="N7" s="174" t="s">
        <v>25</v>
      </c>
      <c r="O7" s="183" t="s">
        <v>26</v>
      </c>
      <c r="P7" s="174" t="s">
        <v>25</v>
      </c>
      <c r="Q7" s="186" t="s">
        <v>26</v>
      </c>
      <c r="R7" s="187" t="s">
        <v>27</v>
      </c>
      <c r="S7" s="174" t="s">
        <v>25</v>
      </c>
      <c r="T7" s="186" t="s">
        <v>26</v>
      </c>
      <c r="U7" s="188" t="s">
        <v>27</v>
      </c>
      <c r="V7" s="174" t="s">
        <v>25</v>
      </c>
      <c r="W7" s="186" t="s">
        <v>26</v>
      </c>
      <c r="X7" s="188" t="s">
        <v>27</v>
      </c>
      <c r="Y7" s="202" t="s">
        <v>28</v>
      </c>
      <c r="Z7" s="203" t="s">
        <v>29</v>
      </c>
      <c r="AA7" s="203" t="s">
        <v>30</v>
      </c>
      <c r="AB7" s="203" t="s">
        <v>31</v>
      </c>
      <c r="AC7" s="204" t="s">
        <v>32</v>
      </c>
      <c r="AD7" s="407"/>
      <c r="AE7" s="409"/>
      <c r="AF7" s="410"/>
      <c r="AG7" s="411"/>
      <c r="AH7" s="412"/>
    </row>
    <row r="8" spans="1:34" s="167" customFormat="1" ht="12.75" customHeight="1">
      <c r="A8" s="176">
        <v>1</v>
      </c>
      <c r="B8" s="177"/>
      <c r="C8" s="178"/>
      <c r="D8" s="179"/>
      <c r="E8" s="180" t="str">
        <f>IF(D8="","",IF(D8="ab","ab",IF(D8&gt;=75,"A",(IF(D8&gt;=65,"B",IF(D8&gt;=50,"C",IF(D8&gt;=40,"S","W")))))))</f>
        <v/>
      </c>
      <c r="F8" s="179"/>
      <c r="G8" s="180" t="str">
        <f>IF(F8="","",IF(F8="ab","ab",IF(F8&gt;=75,"A",(IF(F8&gt;=65,"B",IF(F8&gt;=50,"C",IF(F8&gt;=40,"S","W")))))))</f>
        <v/>
      </c>
      <c r="H8" s="179"/>
      <c r="I8" s="180" t="str">
        <f>IF(H8="","",IF(H8="ab","ab",IF(H8&gt;=75,"A",(IF(H8&gt;=65,"B",IF(H8&gt;=50,"C",IF(H8&gt;=40,"S","W")))))))</f>
        <v/>
      </c>
      <c r="J8" s="179"/>
      <c r="K8" s="180" t="str">
        <f>IF(J8="","",IF(J8="ab","ab",IF(J8&gt;=75,"A",(IF(J8&gt;=65,"B",IF(J8&gt;=50,"C",IF(J8&gt;=40,"S","W")))))))</f>
        <v/>
      </c>
      <c r="L8" s="179"/>
      <c r="M8" s="180" t="str">
        <f>IF(L8="","",IF(L8="ab","ab",IF(L8&gt;=75,"A",(IF(L8&gt;=65,"B",IF(L8&gt;=50,"C",IF(L8&gt;=40,"S","W")))))))</f>
        <v/>
      </c>
      <c r="N8" s="179"/>
      <c r="O8" s="184" t="str">
        <f>IF(N8="","",IF(N8="ab","ab",IF(N8&gt;=75,"A",(IF(N8&gt;=65,"B",IF(N8&gt;=50,"C",IF(N8&gt;=40,"S","W")))))))</f>
        <v/>
      </c>
      <c r="P8" s="179"/>
      <c r="Q8" s="189" t="str">
        <f t="shared" ref="Q8:Q62" si="0">IF(P8="","",IF(P8="ab","ab",IF(P8&gt;=75,"A",(IF(P8&gt;=65,"B",IF(P8&gt;=50,"C",IF(P8&gt;=40,"S","W")))))))</f>
        <v/>
      </c>
      <c r="R8" s="190"/>
      <c r="S8" s="179"/>
      <c r="T8" s="189" t="str">
        <f>IF(S8="","",IF(S8="ab","ab",IF(S8&gt;=75,"A",(IF(S8&gt;=65,"B",IF(S8&gt;=50,"C",IF(S8&gt;=40,"S","W")))))))</f>
        <v/>
      </c>
      <c r="U8" s="190"/>
      <c r="V8" s="179"/>
      <c r="W8" s="189" t="str">
        <f>IF(V8="","",IF(V8="ab","ab",IF(V8&gt;=75,"A",(IF(V8&gt;=65,"B",IF(V8&gt;=50,"C",IF(V8&gt;=40,"S","W")))))))</f>
        <v/>
      </c>
      <c r="X8" s="191"/>
      <c r="Y8" s="205" t="str">
        <f t="shared" ref="Y8:Y62" si="1">IF(AND($D8="ab",$F8="ab",$H8="ab",$J8="ab",$L8="ab",$N8="ab",$P8="ab",$S8="ab",$V8="ab"),"-",IF(COUNT($D8:$W8)=0,"",(COUNTIF($D8:$W8,"A"))))</f>
        <v/>
      </c>
      <c r="Z8" s="206" t="str">
        <f t="shared" ref="Z8:Z62" si="2">IF(AND($D8="ab",$F8="ab",$H8="ab",$J8="ab",$L8="ab",$N8="ab",$P8="ab",$S8="ab",$V8="ab"),"-",IF(COUNT($D8:$W8)=0,"",(COUNTIF($D8:$W8,"B"))))</f>
        <v/>
      </c>
      <c r="AA8" s="206" t="str">
        <f t="shared" ref="AA8:AA62" si="3">IF(AND($D8="ab",$F8="ab",$H8="ab",$J8="ab",$L8="ab",$N8="ab",$P8="ab",$S8="ab",$V8="ab"),"-",IF(COUNT($D8:$W8)=0,"",(COUNTIF($D8:$W8,"C"))))</f>
        <v/>
      </c>
      <c r="AB8" s="206" t="str">
        <f t="shared" ref="AB8:AB62" si="4">IF(AND($D8="ab",$F8="ab",$H8="ab",$J8="ab",$L8="ab",$N8="ab",$P8="ab",$S8="ab",$V8="ab"),"-",IF(COUNT($D8:$W8)=0,"",(COUNTIF($D8:$W8,"S"))))</f>
        <v/>
      </c>
      <c r="AC8" s="207" t="str">
        <f t="shared" ref="AC8:AC62" si="5">IF(AND($D8="ab",$F8="ab",$H8="ab",$J8="ab",$L8="ab",$N8="ab",$P8="ab",$S8="ab",$V8="ab"),"-",IF(COUNT($D8:$W8)=0,"",(COUNTIF($D8:$W8,"W"))))</f>
        <v/>
      </c>
      <c r="AD8" s="208" t="str">
        <f t="shared" ref="AD8:AD62" si="6">IF(AND(D8="ab",F8="ab",H8="ab",J8="ab",L8="ab",N8="ab",P8="ab",S8="ab",V8="ab"),"ab",IF(AND(Y8="",Z8="",AA8="",AB8="",AC8=""),"",IF(AND((D8&gt;=40),(H8&gt;=40),(Y8+Z8+AA8+AB8)&gt;=6,(Y8+Z8+AA8)&gt;=3),"P","F")))</f>
        <v/>
      </c>
      <c r="AE8" s="209" t="str">
        <f>IF(AD8="","",IF(AD8="P","P",IF(AND(AD8="F",H8&gt;=40,D8&gt;=40,(Y8+Z8+AA8+AB8)&gt;=6,(Y8+Z8+AA8)=2),"Q1",IF(AND(AD8="F",(OR(H8&gt;=40,D8&gt;=40)),(Y8+Z8+AA8+AB8)&gt;=5,(Y8+Z8+AA8)&gt;=3),"Q2",IF((COUNTIF(D8:X8,"&gt;=40"))&gt;=5,"R1",IF((COUNTIF(D8:X8,"&gt;=20"))&gt;=5,"R2","F"))))))</f>
        <v/>
      </c>
      <c r="AF8" s="210" t="str">
        <f t="shared" ref="AF8:AF62" si="7">IF(AND(D8="",F8="",H8="",J8="",L8="",N8="",P8="",S8="",V8=""),"",IF(AND(D8="ab",F8="ab",H8="ab",J8="ab",L8="ab",N8="ab",P8="ab",S8="ab",V8="ab"),"ab",IF(COUNT(D8:W8)=0,"",(SUM(D8:V8)))))</f>
        <v/>
      </c>
      <c r="AG8" s="219" t="str">
        <f t="shared" ref="AG8:AG62" si="8">IF(AF8="","",IF(AF8="ab","ab",IF(AF8=0,0,(AVERAGE(D8:V8)))))</f>
        <v/>
      </c>
      <c r="AH8" s="207" t="str">
        <f t="shared" ref="AH8:AH62" si="9">IF(AF8="","",IF(AF8="ab","ab",(RANK(AF8,$AF$8:$AF$62))))</f>
        <v/>
      </c>
    </row>
    <row r="9" spans="1:34" s="167" customFormat="1" ht="12.75" customHeight="1">
      <c r="A9" s="181">
        <v>2</v>
      </c>
      <c r="B9" s="177"/>
      <c r="C9" s="182"/>
      <c r="D9" s="179"/>
      <c r="E9" s="180" t="str">
        <f t="shared" ref="E9:E62" si="10">IF(D9="","",IF(D9="ab","ab",IF(D9&gt;=75,"A",(IF(D9&gt;=65,"B",IF(D9&gt;=50,"C",IF(D9&gt;=40,"S","W")))))))</f>
        <v/>
      </c>
      <c r="F9" s="179"/>
      <c r="G9" s="180" t="str">
        <f t="shared" ref="G9:G62" si="11">IF(F9="","",IF(F9="ab","ab",IF(F9&gt;=75,"A",(IF(F9&gt;=65,"B",IF(F9&gt;=50,"C",IF(F9&gt;=40,"S","W")))))))</f>
        <v/>
      </c>
      <c r="H9" s="179"/>
      <c r="I9" s="180" t="str">
        <f t="shared" ref="I9:I62" si="12">IF(H9="","",IF(H9="ab","ab",IF(H9&gt;=75,"A",(IF(H9&gt;=65,"B",IF(H9&gt;=50,"C",IF(H9&gt;=40,"S","W")))))))</f>
        <v/>
      </c>
      <c r="J9" s="179"/>
      <c r="K9" s="180" t="str">
        <f t="shared" ref="K9:K62" si="13">IF(J9="","",IF(J9="ab","ab",IF(J9&gt;=75,"A",(IF(J9&gt;=65,"B",IF(J9&gt;=50,"C",IF(J9&gt;=40,"S","W")))))))</f>
        <v/>
      </c>
      <c r="L9" s="179"/>
      <c r="M9" s="180" t="str">
        <f t="shared" ref="M9:M62" si="14">IF(L9="","",IF(L9="ab","ab",IF(L9&gt;=75,"A",(IF(L9&gt;=65,"B",IF(L9&gt;=50,"C",IF(L9&gt;=40,"S","W")))))))</f>
        <v/>
      </c>
      <c r="N9" s="179"/>
      <c r="O9" s="180" t="str">
        <f t="shared" ref="O9:O62" si="15">IF(N9="","",IF(N9="ab","ab",IF(N9&gt;=75,"A",(IF(N9&gt;=65,"B",IF(N9&gt;=50,"C",IF(N9&gt;=40,"S","W")))))))</f>
        <v/>
      </c>
      <c r="P9" s="179"/>
      <c r="Q9" s="192" t="str">
        <f t="shared" si="0"/>
        <v/>
      </c>
      <c r="R9" s="193"/>
      <c r="S9" s="179"/>
      <c r="T9" s="192" t="str">
        <f t="shared" ref="T9:T62" si="16">IF(S9="","",IF(S9="ab","ab",IF(S9&gt;=75,"A",(IF(S9&gt;=65,"B",IF(S9&gt;=50,"C",IF(S9&gt;=40,"S","W")))))))</f>
        <v/>
      </c>
      <c r="U9" s="193"/>
      <c r="V9" s="179"/>
      <c r="W9" s="192" t="str">
        <f t="shared" ref="W9:W62" si="17">IF(V9="","",IF(V9="ab","ab",IF(V9&gt;=75,"A",(IF(V9&gt;=65,"B",IF(V9&gt;=50,"C",IF(V9&gt;=40,"S","W")))))))</f>
        <v/>
      </c>
      <c r="X9" s="194"/>
      <c r="Y9" s="205" t="str">
        <f t="shared" si="1"/>
        <v/>
      </c>
      <c r="Z9" s="206" t="str">
        <f t="shared" si="2"/>
        <v/>
      </c>
      <c r="AA9" s="206" t="str">
        <f t="shared" si="3"/>
        <v/>
      </c>
      <c r="AB9" s="206" t="str">
        <f t="shared" si="4"/>
        <v/>
      </c>
      <c r="AC9" s="207" t="str">
        <f t="shared" si="5"/>
        <v/>
      </c>
      <c r="AD9" s="208" t="str">
        <f t="shared" si="6"/>
        <v/>
      </c>
      <c r="AE9" s="209" t="str">
        <f t="shared" ref="AE9:AE62" si="18">IF(AD9="","",IF(AD9="P","P",IF(AND(AD9="F",H9&gt;=40,D9&gt;=40,(Y9+Z9+AA9+AB9)&gt;=6,(Y9+Z9+AA9)=2),"Q1",IF(AND(AD9="F",(OR(H9&gt;=40,D9&gt;=40)),(Y9+Z9+AA9+AB9)&gt;=5,(Y9+Z9+AA9)&gt;=3),"Q2",IF((COUNTIF(D9:X9,"&gt;=40"))&gt;=5,"R1",IF((COUNTIF(D9:X9,"&gt;=20"))&gt;=5,"R2","F"))))))</f>
        <v/>
      </c>
      <c r="AF9" s="210" t="str">
        <f t="shared" si="7"/>
        <v/>
      </c>
      <c r="AG9" s="219" t="str">
        <f t="shared" si="8"/>
        <v/>
      </c>
      <c r="AH9" s="207" t="str">
        <f t="shared" si="9"/>
        <v/>
      </c>
    </row>
    <row r="10" spans="1:34" s="167" customFormat="1" ht="12.75" customHeight="1">
      <c r="A10" s="181">
        <v>3</v>
      </c>
      <c r="B10" s="177"/>
      <c r="C10" s="182"/>
      <c r="D10" s="179"/>
      <c r="E10" s="180" t="str">
        <f t="shared" si="10"/>
        <v/>
      </c>
      <c r="F10" s="179"/>
      <c r="G10" s="180" t="str">
        <f t="shared" si="11"/>
        <v/>
      </c>
      <c r="H10" s="179"/>
      <c r="I10" s="180" t="str">
        <f t="shared" si="12"/>
        <v/>
      </c>
      <c r="J10" s="179"/>
      <c r="K10" s="180" t="str">
        <f t="shared" si="13"/>
        <v/>
      </c>
      <c r="L10" s="179"/>
      <c r="M10" s="180" t="str">
        <f t="shared" si="14"/>
        <v/>
      </c>
      <c r="N10" s="179"/>
      <c r="O10" s="180" t="str">
        <f t="shared" si="15"/>
        <v/>
      </c>
      <c r="P10" s="179"/>
      <c r="Q10" s="192" t="str">
        <f t="shared" si="0"/>
        <v/>
      </c>
      <c r="R10" s="193"/>
      <c r="S10" s="179"/>
      <c r="T10" s="192" t="str">
        <f t="shared" si="16"/>
        <v/>
      </c>
      <c r="U10" s="193"/>
      <c r="V10" s="179"/>
      <c r="W10" s="192" t="str">
        <f t="shared" si="17"/>
        <v/>
      </c>
      <c r="X10" s="194"/>
      <c r="Y10" s="205" t="str">
        <f t="shared" si="1"/>
        <v/>
      </c>
      <c r="Z10" s="206" t="str">
        <f t="shared" si="2"/>
        <v/>
      </c>
      <c r="AA10" s="206" t="str">
        <f t="shared" si="3"/>
        <v/>
      </c>
      <c r="AB10" s="206" t="str">
        <f t="shared" si="4"/>
        <v/>
      </c>
      <c r="AC10" s="207" t="str">
        <f t="shared" si="5"/>
        <v/>
      </c>
      <c r="AD10" s="208" t="str">
        <f t="shared" si="6"/>
        <v/>
      </c>
      <c r="AE10" s="209" t="str">
        <f t="shared" si="18"/>
        <v/>
      </c>
      <c r="AF10" s="210" t="str">
        <f t="shared" si="7"/>
        <v/>
      </c>
      <c r="AG10" s="219" t="str">
        <f t="shared" si="8"/>
        <v/>
      </c>
      <c r="AH10" s="207" t="str">
        <f t="shared" si="9"/>
        <v/>
      </c>
    </row>
    <row r="11" spans="1:34" s="167" customFormat="1" ht="12.75" customHeight="1">
      <c r="A11" s="181">
        <v>4</v>
      </c>
      <c r="B11" s="177"/>
      <c r="C11" s="182"/>
      <c r="D11" s="179"/>
      <c r="E11" s="180" t="str">
        <f t="shared" si="10"/>
        <v/>
      </c>
      <c r="F11" s="179"/>
      <c r="G11" s="180" t="str">
        <f t="shared" si="11"/>
        <v/>
      </c>
      <c r="H11" s="179"/>
      <c r="I11" s="180" t="str">
        <f t="shared" si="12"/>
        <v/>
      </c>
      <c r="J11" s="179"/>
      <c r="K11" s="180" t="str">
        <f t="shared" si="13"/>
        <v/>
      </c>
      <c r="L11" s="179"/>
      <c r="M11" s="180" t="str">
        <f t="shared" si="14"/>
        <v/>
      </c>
      <c r="N11" s="179"/>
      <c r="O11" s="180" t="str">
        <f t="shared" si="15"/>
        <v/>
      </c>
      <c r="P11" s="179"/>
      <c r="Q11" s="192" t="str">
        <f t="shared" si="0"/>
        <v/>
      </c>
      <c r="R11" s="193"/>
      <c r="S11" s="179"/>
      <c r="T11" s="192" t="str">
        <f t="shared" si="16"/>
        <v/>
      </c>
      <c r="U11" s="193"/>
      <c r="V11" s="179"/>
      <c r="W11" s="192" t="str">
        <f t="shared" si="17"/>
        <v/>
      </c>
      <c r="X11" s="194"/>
      <c r="Y11" s="205" t="str">
        <f t="shared" si="1"/>
        <v/>
      </c>
      <c r="Z11" s="206" t="str">
        <f t="shared" si="2"/>
        <v/>
      </c>
      <c r="AA11" s="206" t="str">
        <f t="shared" si="3"/>
        <v/>
      </c>
      <c r="AB11" s="206" t="str">
        <f t="shared" si="4"/>
        <v/>
      </c>
      <c r="AC11" s="207" t="str">
        <f t="shared" si="5"/>
        <v/>
      </c>
      <c r="AD11" s="208" t="str">
        <f t="shared" si="6"/>
        <v/>
      </c>
      <c r="AE11" s="209" t="str">
        <f t="shared" si="18"/>
        <v/>
      </c>
      <c r="AF11" s="210" t="str">
        <f t="shared" si="7"/>
        <v/>
      </c>
      <c r="AG11" s="219" t="str">
        <f t="shared" si="8"/>
        <v/>
      </c>
      <c r="AH11" s="207" t="str">
        <f t="shared" si="9"/>
        <v/>
      </c>
    </row>
    <row r="12" spans="1:34" s="167" customFormat="1" ht="12.75" customHeight="1">
      <c r="A12" s="181">
        <v>5</v>
      </c>
      <c r="B12" s="177"/>
      <c r="C12" s="182"/>
      <c r="D12" s="179"/>
      <c r="E12" s="180" t="str">
        <f t="shared" si="10"/>
        <v/>
      </c>
      <c r="F12" s="179"/>
      <c r="G12" s="180" t="str">
        <f t="shared" si="11"/>
        <v/>
      </c>
      <c r="H12" s="179"/>
      <c r="I12" s="180" t="str">
        <f t="shared" si="12"/>
        <v/>
      </c>
      <c r="J12" s="179"/>
      <c r="K12" s="180" t="str">
        <f t="shared" si="13"/>
        <v/>
      </c>
      <c r="L12" s="179"/>
      <c r="M12" s="180" t="str">
        <f t="shared" si="14"/>
        <v/>
      </c>
      <c r="N12" s="179"/>
      <c r="O12" s="180" t="str">
        <f t="shared" si="15"/>
        <v/>
      </c>
      <c r="P12" s="179"/>
      <c r="Q12" s="192" t="str">
        <f t="shared" si="0"/>
        <v/>
      </c>
      <c r="R12" s="193"/>
      <c r="S12" s="179"/>
      <c r="T12" s="192" t="str">
        <f t="shared" si="16"/>
        <v/>
      </c>
      <c r="U12" s="193"/>
      <c r="V12" s="179"/>
      <c r="W12" s="192" t="str">
        <f t="shared" si="17"/>
        <v/>
      </c>
      <c r="X12" s="194"/>
      <c r="Y12" s="205" t="str">
        <f t="shared" si="1"/>
        <v/>
      </c>
      <c r="Z12" s="206" t="str">
        <f t="shared" si="2"/>
        <v/>
      </c>
      <c r="AA12" s="206" t="str">
        <f t="shared" si="3"/>
        <v/>
      </c>
      <c r="AB12" s="206" t="str">
        <f t="shared" si="4"/>
        <v/>
      </c>
      <c r="AC12" s="207" t="str">
        <f t="shared" si="5"/>
        <v/>
      </c>
      <c r="AD12" s="208" t="str">
        <f t="shared" si="6"/>
        <v/>
      </c>
      <c r="AE12" s="209" t="str">
        <f t="shared" si="18"/>
        <v/>
      </c>
      <c r="AF12" s="210" t="str">
        <f t="shared" si="7"/>
        <v/>
      </c>
      <c r="AG12" s="219" t="str">
        <f t="shared" si="8"/>
        <v/>
      </c>
      <c r="AH12" s="207" t="str">
        <f t="shared" si="9"/>
        <v/>
      </c>
    </row>
    <row r="13" spans="1:34" s="167" customFormat="1" ht="12.75" customHeight="1">
      <c r="A13" s="181">
        <v>6</v>
      </c>
      <c r="B13" s="177"/>
      <c r="C13" s="182"/>
      <c r="D13" s="179"/>
      <c r="E13" s="180" t="str">
        <f t="shared" si="10"/>
        <v/>
      </c>
      <c r="F13" s="179"/>
      <c r="G13" s="180" t="str">
        <f t="shared" si="11"/>
        <v/>
      </c>
      <c r="H13" s="179"/>
      <c r="I13" s="180" t="str">
        <f t="shared" si="12"/>
        <v/>
      </c>
      <c r="J13" s="179"/>
      <c r="K13" s="180" t="str">
        <f t="shared" si="13"/>
        <v/>
      </c>
      <c r="L13" s="179"/>
      <c r="M13" s="180" t="str">
        <f t="shared" si="14"/>
        <v/>
      </c>
      <c r="N13" s="179"/>
      <c r="O13" s="180" t="str">
        <f t="shared" si="15"/>
        <v/>
      </c>
      <c r="P13" s="179"/>
      <c r="Q13" s="192" t="str">
        <f t="shared" si="0"/>
        <v/>
      </c>
      <c r="R13" s="193"/>
      <c r="S13" s="179"/>
      <c r="T13" s="192" t="str">
        <f t="shared" si="16"/>
        <v/>
      </c>
      <c r="U13" s="193"/>
      <c r="V13" s="179"/>
      <c r="W13" s="192" t="str">
        <f t="shared" si="17"/>
        <v/>
      </c>
      <c r="X13" s="194"/>
      <c r="Y13" s="205" t="str">
        <f t="shared" si="1"/>
        <v/>
      </c>
      <c r="Z13" s="206" t="str">
        <f t="shared" si="2"/>
        <v/>
      </c>
      <c r="AA13" s="206" t="str">
        <f t="shared" si="3"/>
        <v/>
      </c>
      <c r="AB13" s="206" t="str">
        <f t="shared" si="4"/>
        <v/>
      </c>
      <c r="AC13" s="207" t="str">
        <f t="shared" si="5"/>
        <v/>
      </c>
      <c r="AD13" s="208" t="str">
        <f t="shared" si="6"/>
        <v/>
      </c>
      <c r="AE13" s="209" t="str">
        <f t="shared" si="18"/>
        <v/>
      </c>
      <c r="AF13" s="210" t="str">
        <f t="shared" si="7"/>
        <v/>
      </c>
      <c r="AG13" s="219" t="str">
        <f t="shared" si="8"/>
        <v/>
      </c>
      <c r="AH13" s="207" t="str">
        <f t="shared" si="9"/>
        <v/>
      </c>
    </row>
    <row r="14" spans="1:34" s="167" customFormat="1" ht="12.75" customHeight="1">
      <c r="A14" s="181">
        <v>7</v>
      </c>
      <c r="B14" s="177"/>
      <c r="C14" s="182"/>
      <c r="D14" s="179"/>
      <c r="E14" s="180" t="str">
        <f t="shared" si="10"/>
        <v/>
      </c>
      <c r="F14" s="179"/>
      <c r="G14" s="180" t="str">
        <f t="shared" si="11"/>
        <v/>
      </c>
      <c r="H14" s="179"/>
      <c r="I14" s="180" t="str">
        <f t="shared" si="12"/>
        <v/>
      </c>
      <c r="J14" s="179"/>
      <c r="K14" s="180" t="str">
        <f t="shared" si="13"/>
        <v/>
      </c>
      <c r="L14" s="179"/>
      <c r="M14" s="180" t="str">
        <f t="shared" si="14"/>
        <v/>
      </c>
      <c r="N14" s="179"/>
      <c r="O14" s="180" t="str">
        <f t="shared" si="15"/>
        <v/>
      </c>
      <c r="P14" s="179"/>
      <c r="Q14" s="192" t="str">
        <f t="shared" si="0"/>
        <v/>
      </c>
      <c r="R14" s="193"/>
      <c r="S14" s="179"/>
      <c r="T14" s="192" t="str">
        <f t="shared" si="16"/>
        <v/>
      </c>
      <c r="U14" s="193"/>
      <c r="V14" s="179"/>
      <c r="W14" s="192" t="str">
        <f t="shared" si="17"/>
        <v/>
      </c>
      <c r="X14" s="194"/>
      <c r="Y14" s="205" t="str">
        <f t="shared" si="1"/>
        <v/>
      </c>
      <c r="Z14" s="206" t="str">
        <f t="shared" si="2"/>
        <v/>
      </c>
      <c r="AA14" s="206" t="str">
        <f t="shared" si="3"/>
        <v/>
      </c>
      <c r="AB14" s="206" t="str">
        <f t="shared" si="4"/>
        <v/>
      </c>
      <c r="AC14" s="207" t="str">
        <f t="shared" si="5"/>
        <v/>
      </c>
      <c r="AD14" s="208" t="str">
        <f t="shared" si="6"/>
        <v/>
      </c>
      <c r="AE14" s="209" t="str">
        <f t="shared" si="18"/>
        <v/>
      </c>
      <c r="AF14" s="210" t="str">
        <f t="shared" si="7"/>
        <v/>
      </c>
      <c r="AG14" s="219" t="str">
        <f t="shared" si="8"/>
        <v/>
      </c>
      <c r="AH14" s="207" t="str">
        <f t="shared" si="9"/>
        <v/>
      </c>
    </row>
    <row r="15" spans="1:34" s="167" customFormat="1" ht="12.75" customHeight="1">
      <c r="A15" s="181">
        <v>8</v>
      </c>
      <c r="B15" s="177"/>
      <c r="C15" s="182"/>
      <c r="D15" s="179"/>
      <c r="E15" s="180" t="str">
        <f t="shared" si="10"/>
        <v/>
      </c>
      <c r="F15" s="179"/>
      <c r="G15" s="180" t="str">
        <f t="shared" si="11"/>
        <v/>
      </c>
      <c r="H15" s="179"/>
      <c r="I15" s="180" t="str">
        <f t="shared" si="12"/>
        <v/>
      </c>
      <c r="J15" s="179"/>
      <c r="K15" s="180" t="str">
        <f t="shared" si="13"/>
        <v/>
      </c>
      <c r="L15" s="179"/>
      <c r="M15" s="180" t="str">
        <f t="shared" si="14"/>
        <v/>
      </c>
      <c r="N15" s="179"/>
      <c r="O15" s="180" t="str">
        <f t="shared" si="15"/>
        <v/>
      </c>
      <c r="P15" s="179"/>
      <c r="Q15" s="192" t="str">
        <f t="shared" si="0"/>
        <v/>
      </c>
      <c r="R15" s="193"/>
      <c r="S15" s="179"/>
      <c r="T15" s="192" t="str">
        <f t="shared" si="16"/>
        <v/>
      </c>
      <c r="U15" s="193"/>
      <c r="V15" s="179"/>
      <c r="W15" s="192" t="str">
        <f t="shared" si="17"/>
        <v/>
      </c>
      <c r="X15" s="194"/>
      <c r="Y15" s="205" t="str">
        <f t="shared" si="1"/>
        <v/>
      </c>
      <c r="Z15" s="206" t="str">
        <f t="shared" si="2"/>
        <v/>
      </c>
      <c r="AA15" s="206" t="str">
        <f t="shared" si="3"/>
        <v/>
      </c>
      <c r="AB15" s="206" t="str">
        <f t="shared" si="4"/>
        <v/>
      </c>
      <c r="AC15" s="207" t="str">
        <f t="shared" si="5"/>
        <v/>
      </c>
      <c r="AD15" s="208" t="str">
        <f t="shared" si="6"/>
        <v/>
      </c>
      <c r="AE15" s="209" t="str">
        <f t="shared" si="18"/>
        <v/>
      </c>
      <c r="AF15" s="210" t="str">
        <f t="shared" si="7"/>
        <v/>
      </c>
      <c r="AG15" s="219" t="str">
        <f t="shared" si="8"/>
        <v/>
      </c>
      <c r="AH15" s="207" t="str">
        <f t="shared" si="9"/>
        <v/>
      </c>
    </row>
    <row r="16" spans="1:34" s="167" customFormat="1" ht="12.75" customHeight="1">
      <c r="A16" s="181">
        <v>9</v>
      </c>
      <c r="B16" s="177"/>
      <c r="C16" s="182"/>
      <c r="D16" s="179"/>
      <c r="E16" s="180" t="str">
        <f t="shared" si="10"/>
        <v/>
      </c>
      <c r="F16" s="179"/>
      <c r="G16" s="180" t="str">
        <f t="shared" si="11"/>
        <v/>
      </c>
      <c r="H16" s="179"/>
      <c r="I16" s="180" t="str">
        <f t="shared" si="12"/>
        <v/>
      </c>
      <c r="J16" s="179"/>
      <c r="K16" s="180" t="str">
        <f t="shared" si="13"/>
        <v/>
      </c>
      <c r="L16" s="179"/>
      <c r="M16" s="180" t="str">
        <f t="shared" si="14"/>
        <v/>
      </c>
      <c r="N16" s="179"/>
      <c r="O16" s="180" t="str">
        <f t="shared" si="15"/>
        <v/>
      </c>
      <c r="P16" s="179"/>
      <c r="Q16" s="192" t="str">
        <f t="shared" si="0"/>
        <v/>
      </c>
      <c r="R16" s="193"/>
      <c r="S16" s="179"/>
      <c r="T16" s="192" t="str">
        <f t="shared" si="16"/>
        <v/>
      </c>
      <c r="U16" s="193"/>
      <c r="V16" s="179"/>
      <c r="W16" s="192" t="str">
        <f t="shared" si="17"/>
        <v/>
      </c>
      <c r="X16" s="194"/>
      <c r="Y16" s="205" t="str">
        <f t="shared" si="1"/>
        <v/>
      </c>
      <c r="Z16" s="206" t="str">
        <f t="shared" si="2"/>
        <v/>
      </c>
      <c r="AA16" s="206" t="str">
        <f t="shared" si="3"/>
        <v/>
      </c>
      <c r="AB16" s="206" t="str">
        <f t="shared" si="4"/>
        <v/>
      </c>
      <c r="AC16" s="207" t="str">
        <f t="shared" si="5"/>
        <v/>
      </c>
      <c r="AD16" s="208" t="str">
        <f t="shared" si="6"/>
        <v/>
      </c>
      <c r="AE16" s="209" t="str">
        <f t="shared" si="18"/>
        <v/>
      </c>
      <c r="AF16" s="210" t="str">
        <f t="shared" si="7"/>
        <v/>
      </c>
      <c r="AG16" s="219" t="str">
        <f t="shared" si="8"/>
        <v/>
      </c>
      <c r="AH16" s="207" t="str">
        <f t="shared" si="9"/>
        <v/>
      </c>
    </row>
    <row r="17" spans="1:34" s="167" customFormat="1" ht="12.75" customHeight="1">
      <c r="A17" s="181">
        <v>10</v>
      </c>
      <c r="B17" s="177"/>
      <c r="C17" s="182"/>
      <c r="D17" s="179"/>
      <c r="E17" s="180" t="str">
        <f t="shared" si="10"/>
        <v/>
      </c>
      <c r="F17" s="179"/>
      <c r="G17" s="180" t="str">
        <f t="shared" si="11"/>
        <v/>
      </c>
      <c r="H17" s="179"/>
      <c r="I17" s="180" t="str">
        <f t="shared" si="12"/>
        <v/>
      </c>
      <c r="J17" s="179"/>
      <c r="K17" s="180" t="str">
        <f t="shared" si="13"/>
        <v/>
      </c>
      <c r="L17" s="179"/>
      <c r="M17" s="180" t="str">
        <f t="shared" si="14"/>
        <v/>
      </c>
      <c r="N17" s="179"/>
      <c r="O17" s="180" t="str">
        <f t="shared" si="15"/>
        <v/>
      </c>
      <c r="P17" s="179"/>
      <c r="Q17" s="192" t="str">
        <f t="shared" si="0"/>
        <v/>
      </c>
      <c r="R17" s="193"/>
      <c r="S17" s="179"/>
      <c r="T17" s="192" t="str">
        <f t="shared" si="16"/>
        <v/>
      </c>
      <c r="U17" s="193"/>
      <c r="V17" s="179"/>
      <c r="W17" s="192" t="str">
        <f t="shared" si="17"/>
        <v/>
      </c>
      <c r="X17" s="194"/>
      <c r="Y17" s="205" t="str">
        <f t="shared" si="1"/>
        <v/>
      </c>
      <c r="Z17" s="206" t="str">
        <f t="shared" si="2"/>
        <v/>
      </c>
      <c r="AA17" s="206" t="str">
        <f t="shared" si="3"/>
        <v/>
      </c>
      <c r="AB17" s="206" t="str">
        <f t="shared" si="4"/>
        <v/>
      </c>
      <c r="AC17" s="207" t="str">
        <f t="shared" si="5"/>
        <v/>
      </c>
      <c r="AD17" s="208" t="str">
        <f t="shared" si="6"/>
        <v/>
      </c>
      <c r="AE17" s="209" t="str">
        <f t="shared" si="18"/>
        <v/>
      </c>
      <c r="AF17" s="210" t="str">
        <f t="shared" si="7"/>
        <v/>
      </c>
      <c r="AG17" s="219" t="str">
        <f t="shared" si="8"/>
        <v/>
      </c>
      <c r="AH17" s="207" t="str">
        <f t="shared" si="9"/>
        <v/>
      </c>
    </row>
    <row r="18" spans="1:34" s="167" customFormat="1" ht="12.75" customHeight="1">
      <c r="A18" s="181">
        <v>11</v>
      </c>
      <c r="B18" s="177"/>
      <c r="C18" s="182"/>
      <c r="D18" s="179"/>
      <c r="E18" s="180" t="str">
        <f t="shared" si="10"/>
        <v/>
      </c>
      <c r="F18" s="179"/>
      <c r="G18" s="180" t="str">
        <f t="shared" si="11"/>
        <v/>
      </c>
      <c r="H18" s="179"/>
      <c r="I18" s="180" t="str">
        <f t="shared" si="12"/>
        <v/>
      </c>
      <c r="J18" s="179"/>
      <c r="K18" s="180" t="str">
        <f t="shared" si="13"/>
        <v/>
      </c>
      <c r="L18" s="179"/>
      <c r="M18" s="180" t="str">
        <f t="shared" si="14"/>
        <v/>
      </c>
      <c r="N18" s="179"/>
      <c r="O18" s="180" t="str">
        <f t="shared" si="15"/>
        <v/>
      </c>
      <c r="P18" s="179"/>
      <c r="Q18" s="192" t="str">
        <f t="shared" si="0"/>
        <v/>
      </c>
      <c r="R18" s="193"/>
      <c r="S18" s="179"/>
      <c r="T18" s="192" t="str">
        <f t="shared" si="16"/>
        <v/>
      </c>
      <c r="U18" s="193"/>
      <c r="V18" s="179"/>
      <c r="W18" s="192" t="str">
        <f t="shared" si="17"/>
        <v/>
      </c>
      <c r="X18" s="194"/>
      <c r="Y18" s="205" t="str">
        <f t="shared" si="1"/>
        <v/>
      </c>
      <c r="Z18" s="206" t="str">
        <f t="shared" si="2"/>
        <v/>
      </c>
      <c r="AA18" s="206" t="str">
        <f t="shared" si="3"/>
        <v/>
      </c>
      <c r="AB18" s="206" t="str">
        <f t="shared" si="4"/>
        <v/>
      </c>
      <c r="AC18" s="207" t="str">
        <f t="shared" si="5"/>
        <v/>
      </c>
      <c r="AD18" s="208" t="str">
        <f t="shared" si="6"/>
        <v/>
      </c>
      <c r="AE18" s="209" t="str">
        <f t="shared" si="18"/>
        <v/>
      </c>
      <c r="AF18" s="210" t="str">
        <f t="shared" si="7"/>
        <v/>
      </c>
      <c r="AG18" s="219" t="str">
        <f t="shared" si="8"/>
        <v/>
      </c>
      <c r="AH18" s="207" t="str">
        <f t="shared" si="9"/>
        <v/>
      </c>
    </row>
    <row r="19" spans="1:34" s="167" customFormat="1" ht="12.75" customHeight="1">
      <c r="A19" s="181">
        <v>12</v>
      </c>
      <c r="B19" s="177"/>
      <c r="C19" s="182"/>
      <c r="D19" s="179"/>
      <c r="E19" s="180" t="str">
        <f t="shared" si="10"/>
        <v/>
      </c>
      <c r="F19" s="179"/>
      <c r="G19" s="180" t="str">
        <f t="shared" si="11"/>
        <v/>
      </c>
      <c r="H19" s="179"/>
      <c r="I19" s="180" t="str">
        <f t="shared" si="12"/>
        <v/>
      </c>
      <c r="J19" s="179"/>
      <c r="K19" s="180" t="str">
        <f t="shared" si="13"/>
        <v/>
      </c>
      <c r="L19" s="179"/>
      <c r="M19" s="180" t="str">
        <f t="shared" si="14"/>
        <v/>
      </c>
      <c r="N19" s="179"/>
      <c r="O19" s="180" t="str">
        <f t="shared" si="15"/>
        <v/>
      </c>
      <c r="P19" s="179"/>
      <c r="Q19" s="192" t="str">
        <f t="shared" si="0"/>
        <v/>
      </c>
      <c r="R19" s="193"/>
      <c r="S19" s="179"/>
      <c r="T19" s="192" t="str">
        <f t="shared" si="16"/>
        <v/>
      </c>
      <c r="U19" s="193"/>
      <c r="V19" s="179"/>
      <c r="W19" s="192" t="str">
        <f t="shared" si="17"/>
        <v/>
      </c>
      <c r="X19" s="194"/>
      <c r="Y19" s="205" t="str">
        <f t="shared" si="1"/>
        <v/>
      </c>
      <c r="Z19" s="206" t="str">
        <f t="shared" si="2"/>
        <v/>
      </c>
      <c r="AA19" s="206" t="str">
        <f t="shared" si="3"/>
        <v/>
      </c>
      <c r="AB19" s="206" t="str">
        <f t="shared" si="4"/>
        <v/>
      </c>
      <c r="AC19" s="207" t="str">
        <f t="shared" si="5"/>
        <v/>
      </c>
      <c r="AD19" s="208" t="str">
        <f t="shared" si="6"/>
        <v/>
      </c>
      <c r="AE19" s="209" t="str">
        <f t="shared" si="18"/>
        <v/>
      </c>
      <c r="AF19" s="210" t="str">
        <f t="shared" si="7"/>
        <v/>
      </c>
      <c r="AG19" s="219" t="str">
        <f t="shared" si="8"/>
        <v/>
      </c>
      <c r="AH19" s="207" t="str">
        <f t="shared" si="9"/>
        <v/>
      </c>
    </row>
    <row r="20" spans="1:34" s="167" customFormat="1" ht="12.75" customHeight="1">
      <c r="A20" s="181">
        <v>13</v>
      </c>
      <c r="B20" s="177"/>
      <c r="C20" s="182"/>
      <c r="D20" s="179"/>
      <c r="E20" s="180" t="str">
        <f t="shared" si="10"/>
        <v/>
      </c>
      <c r="F20" s="179"/>
      <c r="G20" s="180" t="str">
        <f t="shared" si="11"/>
        <v/>
      </c>
      <c r="H20" s="179"/>
      <c r="I20" s="180" t="str">
        <f t="shared" si="12"/>
        <v/>
      </c>
      <c r="J20" s="179"/>
      <c r="K20" s="180" t="str">
        <f t="shared" si="13"/>
        <v/>
      </c>
      <c r="L20" s="179"/>
      <c r="M20" s="180" t="str">
        <f t="shared" si="14"/>
        <v/>
      </c>
      <c r="N20" s="179"/>
      <c r="O20" s="180" t="str">
        <f t="shared" si="15"/>
        <v/>
      </c>
      <c r="P20" s="179"/>
      <c r="Q20" s="192" t="str">
        <f t="shared" si="0"/>
        <v/>
      </c>
      <c r="R20" s="193"/>
      <c r="S20" s="179"/>
      <c r="T20" s="192" t="str">
        <f t="shared" si="16"/>
        <v/>
      </c>
      <c r="U20" s="193"/>
      <c r="V20" s="179"/>
      <c r="W20" s="192" t="str">
        <f t="shared" si="17"/>
        <v/>
      </c>
      <c r="X20" s="194"/>
      <c r="Y20" s="205" t="str">
        <f t="shared" si="1"/>
        <v/>
      </c>
      <c r="Z20" s="206" t="str">
        <f t="shared" si="2"/>
        <v/>
      </c>
      <c r="AA20" s="206" t="str">
        <f t="shared" si="3"/>
        <v/>
      </c>
      <c r="AB20" s="206" t="str">
        <f t="shared" si="4"/>
        <v/>
      </c>
      <c r="AC20" s="207" t="str">
        <f t="shared" si="5"/>
        <v/>
      </c>
      <c r="AD20" s="208" t="str">
        <f t="shared" si="6"/>
        <v/>
      </c>
      <c r="AE20" s="209" t="str">
        <f t="shared" si="18"/>
        <v/>
      </c>
      <c r="AF20" s="210" t="str">
        <f t="shared" si="7"/>
        <v/>
      </c>
      <c r="AG20" s="219" t="str">
        <f t="shared" si="8"/>
        <v/>
      </c>
      <c r="AH20" s="207" t="str">
        <f t="shared" si="9"/>
        <v/>
      </c>
    </row>
    <row r="21" spans="1:34" s="167" customFormat="1" ht="12.75" customHeight="1">
      <c r="A21" s="181">
        <v>14</v>
      </c>
      <c r="B21" s="177"/>
      <c r="C21" s="182"/>
      <c r="D21" s="179"/>
      <c r="E21" s="180" t="str">
        <f t="shared" si="10"/>
        <v/>
      </c>
      <c r="F21" s="179"/>
      <c r="G21" s="180" t="str">
        <f t="shared" si="11"/>
        <v/>
      </c>
      <c r="H21" s="179"/>
      <c r="I21" s="180" t="str">
        <f t="shared" si="12"/>
        <v/>
      </c>
      <c r="J21" s="179"/>
      <c r="K21" s="180" t="str">
        <f t="shared" si="13"/>
        <v/>
      </c>
      <c r="L21" s="179"/>
      <c r="M21" s="180" t="str">
        <f t="shared" si="14"/>
        <v/>
      </c>
      <c r="N21" s="179"/>
      <c r="O21" s="180" t="str">
        <f t="shared" si="15"/>
        <v/>
      </c>
      <c r="P21" s="179"/>
      <c r="Q21" s="192" t="str">
        <f t="shared" si="0"/>
        <v/>
      </c>
      <c r="R21" s="193"/>
      <c r="S21" s="179"/>
      <c r="T21" s="192" t="str">
        <f t="shared" si="16"/>
        <v/>
      </c>
      <c r="U21" s="193"/>
      <c r="V21" s="179"/>
      <c r="W21" s="192" t="str">
        <f t="shared" si="17"/>
        <v/>
      </c>
      <c r="X21" s="194"/>
      <c r="Y21" s="205" t="str">
        <f t="shared" si="1"/>
        <v/>
      </c>
      <c r="Z21" s="206" t="str">
        <f t="shared" si="2"/>
        <v/>
      </c>
      <c r="AA21" s="206" t="str">
        <f t="shared" si="3"/>
        <v/>
      </c>
      <c r="AB21" s="206" t="str">
        <f t="shared" si="4"/>
        <v/>
      </c>
      <c r="AC21" s="207" t="str">
        <f t="shared" si="5"/>
        <v/>
      </c>
      <c r="AD21" s="208" t="str">
        <f t="shared" si="6"/>
        <v/>
      </c>
      <c r="AE21" s="209" t="str">
        <f t="shared" si="18"/>
        <v/>
      </c>
      <c r="AF21" s="210" t="str">
        <f t="shared" si="7"/>
        <v/>
      </c>
      <c r="AG21" s="219" t="str">
        <f t="shared" si="8"/>
        <v/>
      </c>
      <c r="AH21" s="207" t="str">
        <f t="shared" si="9"/>
        <v/>
      </c>
    </row>
    <row r="22" spans="1:34" s="167" customFormat="1" ht="12.75" customHeight="1">
      <c r="A22" s="181">
        <v>15</v>
      </c>
      <c r="B22" s="177"/>
      <c r="C22" s="182"/>
      <c r="D22" s="179"/>
      <c r="E22" s="180" t="str">
        <f t="shared" si="10"/>
        <v/>
      </c>
      <c r="F22" s="179"/>
      <c r="G22" s="180" t="str">
        <f t="shared" si="11"/>
        <v/>
      </c>
      <c r="H22" s="179"/>
      <c r="I22" s="180" t="str">
        <f t="shared" si="12"/>
        <v/>
      </c>
      <c r="J22" s="179"/>
      <c r="K22" s="180" t="str">
        <f t="shared" si="13"/>
        <v/>
      </c>
      <c r="L22" s="179"/>
      <c r="M22" s="180" t="str">
        <f t="shared" si="14"/>
        <v/>
      </c>
      <c r="N22" s="179"/>
      <c r="O22" s="180" t="str">
        <f t="shared" si="15"/>
        <v/>
      </c>
      <c r="P22" s="179"/>
      <c r="Q22" s="192" t="str">
        <f t="shared" si="0"/>
        <v/>
      </c>
      <c r="R22" s="193"/>
      <c r="S22" s="179"/>
      <c r="T22" s="192" t="str">
        <f t="shared" si="16"/>
        <v/>
      </c>
      <c r="U22" s="193"/>
      <c r="V22" s="179"/>
      <c r="W22" s="192" t="str">
        <f t="shared" si="17"/>
        <v/>
      </c>
      <c r="X22" s="194"/>
      <c r="Y22" s="205" t="str">
        <f t="shared" si="1"/>
        <v/>
      </c>
      <c r="Z22" s="206" t="str">
        <f t="shared" si="2"/>
        <v/>
      </c>
      <c r="AA22" s="206" t="str">
        <f t="shared" si="3"/>
        <v/>
      </c>
      <c r="AB22" s="206" t="str">
        <f t="shared" si="4"/>
        <v/>
      </c>
      <c r="AC22" s="207" t="str">
        <f t="shared" si="5"/>
        <v/>
      </c>
      <c r="AD22" s="208" t="str">
        <f t="shared" si="6"/>
        <v/>
      </c>
      <c r="AE22" s="209" t="str">
        <f t="shared" si="18"/>
        <v/>
      </c>
      <c r="AF22" s="210" t="str">
        <f t="shared" si="7"/>
        <v/>
      </c>
      <c r="AG22" s="219" t="str">
        <f t="shared" si="8"/>
        <v/>
      </c>
      <c r="AH22" s="207" t="str">
        <f t="shared" si="9"/>
        <v/>
      </c>
    </row>
    <row r="23" spans="1:34" s="167" customFormat="1" ht="12.75" customHeight="1">
      <c r="A23" s="181">
        <v>16</v>
      </c>
      <c r="B23" s="177"/>
      <c r="C23" s="182"/>
      <c r="D23" s="179"/>
      <c r="E23" s="180" t="str">
        <f t="shared" si="10"/>
        <v/>
      </c>
      <c r="F23" s="179"/>
      <c r="G23" s="180" t="str">
        <f t="shared" si="11"/>
        <v/>
      </c>
      <c r="H23" s="179"/>
      <c r="I23" s="180" t="str">
        <f t="shared" si="12"/>
        <v/>
      </c>
      <c r="J23" s="179"/>
      <c r="K23" s="180" t="str">
        <f t="shared" si="13"/>
        <v/>
      </c>
      <c r="L23" s="179"/>
      <c r="M23" s="180" t="str">
        <f t="shared" si="14"/>
        <v/>
      </c>
      <c r="N23" s="179"/>
      <c r="O23" s="180" t="str">
        <f t="shared" si="15"/>
        <v/>
      </c>
      <c r="P23" s="179"/>
      <c r="Q23" s="192" t="str">
        <f t="shared" si="0"/>
        <v/>
      </c>
      <c r="R23" s="193"/>
      <c r="S23" s="179"/>
      <c r="T23" s="192" t="str">
        <f t="shared" si="16"/>
        <v/>
      </c>
      <c r="U23" s="193"/>
      <c r="V23" s="179"/>
      <c r="W23" s="192" t="str">
        <f t="shared" si="17"/>
        <v/>
      </c>
      <c r="X23" s="194"/>
      <c r="Y23" s="205" t="str">
        <f t="shared" si="1"/>
        <v/>
      </c>
      <c r="Z23" s="206" t="str">
        <f t="shared" si="2"/>
        <v/>
      </c>
      <c r="AA23" s="206" t="str">
        <f t="shared" si="3"/>
        <v/>
      </c>
      <c r="AB23" s="206" t="str">
        <f t="shared" si="4"/>
        <v/>
      </c>
      <c r="AC23" s="207" t="str">
        <f t="shared" si="5"/>
        <v/>
      </c>
      <c r="AD23" s="208" t="str">
        <f t="shared" si="6"/>
        <v/>
      </c>
      <c r="AE23" s="209" t="str">
        <f t="shared" si="18"/>
        <v/>
      </c>
      <c r="AF23" s="210" t="str">
        <f t="shared" si="7"/>
        <v/>
      </c>
      <c r="AG23" s="219" t="str">
        <f t="shared" si="8"/>
        <v/>
      </c>
      <c r="AH23" s="207" t="str">
        <f t="shared" si="9"/>
        <v/>
      </c>
    </row>
    <row r="24" spans="1:34" s="167" customFormat="1" ht="12.75" customHeight="1">
      <c r="A24" s="181">
        <v>17</v>
      </c>
      <c r="B24" s="177"/>
      <c r="C24" s="182"/>
      <c r="D24" s="179"/>
      <c r="E24" s="180" t="str">
        <f t="shared" si="10"/>
        <v/>
      </c>
      <c r="F24" s="179"/>
      <c r="G24" s="180" t="str">
        <f t="shared" si="11"/>
        <v/>
      </c>
      <c r="H24" s="179"/>
      <c r="I24" s="180" t="str">
        <f t="shared" si="12"/>
        <v/>
      </c>
      <c r="J24" s="179"/>
      <c r="K24" s="180" t="str">
        <f t="shared" si="13"/>
        <v/>
      </c>
      <c r="L24" s="179"/>
      <c r="M24" s="180" t="str">
        <f t="shared" si="14"/>
        <v/>
      </c>
      <c r="N24" s="179"/>
      <c r="O24" s="180" t="str">
        <f t="shared" si="15"/>
        <v/>
      </c>
      <c r="P24" s="179"/>
      <c r="Q24" s="192" t="str">
        <f t="shared" si="0"/>
        <v/>
      </c>
      <c r="R24" s="193"/>
      <c r="S24" s="179"/>
      <c r="T24" s="192" t="str">
        <f t="shared" si="16"/>
        <v/>
      </c>
      <c r="U24" s="193"/>
      <c r="V24" s="179"/>
      <c r="W24" s="192" t="str">
        <f t="shared" si="17"/>
        <v/>
      </c>
      <c r="X24" s="194"/>
      <c r="Y24" s="205" t="str">
        <f t="shared" si="1"/>
        <v/>
      </c>
      <c r="Z24" s="206" t="str">
        <f t="shared" si="2"/>
        <v/>
      </c>
      <c r="AA24" s="206" t="str">
        <f t="shared" si="3"/>
        <v/>
      </c>
      <c r="AB24" s="206" t="str">
        <f t="shared" si="4"/>
        <v/>
      </c>
      <c r="AC24" s="207" t="str">
        <f t="shared" si="5"/>
        <v/>
      </c>
      <c r="AD24" s="208" t="str">
        <f t="shared" si="6"/>
        <v/>
      </c>
      <c r="AE24" s="209" t="str">
        <f t="shared" si="18"/>
        <v/>
      </c>
      <c r="AF24" s="210" t="str">
        <f t="shared" si="7"/>
        <v/>
      </c>
      <c r="AG24" s="219" t="str">
        <f t="shared" si="8"/>
        <v/>
      </c>
      <c r="AH24" s="207" t="str">
        <f t="shared" si="9"/>
        <v/>
      </c>
    </row>
    <row r="25" spans="1:34" s="167" customFormat="1" ht="12.75" customHeight="1">
      <c r="A25" s="181">
        <v>18</v>
      </c>
      <c r="B25" s="177"/>
      <c r="C25" s="182"/>
      <c r="D25" s="179"/>
      <c r="E25" s="180" t="str">
        <f t="shared" si="10"/>
        <v/>
      </c>
      <c r="F25" s="179"/>
      <c r="G25" s="180" t="str">
        <f t="shared" si="11"/>
        <v/>
      </c>
      <c r="H25" s="179"/>
      <c r="I25" s="180" t="str">
        <f t="shared" si="12"/>
        <v/>
      </c>
      <c r="J25" s="179"/>
      <c r="K25" s="180" t="str">
        <f t="shared" si="13"/>
        <v/>
      </c>
      <c r="L25" s="179"/>
      <c r="M25" s="180" t="str">
        <f t="shared" si="14"/>
        <v/>
      </c>
      <c r="N25" s="179"/>
      <c r="O25" s="180" t="str">
        <f t="shared" si="15"/>
        <v/>
      </c>
      <c r="P25" s="179"/>
      <c r="Q25" s="192" t="str">
        <f t="shared" si="0"/>
        <v/>
      </c>
      <c r="R25" s="193"/>
      <c r="S25" s="179"/>
      <c r="T25" s="192" t="str">
        <f t="shared" si="16"/>
        <v/>
      </c>
      <c r="U25" s="193"/>
      <c r="V25" s="179"/>
      <c r="W25" s="192" t="str">
        <f t="shared" si="17"/>
        <v/>
      </c>
      <c r="X25" s="194"/>
      <c r="Y25" s="205" t="str">
        <f t="shared" si="1"/>
        <v/>
      </c>
      <c r="Z25" s="206" t="str">
        <f t="shared" si="2"/>
        <v/>
      </c>
      <c r="AA25" s="206" t="str">
        <f t="shared" si="3"/>
        <v/>
      </c>
      <c r="AB25" s="206" t="str">
        <f t="shared" si="4"/>
        <v/>
      </c>
      <c r="AC25" s="207" t="str">
        <f t="shared" si="5"/>
        <v/>
      </c>
      <c r="AD25" s="208" t="str">
        <f t="shared" si="6"/>
        <v/>
      </c>
      <c r="AE25" s="209" t="str">
        <f t="shared" si="18"/>
        <v/>
      </c>
      <c r="AF25" s="210" t="str">
        <f t="shared" si="7"/>
        <v/>
      </c>
      <c r="AG25" s="219" t="str">
        <f t="shared" si="8"/>
        <v/>
      </c>
      <c r="AH25" s="207" t="str">
        <f t="shared" si="9"/>
        <v/>
      </c>
    </row>
    <row r="26" spans="1:34" s="167" customFormat="1" ht="12.75" customHeight="1">
      <c r="A26" s="181">
        <v>19</v>
      </c>
      <c r="B26" s="177"/>
      <c r="C26" s="182"/>
      <c r="D26" s="179"/>
      <c r="E26" s="180" t="str">
        <f t="shared" si="10"/>
        <v/>
      </c>
      <c r="F26" s="179"/>
      <c r="G26" s="180" t="str">
        <f t="shared" si="11"/>
        <v/>
      </c>
      <c r="H26" s="179"/>
      <c r="I26" s="180" t="str">
        <f t="shared" si="12"/>
        <v/>
      </c>
      <c r="J26" s="179"/>
      <c r="K26" s="180" t="str">
        <f t="shared" si="13"/>
        <v/>
      </c>
      <c r="L26" s="179"/>
      <c r="M26" s="180" t="str">
        <f t="shared" si="14"/>
        <v/>
      </c>
      <c r="N26" s="179"/>
      <c r="O26" s="180" t="str">
        <f t="shared" si="15"/>
        <v/>
      </c>
      <c r="P26" s="179"/>
      <c r="Q26" s="192" t="str">
        <f t="shared" si="0"/>
        <v/>
      </c>
      <c r="R26" s="193"/>
      <c r="S26" s="179"/>
      <c r="T26" s="192" t="str">
        <f t="shared" si="16"/>
        <v/>
      </c>
      <c r="U26" s="193"/>
      <c r="V26" s="179"/>
      <c r="W26" s="192" t="str">
        <f t="shared" si="17"/>
        <v/>
      </c>
      <c r="X26" s="194"/>
      <c r="Y26" s="205" t="str">
        <f t="shared" si="1"/>
        <v/>
      </c>
      <c r="Z26" s="206" t="str">
        <f t="shared" si="2"/>
        <v/>
      </c>
      <c r="AA26" s="206" t="str">
        <f t="shared" si="3"/>
        <v/>
      </c>
      <c r="AB26" s="206" t="str">
        <f t="shared" si="4"/>
        <v/>
      </c>
      <c r="AC26" s="207" t="str">
        <f t="shared" si="5"/>
        <v/>
      </c>
      <c r="AD26" s="208" t="str">
        <f t="shared" si="6"/>
        <v/>
      </c>
      <c r="AE26" s="209" t="str">
        <f t="shared" si="18"/>
        <v/>
      </c>
      <c r="AF26" s="210" t="str">
        <f t="shared" si="7"/>
        <v/>
      </c>
      <c r="AG26" s="219" t="str">
        <f t="shared" si="8"/>
        <v/>
      </c>
      <c r="AH26" s="207" t="str">
        <f t="shared" si="9"/>
        <v/>
      </c>
    </row>
    <row r="27" spans="1:34" s="167" customFormat="1" ht="12.75" customHeight="1">
      <c r="A27" s="181">
        <v>20</v>
      </c>
      <c r="B27" s="177"/>
      <c r="C27" s="182"/>
      <c r="D27" s="179"/>
      <c r="E27" s="180" t="str">
        <f t="shared" si="10"/>
        <v/>
      </c>
      <c r="F27" s="179"/>
      <c r="G27" s="180" t="str">
        <f t="shared" si="11"/>
        <v/>
      </c>
      <c r="H27" s="179"/>
      <c r="I27" s="180" t="str">
        <f t="shared" si="12"/>
        <v/>
      </c>
      <c r="J27" s="179"/>
      <c r="K27" s="180" t="str">
        <f t="shared" si="13"/>
        <v/>
      </c>
      <c r="L27" s="179"/>
      <c r="M27" s="180" t="str">
        <f t="shared" si="14"/>
        <v/>
      </c>
      <c r="N27" s="179"/>
      <c r="O27" s="180" t="str">
        <f t="shared" si="15"/>
        <v/>
      </c>
      <c r="P27" s="179"/>
      <c r="Q27" s="192" t="str">
        <f t="shared" si="0"/>
        <v/>
      </c>
      <c r="R27" s="193"/>
      <c r="S27" s="179"/>
      <c r="T27" s="192" t="str">
        <f t="shared" si="16"/>
        <v/>
      </c>
      <c r="U27" s="193"/>
      <c r="V27" s="179"/>
      <c r="W27" s="192" t="str">
        <f t="shared" si="17"/>
        <v/>
      </c>
      <c r="X27" s="194"/>
      <c r="Y27" s="205" t="str">
        <f t="shared" si="1"/>
        <v/>
      </c>
      <c r="Z27" s="206" t="str">
        <f t="shared" si="2"/>
        <v/>
      </c>
      <c r="AA27" s="206" t="str">
        <f t="shared" si="3"/>
        <v/>
      </c>
      <c r="AB27" s="206" t="str">
        <f t="shared" si="4"/>
        <v/>
      </c>
      <c r="AC27" s="207" t="str">
        <f t="shared" si="5"/>
        <v/>
      </c>
      <c r="AD27" s="208" t="str">
        <f t="shared" si="6"/>
        <v/>
      </c>
      <c r="AE27" s="209" t="str">
        <f t="shared" si="18"/>
        <v/>
      </c>
      <c r="AF27" s="210" t="str">
        <f t="shared" si="7"/>
        <v/>
      </c>
      <c r="AG27" s="219" t="str">
        <f t="shared" si="8"/>
        <v/>
      </c>
      <c r="AH27" s="207" t="str">
        <f t="shared" si="9"/>
        <v/>
      </c>
    </row>
    <row r="28" spans="1:34" s="167" customFormat="1" ht="12.75" customHeight="1">
      <c r="A28" s="181">
        <v>21</v>
      </c>
      <c r="B28" s="177"/>
      <c r="C28" s="182"/>
      <c r="D28" s="179"/>
      <c r="E28" s="180" t="str">
        <f t="shared" si="10"/>
        <v/>
      </c>
      <c r="F28" s="179"/>
      <c r="G28" s="180" t="str">
        <f t="shared" si="11"/>
        <v/>
      </c>
      <c r="H28" s="179"/>
      <c r="I28" s="180" t="str">
        <f t="shared" si="12"/>
        <v/>
      </c>
      <c r="J28" s="179"/>
      <c r="K28" s="180" t="str">
        <f t="shared" si="13"/>
        <v/>
      </c>
      <c r="L28" s="179"/>
      <c r="M28" s="180" t="str">
        <f t="shared" si="14"/>
        <v/>
      </c>
      <c r="N28" s="179"/>
      <c r="O28" s="180" t="str">
        <f t="shared" si="15"/>
        <v/>
      </c>
      <c r="P28" s="179"/>
      <c r="Q28" s="192" t="str">
        <f t="shared" si="0"/>
        <v/>
      </c>
      <c r="R28" s="193"/>
      <c r="S28" s="179"/>
      <c r="T28" s="192" t="str">
        <f t="shared" si="16"/>
        <v/>
      </c>
      <c r="U28" s="193"/>
      <c r="V28" s="179"/>
      <c r="W28" s="192" t="str">
        <f t="shared" si="17"/>
        <v/>
      </c>
      <c r="X28" s="194"/>
      <c r="Y28" s="205" t="str">
        <f t="shared" si="1"/>
        <v/>
      </c>
      <c r="Z28" s="206" t="str">
        <f t="shared" si="2"/>
        <v/>
      </c>
      <c r="AA28" s="206" t="str">
        <f t="shared" si="3"/>
        <v/>
      </c>
      <c r="AB28" s="206" t="str">
        <f t="shared" si="4"/>
        <v/>
      </c>
      <c r="AC28" s="207" t="str">
        <f t="shared" si="5"/>
        <v/>
      </c>
      <c r="AD28" s="208" t="str">
        <f t="shared" si="6"/>
        <v/>
      </c>
      <c r="AE28" s="209" t="str">
        <f t="shared" si="18"/>
        <v/>
      </c>
      <c r="AF28" s="210" t="str">
        <f t="shared" si="7"/>
        <v/>
      </c>
      <c r="AG28" s="219" t="str">
        <f t="shared" si="8"/>
        <v/>
      </c>
      <c r="AH28" s="207" t="str">
        <f t="shared" si="9"/>
        <v/>
      </c>
    </row>
    <row r="29" spans="1:34" s="167" customFormat="1" ht="12.75" customHeight="1">
      <c r="A29" s="181">
        <v>22</v>
      </c>
      <c r="B29" s="177"/>
      <c r="C29" s="182"/>
      <c r="D29" s="179"/>
      <c r="E29" s="180" t="str">
        <f t="shared" si="10"/>
        <v/>
      </c>
      <c r="F29" s="179"/>
      <c r="G29" s="180" t="str">
        <f t="shared" si="11"/>
        <v/>
      </c>
      <c r="H29" s="179"/>
      <c r="I29" s="180" t="str">
        <f t="shared" si="12"/>
        <v/>
      </c>
      <c r="J29" s="179"/>
      <c r="K29" s="180" t="str">
        <f t="shared" si="13"/>
        <v/>
      </c>
      <c r="L29" s="179"/>
      <c r="M29" s="180" t="str">
        <f t="shared" si="14"/>
        <v/>
      </c>
      <c r="N29" s="179"/>
      <c r="O29" s="180" t="str">
        <f t="shared" si="15"/>
        <v/>
      </c>
      <c r="P29" s="179"/>
      <c r="Q29" s="192" t="str">
        <f t="shared" si="0"/>
        <v/>
      </c>
      <c r="R29" s="193"/>
      <c r="S29" s="179"/>
      <c r="T29" s="192" t="str">
        <f t="shared" si="16"/>
        <v/>
      </c>
      <c r="U29" s="193"/>
      <c r="V29" s="179"/>
      <c r="W29" s="192" t="str">
        <f t="shared" si="17"/>
        <v/>
      </c>
      <c r="X29" s="194"/>
      <c r="Y29" s="205" t="str">
        <f t="shared" si="1"/>
        <v/>
      </c>
      <c r="Z29" s="206" t="str">
        <f t="shared" si="2"/>
        <v/>
      </c>
      <c r="AA29" s="206" t="str">
        <f t="shared" si="3"/>
        <v/>
      </c>
      <c r="AB29" s="206" t="str">
        <f t="shared" si="4"/>
        <v/>
      </c>
      <c r="AC29" s="207" t="str">
        <f t="shared" si="5"/>
        <v/>
      </c>
      <c r="AD29" s="208" t="str">
        <f t="shared" si="6"/>
        <v/>
      </c>
      <c r="AE29" s="209" t="str">
        <f t="shared" si="18"/>
        <v/>
      </c>
      <c r="AF29" s="210" t="str">
        <f t="shared" si="7"/>
        <v/>
      </c>
      <c r="AG29" s="219" t="str">
        <f t="shared" si="8"/>
        <v/>
      </c>
      <c r="AH29" s="207" t="str">
        <f t="shared" si="9"/>
        <v/>
      </c>
    </row>
    <row r="30" spans="1:34" s="167" customFormat="1" ht="12.75" customHeight="1">
      <c r="A30" s="181">
        <v>23</v>
      </c>
      <c r="B30" s="177"/>
      <c r="C30" s="182"/>
      <c r="D30" s="179"/>
      <c r="E30" s="180" t="str">
        <f t="shared" si="10"/>
        <v/>
      </c>
      <c r="F30" s="179"/>
      <c r="G30" s="180" t="str">
        <f t="shared" si="11"/>
        <v/>
      </c>
      <c r="H30" s="179"/>
      <c r="I30" s="180" t="str">
        <f t="shared" si="12"/>
        <v/>
      </c>
      <c r="J30" s="179"/>
      <c r="K30" s="180" t="str">
        <f t="shared" si="13"/>
        <v/>
      </c>
      <c r="L30" s="179"/>
      <c r="M30" s="180" t="str">
        <f t="shared" si="14"/>
        <v/>
      </c>
      <c r="N30" s="179"/>
      <c r="O30" s="180" t="str">
        <f t="shared" si="15"/>
        <v/>
      </c>
      <c r="P30" s="179"/>
      <c r="Q30" s="192" t="str">
        <f t="shared" si="0"/>
        <v/>
      </c>
      <c r="R30" s="193"/>
      <c r="S30" s="179"/>
      <c r="T30" s="192" t="str">
        <f t="shared" si="16"/>
        <v/>
      </c>
      <c r="U30" s="193"/>
      <c r="V30" s="179"/>
      <c r="W30" s="192" t="str">
        <f t="shared" si="17"/>
        <v/>
      </c>
      <c r="X30" s="194"/>
      <c r="Y30" s="205" t="str">
        <f t="shared" si="1"/>
        <v/>
      </c>
      <c r="Z30" s="206" t="str">
        <f t="shared" si="2"/>
        <v/>
      </c>
      <c r="AA30" s="206" t="str">
        <f t="shared" si="3"/>
        <v/>
      </c>
      <c r="AB30" s="206" t="str">
        <f t="shared" si="4"/>
        <v/>
      </c>
      <c r="AC30" s="207" t="str">
        <f t="shared" si="5"/>
        <v/>
      </c>
      <c r="AD30" s="208" t="str">
        <f t="shared" si="6"/>
        <v/>
      </c>
      <c r="AE30" s="209" t="str">
        <f t="shared" si="18"/>
        <v/>
      </c>
      <c r="AF30" s="210" t="str">
        <f t="shared" si="7"/>
        <v/>
      </c>
      <c r="AG30" s="219" t="str">
        <f t="shared" si="8"/>
        <v/>
      </c>
      <c r="AH30" s="207" t="str">
        <f t="shared" si="9"/>
        <v/>
      </c>
    </row>
    <row r="31" spans="1:34" s="167" customFormat="1" ht="12.75" customHeight="1">
      <c r="A31" s="181">
        <v>24</v>
      </c>
      <c r="B31" s="177"/>
      <c r="C31" s="182"/>
      <c r="D31" s="179"/>
      <c r="E31" s="180" t="str">
        <f t="shared" si="10"/>
        <v/>
      </c>
      <c r="F31" s="179"/>
      <c r="G31" s="180" t="str">
        <f t="shared" si="11"/>
        <v/>
      </c>
      <c r="H31" s="179"/>
      <c r="I31" s="180" t="str">
        <f t="shared" si="12"/>
        <v/>
      </c>
      <c r="J31" s="179"/>
      <c r="K31" s="180" t="str">
        <f t="shared" si="13"/>
        <v/>
      </c>
      <c r="L31" s="179"/>
      <c r="M31" s="180" t="str">
        <f t="shared" si="14"/>
        <v/>
      </c>
      <c r="N31" s="179"/>
      <c r="O31" s="180" t="str">
        <f t="shared" si="15"/>
        <v/>
      </c>
      <c r="P31" s="179"/>
      <c r="Q31" s="192" t="str">
        <f t="shared" si="0"/>
        <v/>
      </c>
      <c r="R31" s="193"/>
      <c r="S31" s="179"/>
      <c r="T31" s="192" t="str">
        <f t="shared" si="16"/>
        <v/>
      </c>
      <c r="U31" s="193"/>
      <c r="V31" s="179"/>
      <c r="W31" s="192" t="str">
        <f t="shared" si="17"/>
        <v/>
      </c>
      <c r="X31" s="194"/>
      <c r="Y31" s="205" t="str">
        <f t="shared" si="1"/>
        <v/>
      </c>
      <c r="Z31" s="206" t="str">
        <f t="shared" si="2"/>
        <v/>
      </c>
      <c r="AA31" s="206" t="str">
        <f t="shared" si="3"/>
        <v/>
      </c>
      <c r="AB31" s="206" t="str">
        <f t="shared" si="4"/>
        <v/>
      </c>
      <c r="AC31" s="207" t="str">
        <f t="shared" si="5"/>
        <v/>
      </c>
      <c r="AD31" s="208" t="str">
        <f t="shared" si="6"/>
        <v/>
      </c>
      <c r="AE31" s="209" t="str">
        <f t="shared" si="18"/>
        <v/>
      </c>
      <c r="AF31" s="210" t="str">
        <f t="shared" si="7"/>
        <v/>
      </c>
      <c r="AG31" s="219" t="str">
        <f t="shared" si="8"/>
        <v/>
      </c>
      <c r="AH31" s="207" t="str">
        <f t="shared" si="9"/>
        <v/>
      </c>
    </row>
    <row r="32" spans="1:34" s="167" customFormat="1" ht="12.75" customHeight="1">
      <c r="A32" s="181">
        <v>25</v>
      </c>
      <c r="B32" s="177"/>
      <c r="C32" s="182"/>
      <c r="D32" s="179"/>
      <c r="E32" s="180" t="str">
        <f t="shared" si="10"/>
        <v/>
      </c>
      <c r="F32" s="179"/>
      <c r="G32" s="180" t="str">
        <f t="shared" si="11"/>
        <v/>
      </c>
      <c r="H32" s="179"/>
      <c r="I32" s="180" t="str">
        <f t="shared" si="12"/>
        <v/>
      </c>
      <c r="J32" s="179"/>
      <c r="K32" s="180" t="str">
        <f t="shared" si="13"/>
        <v/>
      </c>
      <c r="L32" s="179"/>
      <c r="M32" s="180" t="str">
        <f t="shared" si="14"/>
        <v/>
      </c>
      <c r="N32" s="179"/>
      <c r="O32" s="180" t="str">
        <f t="shared" si="15"/>
        <v/>
      </c>
      <c r="P32" s="179"/>
      <c r="Q32" s="192" t="str">
        <f t="shared" si="0"/>
        <v/>
      </c>
      <c r="R32" s="193"/>
      <c r="S32" s="179"/>
      <c r="T32" s="192" t="str">
        <f t="shared" si="16"/>
        <v/>
      </c>
      <c r="U32" s="193"/>
      <c r="V32" s="179"/>
      <c r="W32" s="192" t="str">
        <f t="shared" si="17"/>
        <v/>
      </c>
      <c r="X32" s="194"/>
      <c r="Y32" s="205" t="str">
        <f t="shared" si="1"/>
        <v/>
      </c>
      <c r="Z32" s="206" t="str">
        <f t="shared" si="2"/>
        <v/>
      </c>
      <c r="AA32" s="206" t="str">
        <f t="shared" si="3"/>
        <v/>
      </c>
      <c r="AB32" s="206" t="str">
        <f t="shared" si="4"/>
        <v/>
      </c>
      <c r="AC32" s="207" t="str">
        <f t="shared" si="5"/>
        <v/>
      </c>
      <c r="AD32" s="208" t="str">
        <f t="shared" si="6"/>
        <v/>
      </c>
      <c r="AE32" s="209" t="str">
        <f t="shared" si="18"/>
        <v/>
      </c>
      <c r="AF32" s="210" t="str">
        <f t="shared" si="7"/>
        <v/>
      </c>
      <c r="AG32" s="219" t="str">
        <f t="shared" si="8"/>
        <v/>
      </c>
      <c r="AH32" s="207" t="str">
        <f t="shared" si="9"/>
        <v/>
      </c>
    </row>
    <row r="33" spans="1:34" s="167" customFormat="1" ht="12.75" customHeight="1">
      <c r="A33" s="181">
        <v>26</v>
      </c>
      <c r="B33" s="177"/>
      <c r="C33" s="182"/>
      <c r="D33" s="179"/>
      <c r="E33" s="180" t="str">
        <f t="shared" si="10"/>
        <v/>
      </c>
      <c r="F33" s="179"/>
      <c r="G33" s="180" t="str">
        <f t="shared" si="11"/>
        <v/>
      </c>
      <c r="H33" s="179"/>
      <c r="I33" s="180" t="str">
        <f t="shared" si="12"/>
        <v/>
      </c>
      <c r="J33" s="179"/>
      <c r="K33" s="180" t="str">
        <f t="shared" si="13"/>
        <v/>
      </c>
      <c r="L33" s="179"/>
      <c r="M33" s="180" t="str">
        <f t="shared" si="14"/>
        <v/>
      </c>
      <c r="N33" s="179"/>
      <c r="O33" s="180" t="str">
        <f t="shared" si="15"/>
        <v/>
      </c>
      <c r="P33" s="179"/>
      <c r="Q33" s="192" t="str">
        <f t="shared" si="0"/>
        <v/>
      </c>
      <c r="R33" s="193"/>
      <c r="S33" s="179"/>
      <c r="T33" s="192" t="str">
        <f t="shared" si="16"/>
        <v/>
      </c>
      <c r="U33" s="193"/>
      <c r="V33" s="179"/>
      <c r="W33" s="192" t="str">
        <f t="shared" si="17"/>
        <v/>
      </c>
      <c r="X33" s="194"/>
      <c r="Y33" s="205" t="str">
        <f t="shared" si="1"/>
        <v/>
      </c>
      <c r="Z33" s="206" t="str">
        <f t="shared" si="2"/>
        <v/>
      </c>
      <c r="AA33" s="206" t="str">
        <f t="shared" si="3"/>
        <v/>
      </c>
      <c r="AB33" s="206" t="str">
        <f t="shared" si="4"/>
        <v/>
      </c>
      <c r="AC33" s="207" t="str">
        <f t="shared" si="5"/>
        <v/>
      </c>
      <c r="AD33" s="208" t="str">
        <f t="shared" si="6"/>
        <v/>
      </c>
      <c r="AE33" s="209" t="str">
        <f t="shared" si="18"/>
        <v/>
      </c>
      <c r="AF33" s="210" t="str">
        <f t="shared" si="7"/>
        <v/>
      </c>
      <c r="AG33" s="219" t="str">
        <f t="shared" si="8"/>
        <v/>
      </c>
      <c r="AH33" s="207" t="str">
        <f t="shared" si="9"/>
        <v/>
      </c>
    </row>
    <row r="34" spans="1:34" s="167" customFormat="1" ht="12.75" customHeight="1">
      <c r="A34" s="181">
        <v>27</v>
      </c>
      <c r="B34" s="177"/>
      <c r="C34" s="182"/>
      <c r="D34" s="179"/>
      <c r="E34" s="180" t="str">
        <f t="shared" si="10"/>
        <v/>
      </c>
      <c r="F34" s="179"/>
      <c r="G34" s="180" t="str">
        <f t="shared" si="11"/>
        <v/>
      </c>
      <c r="H34" s="179"/>
      <c r="I34" s="180" t="str">
        <f t="shared" si="12"/>
        <v/>
      </c>
      <c r="J34" s="179"/>
      <c r="K34" s="180" t="str">
        <f t="shared" si="13"/>
        <v/>
      </c>
      <c r="L34" s="179"/>
      <c r="M34" s="180" t="str">
        <f t="shared" si="14"/>
        <v/>
      </c>
      <c r="N34" s="179"/>
      <c r="O34" s="180" t="str">
        <f t="shared" si="15"/>
        <v/>
      </c>
      <c r="P34" s="179"/>
      <c r="Q34" s="192" t="str">
        <f t="shared" si="0"/>
        <v/>
      </c>
      <c r="R34" s="193"/>
      <c r="S34" s="179"/>
      <c r="T34" s="192" t="str">
        <f t="shared" si="16"/>
        <v/>
      </c>
      <c r="U34" s="193"/>
      <c r="V34" s="179"/>
      <c r="W34" s="192" t="str">
        <f t="shared" si="17"/>
        <v/>
      </c>
      <c r="X34" s="194"/>
      <c r="Y34" s="205" t="str">
        <f t="shared" si="1"/>
        <v/>
      </c>
      <c r="Z34" s="206" t="str">
        <f t="shared" si="2"/>
        <v/>
      </c>
      <c r="AA34" s="206" t="str">
        <f t="shared" si="3"/>
        <v/>
      </c>
      <c r="AB34" s="206" t="str">
        <f t="shared" si="4"/>
        <v/>
      </c>
      <c r="AC34" s="207" t="str">
        <f t="shared" si="5"/>
        <v/>
      </c>
      <c r="AD34" s="208" t="str">
        <f t="shared" si="6"/>
        <v/>
      </c>
      <c r="AE34" s="209" t="str">
        <f t="shared" si="18"/>
        <v/>
      </c>
      <c r="AF34" s="210" t="str">
        <f t="shared" si="7"/>
        <v/>
      </c>
      <c r="AG34" s="219" t="str">
        <f t="shared" si="8"/>
        <v/>
      </c>
      <c r="AH34" s="207" t="str">
        <f t="shared" si="9"/>
        <v/>
      </c>
    </row>
    <row r="35" spans="1:34" s="167" customFormat="1" ht="12.75" customHeight="1">
      <c r="A35" s="181">
        <v>28</v>
      </c>
      <c r="B35" s="177"/>
      <c r="C35" s="182"/>
      <c r="D35" s="179"/>
      <c r="E35" s="180" t="str">
        <f t="shared" si="10"/>
        <v/>
      </c>
      <c r="F35" s="179"/>
      <c r="G35" s="180" t="str">
        <f t="shared" si="11"/>
        <v/>
      </c>
      <c r="H35" s="179"/>
      <c r="I35" s="180" t="str">
        <f t="shared" si="12"/>
        <v/>
      </c>
      <c r="J35" s="179"/>
      <c r="K35" s="180" t="str">
        <f t="shared" si="13"/>
        <v/>
      </c>
      <c r="L35" s="179"/>
      <c r="M35" s="180" t="str">
        <f t="shared" si="14"/>
        <v/>
      </c>
      <c r="N35" s="179"/>
      <c r="O35" s="180" t="str">
        <f t="shared" si="15"/>
        <v/>
      </c>
      <c r="P35" s="179"/>
      <c r="Q35" s="192" t="str">
        <f t="shared" si="0"/>
        <v/>
      </c>
      <c r="R35" s="193"/>
      <c r="S35" s="179"/>
      <c r="T35" s="192" t="str">
        <f t="shared" si="16"/>
        <v/>
      </c>
      <c r="U35" s="193"/>
      <c r="V35" s="179"/>
      <c r="W35" s="192" t="str">
        <f t="shared" si="17"/>
        <v/>
      </c>
      <c r="X35" s="194"/>
      <c r="Y35" s="205" t="str">
        <f t="shared" si="1"/>
        <v/>
      </c>
      <c r="Z35" s="206" t="str">
        <f t="shared" si="2"/>
        <v/>
      </c>
      <c r="AA35" s="206" t="str">
        <f t="shared" si="3"/>
        <v/>
      </c>
      <c r="AB35" s="206" t="str">
        <f t="shared" si="4"/>
        <v/>
      </c>
      <c r="AC35" s="207" t="str">
        <f t="shared" si="5"/>
        <v/>
      </c>
      <c r="AD35" s="208" t="str">
        <f t="shared" si="6"/>
        <v/>
      </c>
      <c r="AE35" s="209" t="str">
        <f t="shared" si="18"/>
        <v/>
      </c>
      <c r="AF35" s="210" t="str">
        <f t="shared" si="7"/>
        <v/>
      </c>
      <c r="AG35" s="219" t="str">
        <f t="shared" si="8"/>
        <v/>
      </c>
      <c r="AH35" s="207" t="str">
        <f t="shared" si="9"/>
        <v/>
      </c>
    </row>
    <row r="36" spans="1:34" s="167" customFormat="1" ht="12.75" customHeight="1">
      <c r="A36" s="181">
        <v>29</v>
      </c>
      <c r="B36" s="177"/>
      <c r="C36" s="182"/>
      <c r="D36" s="179"/>
      <c r="E36" s="180" t="str">
        <f t="shared" si="10"/>
        <v/>
      </c>
      <c r="F36" s="179"/>
      <c r="G36" s="180" t="str">
        <f t="shared" si="11"/>
        <v/>
      </c>
      <c r="H36" s="179"/>
      <c r="I36" s="180" t="str">
        <f t="shared" si="12"/>
        <v/>
      </c>
      <c r="J36" s="179"/>
      <c r="K36" s="180" t="str">
        <f t="shared" si="13"/>
        <v/>
      </c>
      <c r="L36" s="179"/>
      <c r="M36" s="180" t="str">
        <f t="shared" si="14"/>
        <v/>
      </c>
      <c r="N36" s="179"/>
      <c r="O36" s="180" t="str">
        <f t="shared" si="15"/>
        <v/>
      </c>
      <c r="P36" s="179"/>
      <c r="Q36" s="192" t="str">
        <f t="shared" si="0"/>
        <v/>
      </c>
      <c r="R36" s="193"/>
      <c r="S36" s="179"/>
      <c r="T36" s="192" t="str">
        <f t="shared" si="16"/>
        <v/>
      </c>
      <c r="U36" s="193"/>
      <c r="V36" s="179"/>
      <c r="W36" s="192" t="str">
        <f t="shared" si="17"/>
        <v/>
      </c>
      <c r="X36" s="194"/>
      <c r="Y36" s="205" t="str">
        <f t="shared" si="1"/>
        <v/>
      </c>
      <c r="Z36" s="206" t="str">
        <f t="shared" si="2"/>
        <v/>
      </c>
      <c r="AA36" s="206" t="str">
        <f t="shared" si="3"/>
        <v/>
      </c>
      <c r="AB36" s="206" t="str">
        <f t="shared" si="4"/>
        <v/>
      </c>
      <c r="AC36" s="207" t="str">
        <f t="shared" si="5"/>
        <v/>
      </c>
      <c r="AD36" s="208" t="str">
        <f t="shared" si="6"/>
        <v/>
      </c>
      <c r="AE36" s="209" t="str">
        <f t="shared" si="18"/>
        <v/>
      </c>
      <c r="AF36" s="210" t="str">
        <f t="shared" si="7"/>
        <v/>
      </c>
      <c r="AG36" s="219" t="str">
        <f t="shared" si="8"/>
        <v/>
      </c>
      <c r="AH36" s="207" t="str">
        <f t="shared" si="9"/>
        <v/>
      </c>
    </row>
    <row r="37" spans="1:34" s="167" customFormat="1" ht="12.75" customHeight="1">
      <c r="A37" s="181">
        <v>30</v>
      </c>
      <c r="B37" s="177"/>
      <c r="C37" s="182"/>
      <c r="D37" s="179"/>
      <c r="E37" s="180" t="str">
        <f t="shared" si="10"/>
        <v/>
      </c>
      <c r="F37" s="179"/>
      <c r="G37" s="180" t="str">
        <f t="shared" si="11"/>
        <v/>
      </c>
      <c r="H37" s="179"/>
      <c r="I37" s="180" t="str">
        <f t="shared" si="12"/>
        <v/>
      </c>
      <c r="J37" s="179"/>
      <c r="K37" s="180" t="str">
        <f t="shared" si="13"/>
        <v/>
      </c>
      <c r="L37" s="179"/>
      <c r="M37" s="180" t="str">
        <f t="shared" si="14"/>
        <v/>
      </c>
      <c r="N37" s="179"/>
      <c r="O37" s="180" t="str">
        <f t="shared" si="15"/>
        <v/>
      </c>
      <c r="P37" s="179"/>
      <c r="Q37" s="192" t="str">
        <f t="shared" si="0"/>
        <v/>
      </c>
      <c r="R37" s="193"/>
      <c r="S37" s="179"/>
      <c r="T37" s="192" t="str">
        <f t="shared" si="16"/>
        <v/>
      </c>
      <c r="U37" s="193"/>
      <c r="V37" s="179"/>
      <c r="W37" s="192" t="str">
        <f t="shared" si="17"/>
        <v/>
      </c>
      <c r="X37" s="194"/>
      <c r="Y37" s="205" t="str">
        <f t="shared" si="1"/>
        <v/>
      </c>
      <c r="Z37" s="206" t="str">
        <f t="shared" si="2"/>
        <v/>
      </c>
      <c r="AA37" s="206" t="str">
        <f t="shared" si="3"/>
        <v/>
      </c>
      <c r="AB37" s="206" t="str">
        <f t="shared" si="4"/>
        <v/>
      </c>
      <c r="AC37" s="207" t="str">
        <f t="shared" si="5"/>
        <v/>
      </c>
      <c r="AD37" s="208" t="str">
        <f t="shared" si="6"/>
        <v/>
      </c>
      <c r="AE37" s="209" t="str">
        <f t="shared" si="18"/>
        <v/>
      </c>
      <c r="AF37" s="210" t="str">
        <f t="shared" si="7"/>
        <v/>
      </c>
      <c r="AG37" s="219" t="str">
        <f t="shared" si="8"/>
        <v/>
      </c>
      <c r="AH37" s="207" t="str">
        <f t="shared" si="9"/>
        <v/>
      </c>
    </row>
    <row r="38" spans="1:34" s="167" customFormat="1" ht="12.75" customHeight="1">
      <c r="A38" s="181">
        <v>31</v>
      </c>
      <c r="B38" s="177"/>
      <c r="C38" s="182"/>
      <c r="D38" s="179"/>
      <c r="E38" s="180" t="str">
        <f t="shared" si="10"/>
        <v/>
      </c>
      <c r="F38" s="179"/>
      <c r="G38" s="180" t="str">
        <f t="shared" si="11"/>
        <v/>
      </c>
      <c r="H38" s="179"/>
      <c r="I38" s="180" t="str">
        <f t="shared" si="12"/>
        <v/>
      </c>
      <c r="J38" s="179"/>
      <c r="K38" s="180" t="str">
        <f t="shared" si="13"/>
        <v/>
      </c>
      <c r="L38" s="179"/>
      <c r="M38" s="180" t="str">
        <f t="shared" si="14"/>
        <v/>
      </c>
      <c r="N38" s="179"/>
      <c r="O38" s="180" t="str">
        <f t="shared" si="15"/>
        <v/>
      </c>
      <c r="P38" s="179"/>
      <c r="Q38" s="192" t="str">
        <f t="shared" si="0"/>
        <v/>
      </c>
      <c r="R38" s="193"/>
      <c r="S38" s="179"/>
      <c r="T38" s="192" t="str">
        <f t="shared" si="16"/>
        <v/>
      </c>
      <c r="U38" s="193"/>
      <c r="V38" s="179"/>
      <c r="W38" s="192" t="str">
        <f t="shared" si="17"/>
        <v/>
      </c>
      <c r="X38" s="194"/>
      <c r="Y38" s="205" t="str">
        <f t="shared" si="1"/>
        <v/>
      </c>
      <c r="Z38" s="206" t="str">
        <f t="shared" si="2"/>
        <v/>
      </c>
      <c r="AA38" s="206" t="str">
        <f t="shared" si="3"/>
        <v/>
      </c>
      <c r="AB38" s="206" t="str">
        <f t="shared" si="4"/>
        <v/>
      </c>
      <c r="AC38" s="207" t="str">
        <f t="shared" si="5"/>
        <v/>
      </c>
      <c r="AD38" s="208" t="str">
        <f t="shared" si="6"/>
        <v/>
      </c>
      <c r="AE38" s="209" t="str">
        <f t="shared" si="18"/>
        <v/>
      </c>
      <c r="AF38" s="210" t="str">
        <f t="shared" si="7"/>
        <v/>
      </c>
      <c r="AG38" s="219" t="str">
        <f t="shared" si="8"/>
        <v/>
      </c>
      <c r="AH38" s="207" t="str">
        <f t="shared" si="9"/>
        <v/>
      </c>
    </row>
    <row r="39" spans="1:34" s="167" customFormat="1" ht="12.75" customHeight="1">
      <c r="A39" s="181">
        <v>32</v>
      </c>
      <c r="B39" s="177"/>
      <c r="C39" s="182"/>
      <c r="D39" s="179"/>
      <c r="E39" s="180" t="str">
        <f t="shared" si="10"/>
        <v/>
      </c>
      <c r="F39" s="179"/>
      <c r="G39" s="180" t="str">
        <f t="shared" si="11"/>
        <v/>
      </c>
      <c r="H39" s="179"/>
      <c r="I39" s="180" t="str">
        <f t="shared" si="12"/>
        <v/>
      </c>
      <c r="J39" s="179"/>
      <c r="K39" s="180" t="str">
        <f t="shared" si="13"/>
        <v/>
      </c>
      <c r="L39" s="179"/>
      <c r="M39" s="180" t="str">
        <f t="shared" si="14"/>
        <v/>
      </c>
      <c r="N39" s="179"/>
      <c r="O39" s="180" t="str">
        <f t="shared" si="15"/>
        <v/>
      </c>
      <c r="P39" s="179"/>
      <c r="Q39" s="192" t="str">
        <f t="shared" si="0"/>
        <v/>
      </c>
      <c r="R39" s="193"/>
      <c r="S39" s="179"/>
      <c r="T39" s="192" t="str">
        <f t="shared" si="16"/>
        <v/>
      </c>
      <c r="U39" s="193"/>
      <c r="V39" s="179"/>
      <c r="W39" s="192" t="str">
        <f t="shared" si="17"/>
        <v/>
      </c>
      <c r="X39" s="194"/>
      <c r="Y39" s="205" t="str">
        <f t="shared" si="1"/>
        <v/>
      </c>
      <c r="Z39" s="206" t="str">
        <f t="shared" si="2"/>
        <v/>
      </c>
      <c r="AA39" s="206" t="str">
        <f t="shared" si="3"/>
        <v/>
      </c>
      <c r="AB39" s="206" t="str">
        <f t="shared" si="4"/>
        <v/>
      </c>
      <c r="AC39" s="207" t="str">
        <f t="shared" si="5"/>
        <v/>
      </c>
      <c r="AD39" s="208" t="str">
        <f t="shared" si="6"/>
        <v/>
      </c>
      <c r="AE39" s="209" t="str">
        <f t="shared" si="18"/>
        <v/>
      </c>
      <c r="AF39" s="210" t="str">
        <f t="shared" si="7"/>
        <v/>
      </c>
      <c r="AG39" s="219" t="str">
        <f t="shared" si="8"/>
        <v/>
      </c>
      <c r="AH39" s="207" t="str">
        <f t="shared" si="9"/>
        <v/>
      </c>
    </row>
    <row r="40" spans="1:34" s="167" customFormat="1" ht="12.75" customHeight="1">
      <c r="A40" s="181">
        <v>33</v>
      </c>
      <c r="B40" s="177"/>
      <c r="C40" s="182"/>
      <c r="D40" s="179"/>
      <c r="E40" s="180" t="str">
        <f t="shared" si="10"/>
        <v/>
      </c>
      <c r="F40" s="179"/>
      <c r="G40" s="180" t="str">
        <f t="shared" si="11"/>
        <v/>
      </c>
      <c r="H40" s="179"/>
      <c r="I40" s="180" t="str">
        <f t="shared" si="12"/>
        <v/>
      </c>
      <c r="J40" s="179"/>
      <c r="K40" s="180" t="str">
        <f t="shared" si="13"/>
        <v/>
      </c>
      <c r="L40" s="179"/>
      <c r="M40" s="180" t="str">
        <f t="shared" si="14"/>
        <v/>
      </c>
      <c r="N40" s="179"/>
      <c r="O40" s="180" t="str">
        <f t="shared" si="15"/>
        <v/>
      </c>
      <c r="P40" s="179"/>
      <c r="Q40" s="192" t="str">
        <f t="shared" si="0"/>
        <v/>
      </c>
      <c r="R40" s="193"/>
      <c r="S40" s="179"/>
      <c r="T40" s="192" t="str">
        <f t="shared" si="16"/>
        <v/>
      </c>
      <c r="U40" s="193"/>
      <c r="V40" s="179"/>
      <c r="W40" s="192" t="str">
        <f t="shared" si="17"/>
        <v/>
      </c>
      <c r="X40" s="194"/>
      <c r="Y40" s="205" t="str">
        <f t="shared" si="1"/>
        <v/>
      </c>
      <c r="Z40" s="206" t="str">
        <f t="shared" si="2"/>
        <v/>
      </c>
      <c r="AA40" s="206" t="str">
        <f t="shared" si="3"/>
        <v/>
      </c>
      <c r="AB40" s="206" t="str">
        <f t="shared" si="4"/>
        <v/>
      </c>
      <c r="AC40" s="207" t="str">
        <f t="shared" si="5"/>
        <v/>
      </c>
      <c r="AD40" s="208" t="str">
        <f t="shared" si="6"/>
        <v/>
      </c>
      <c r="AE40" s="209" t="str">
        <f t="shared" si="18"/>
        <v/>
      </c>
      <c r="AF40" s="210" t="str">
        <f t="shared" si="7"/>
        <v/>
      </c>
      <c r="AG40" s="219" t="str">
        <f t="shared" si="8"/>
        <v/>
      </c>
      <c r="AH40" s="207" t="str">
        <f t="shared" si="9"/>
        <v/>
      </c>
    </row>
    <row r="41" spans="1:34" s="167" customFormat="1" ht="12.75" customHeight="1">
      <c r="A41" s="181">
        <v>34</v>
      </c>
      <c r="B41" s="177"/>
      <c r="C41" s="182"/>
      <c r="D41" s="179"/>
      <c r="E41" s="180" t="str">
        <f t="shared" si="10"/>
        <v/>
      </c>
      <c r="F41" s="179"/>
      <c r="G41" s="180" t="str">
        <f t="shared" si="11"/>
        <v/>
      </c>
      <c r="H41" s="179"/>
      <c r="I41" s="180" t="str">
        <f t="shared" si="12"/>
        <v/>
      </c>
      <c r="J41" s="179"/>
      <c r="K41" s="180" t="str">
        <f t="shared" si="13"/>
        <v/>
      </c>
      <c r="L41" s="179"/>
      <c r="M41" s="180" t="str">
        <f t="shared" si="14"/>
        <v/>
      </c>
      <c r="N41" s="179"/>
      <c r="O41" s="180" t="str">
        <f t="shared" si="15"/>
        <v/>
      </c>
      <c r="P41" s="179"/>
      <c r="Q41" s="192" t="str">
        <f t="shared" si="0"/>
        <v/>
      </c>
      <c r="R41" s="193"/>
      <c r="S41" s="179"/>
      <c r="T41" s="192" t="str">
        <f t="shared" si="16"/>
        <v/>
      </c>
      <c r="U41" s="193"/>
      <c r="V41" s="179"/>
      <c r="W41" s="192" t="str">
        <f t="shared" si="17"/>
        <v/>
      </c>
      <c r="X41" s="194"/>
      <c r="Y41" s="205" t="str">
        <f t="shared" si="1"/>
        <v/>
      </c>
      <c r="Z41" s="206" t="str">
        <f t="shared" si="2"/>
        <v/>
      </c>
      <c r="AA41" s="206" t="str">
        <f t="shared" si="3"/>
        <v/>
      </c>
      <c r="AB41" s="206" t="str">
        <f t="shared" si="4"/>
        <v/>
      </c>
      <c r="AC41" s="207" t="str">
        <f t="shared" si="5"/>
        <v/>
      </c>
      <c r="AD41" s="208" t="str">
        <f t="shared" si="6"/>
        <v/>
      </c>
      <c r="AE41" s="209" t="str">
        <f t="shared" si="18"/>
        <v/>
      </c>
      <c r="AF41" s="210" t="str">
        <f t="shared" si="7"/>
        <v/>
      </c>
      <c r="AG41" s="219" t="str">
        <f t="shared" si="8"/>
        <v/>
      </c>
      <c r="AH41" s="207" t="str">
        <f t="shared" si="9"/>
        <v/>
      </c>
    </row>
    <row r="42" spans="1:34" s="167" customFormat="1" ht="12.75" customHeight="1">
      <c r="A42" s="181">
        <v>35</v>
      </c>
      <c r="B42" s="177"/>
      <c r="C42" s="182"/>
      <c r="D42" s="179"/>
      <c r="E42" s="180" t="str">
        <f t="shared" si="10"/>
        <v/>
      </c>
      <c r="F42" s="179"/>
      <c r="G42" s="180" t="str">
        <f t="shared" si="11"/>
        <v/>
      </c>
      <c r="H42" s="179"/>
      <c r="I42" s="180" t="str">
        <f t="shared" si="12"/>
        <v/>
      </c>
      <c r="J42" s="179"/>
      <c r="K42" s="180" t="str">
        <f t="shared" si="13"/>
        <v/>
      </c>
      <c r="L42" s="179"/>
      <c r="M42" s="180" t="str">
        <f t="shared" si="14"/>
        <v/>
      </c>
      <c r="N42" s="179"/>
      <c r="O42" s="180" t="str">
        <f t="shared" si="15"/>
        <v/>
      </c>
      <c r="P42" s="179"/>
      <c r="Q42" s="192" t="str">
        <f t="shared" si="0"/>
        <v/>
      </c>
      <c r="R42" s="193"/>
      <c r="S42" s="179"/>
      <c r="T42" s="192" t="str">
        <f t="shared" si="16"/>
        <v/>
      </c>
      <c r="U42" s="193"/>
      <c r="V42" s="179"/>
      <c r="W42" s="192" t="str">
        <f t="shared" si="17"/>
        <v/>
      </c>
      <c r="X42" s="194"/>
      <c r="Y42" s="205" t="str">
        <f t="shared" si="1"/>
        <v/>
      </c>
      <c r="Z42" s="206" t="str">
        <f t="shared" si="2"/>
        <v/>
      </c>
      <c r="AA42" s="206" t="str">
        <f t="shared" si="3"/>
        <v/>
      </c>
      <c r="AB42" s="206" t="str">
        <f t="shared" si="4"/>
        <v/>
      </c>
      <c r="AC42" s="207" t="str">
        <f t="shared" si="5"/>
        <v/>
      </c>
      <c r="AD42" s="208" t="str">
        <f t="shared" si="6"/>
        <v/>
      </c>
      <c r="AE42" s="209" t="str">
        <f t="shared" si="18"/>
        <v/>
      </c>
      <c r="AF42" s="210" t="str">
        <f t="shared" si="7"/>
        <v/>
      </c>
      <c r="AG42" s="219" t="str">
        <f t="shared" si="8"/>
        <v/>
      </c>
      <c r="AH42" s="207" t="str">
        <f t="shared" si="9"/>
        <v/>
      </c>
    </row>
    <row r="43" spans="1:34" s="167" customFormat="1" ht="12.75" customHeight="1">
      <c r="A43" s="181">
        <v>36</v>
      </c>
      <c r="B43" s="177"/>
      <c r="C43" s="182"/>
      <c r="D43" s="179"/>
      <c r="E43" s="180" t="str">
        <f t="shared" si="10"/>
        <v/>
      </c>
      <c r="F43" s="179"/>
      <c r="G43" s="180" t="str">
        <f t="shared" si="11"/>
        <v/>
      </c>
      <c r="H43" s="179"/>
      <c r="I43" s="180" t="str">
        <f t="shared" si="12"/>
        <v/>
      </c>
      <c r="J43" s="179"/>
      <c r="K43" s="180" t="str">
        <f t="shared" si="13"/>
        <v/>
      </c>
      <c r="L43" s="179"/>
      <c r="M43" s="180" t="str">
        <f t="shared" si="14"/>
        <v/>
      </c>
      <c r="N43" s="179"/>
      <c r="O43" s="180" t="str">
        <f t="shared" si="15"/>
        <v/>
      </c>
      <c r="P43" s="179"/>
      <c r="Q43" s="192" t="str">
        <f t="shared" si="0"/>
        <v/>
      </c>
      <c r="R43" s="193"/>
      <c r="S43" s="179"/>
      <c r="T43" s="192" t="str">
        <f t="shared" si="16"/>
        <v/>
      </c>
      <c r="U43" s="193"/>
      <c r="V43" s="179"/>
      <c r="W43" s="192" t="str">
        <f t="shared" si="17"/>
        <v/>
      </c>
      <c r="X43" s="194"/>
      <c r="Y43" s="205" t="str">
        <f t="shared" si="1"/>
        <v/>
      </c>
      <c r="Z43" s="206" t="str">
        <f t="shared" si="2"/>
        <v/>
      </c>
      <c r="AA43" s="206" t="str">
        <f t="shared" si="3"/>
        <v/>
      </c>
      <c r="AB43" s="206" t="str">
        <f t="shared" si="4"/>
        <v/>
      </c>
      <c r="AC43" s="207" t="str">
        <f t="shared" si="5"/>
        <v/>
      </c>
      <c r="AD43" s="208" t="str">
        <f t="shared" si="6"/>
        <v/>
      </c>
      <c r="AE43" s="209" t="str">
        <f t="shared" si="18"/>
        <v/>
      </c>
      <c r="AF43" s="210" t="str">
        <f t="shared" si="7"/>
        <v/>
      </c>
      <c r="AG43" s="219" t="str">
        <f t="shared" si="8"/>
        <v/>
      </c>
      <c r="AH43" s="207" t="str">
        <f t="shared" si="9"/>
        <v/>
      </c>
    </row>
    <row r="44" spans="1:34" s="167" customFormat="1" ht="12.75" customHeight="1">
      <c r="A44" s="181">
        <v>37</v>
      </c>
      <c r="B44" s="177"/>
      <c r="C44" s="182"/>
      <c r="D44" s="179"/>
      <c r="E44" s="180" t="str">
        <f t="shared" si="10"/>
        <v/>
      </c>
      <c r="F44" s="179"/>
      <c r="G44" s="180" t="str">
        <f t="shared" si="11"/>
        <v/>
      </c>
      <c r="H44" s="179"/>
      <c r="I44" s="180" t="str">
        <f t="shared" si="12"/>
        <v/>
      </c>
      <c r="J44" s="179"/>
      <c r="K44" s="180" t="str">
        <f t="shared" si="13"/>
        <v/>
      </c>
      <c r="L44" s="179"/>
      <c r="M44" s="180" t="str">
        <f t="shared" si="14"/>
        <v/>
      </c>
      <c r="N44" s="179"/>
      <c r="O44" s="180" t="str">
        <f t="shared" si="15"/>
        <v/>
      </c>
      <c r="P44" s="179"/>
      <c r="Q44" s="192" t="str">
        <f t="shared" si="0"/>
        <v/>
      </c>
      <c r="R44" s="193"/>
      <c r="S44" s="179"/>
      <c r="T44" s="192" t="str">
        <f t="shared" si="16"/>
        <v/>
      </c>
      <c r="U44" s="193"/>
      <c r="V44" s="179"/>
      <c r="W44" s="192" t="str">
        <f t="shared" si="17"/>
        <v/>
      </c>
      <c r="X44" s="194"/>
      <c r="Y44" s="205" t="str">
        <f t="shared" si="1"/>
        <v/>
      </c>
      <c r="Z44" s="206" t="str">
        <f t="shared" si="2"/>
        <v/>
      </c>
      <c r="AA44" s="206" t="str">
        <f t="shared" si="3"/>
        <v/>
      </c>
      <c r="AB44" s="206" t="str">
        <f t="shared" si="4"/>
        <v/>
      </c>
      <c r="AC44" s="207" t="str">
        <f t="shared" si="5"/>
        <v/>
      </c>
      <c r="AD44" s="208" t="str">
        <f t="shared" si="6"/>
        <v/>
      </c>
      <c r="AE44" s="209" t="str">
        <f t="shared" si="18"/>
        <v/>
      </c>
      <c r="AF44" s="210" t="str">
        <f t="shared" si="7"/>
        <v/>
      </c>
      <c r="AG44" s="219" t="str">
        <f t="shared" si="8"/>
        <v/>
      </c>
      <c r="AH44" s="207" t="str">
        <f t="shared" si="9"/>
        <v/>
      </c>
    </row>
    <row r="45" spans="1:34" s="167" customFormat="1" ht="12.75" customHeight="1">
      <c r="A45" s="181">
        <v>38</v>
      </c>
      <c r="B45" s="177"/>
      <c r="C45" s="182"/>
      <c r="D45" s="179"/>
      <c r="E45" s="180" t="str">
        <f t="shared" si="10"/>
        <v/>
      </c>
      <c r="F45" s="179"/>
      <c r="G45" s="180" t="str">
        <f t="shared" si="11"/>
        <v/>
      </c>
      <c r="H45" s="179"/>
      <c r="I45" s="180" t="str">
        <f t="shared" si="12"/>
        <v/>
      </c>
      <c r="J45" s="179"/>
      <c r="K45" s="180" t="str">
        <f t="shared" si="13"/>
        <v/>
      </c>
      <c r="L45" s="179"/>
      <c r="M45" s="180" t="str">
        <f t="shared" si="14"/>
        <v/>
      </c>
      <c r="N45" s="179"/>
      <c r="O45" s="180" t="str">
        <f t="shared" si="15"/>
        <v/>
      </c>
      <c r="P45" s="179"/>
      <c r="Q45" s="192" t="str">
        <f t="shared" si="0"/>
        <v/>
      </c>
      <c r="R45" s="193"/>
      <c r="S45" s="179"/>
      <c r="T45" s="192" t="str">
        <f t="shared" si="16"/>
        <v/>
      </c>
      <c r="U45" s="193"/>
      <c r="V45" s="179"/>
      <c r="W45" s="192" t="str">
        <f t="shared" si="17"/>
        <v/>
      </c>
      <c r="X45" s="194"/>
      <c r="Y45" s="205" t="str">
        <f t="shared" si="1"/>
        <v/>
      </c>
      <c r="Z45" s="206" t="str">
        <f t="shared" si="2"/>
        <v/>
      </c>
      <c r="AA45" s="206" t="str">
        <f t="shared" si="3"/>
        <v/>
      </c>
      <c r="AB45" s="206" t="str">
        <f t="shared" si="4"/>
        <v/>
      </c>
      <c r="AC45" s="207" t="str">
        <f t="shared" si="5"/>
        <v/>
      </c>
      <c r="AD45" s="208" t="str">
        <f t="shared" si="6"/>
        <v/>
      </c>
      <c r="AE45" s="209" t="str">
        <f t="shared" si="18"/>
        <v/>
      </c>
      <c r="AF45" s="210" t="str">
        <f t="shared" si="7"/>
        <v/>
      </c>
      <c r="AG45" s="219" t="str">
        <f t="shared" si="8"/>
        <v/>
      </c>
      <c r="AH45" s="207" t="str">
        <f t="shared" si="9"/>
        <v/>
      </c>
    </row>
    <row r="46" spans="1:34" s="167" customFormat="1" ht="12.75" customHeight="1">
      <c r="A46" s="181">
        <v>39</v>
      </c>
      <c r="B46" s="177"/>
      <c r="C46" s="182"/>
      <c r="D46" s="179"/>
      <c r="E46" s="180" t="str">
        <f t="shared" si="10"/>
        <v/>
      </c>
      <c r="F46" s="179"/>
      <c r="G46" s="180" t="str">
        <f t="shared" si="11"/>
        <v/>
      </c>
      <c r="H46" s="179"/>
      <c r="I46" s="180" t="str">
        <f t="shared" si="12"/>
        <v/>
      </c>
      <c r="J46" s="179"/>
      <c r="K46" s="180" t="str">
        <f t="shared" si="13"/>
        <v/>
      </c>
      <c r="L46" s="179"/>
      <c r="M46" s="180" t="str">
        <f t="shared" si="14"/>
        <v/>
      </c>
      <c r="N46" s="179"/>
      <c r="O46" s="180" t="str">
        <f t="shared" si="15"/>
        <v/>
      </c>
      <c r="P46" s="179"/>
      <c r="Q46" s="192" t="str">
        <f t="shared" si="0"/>
        <v/>
      </c>
      <c r="R46" s="193"/>
      <c r="S46" s="179"/>
      <c r="T46" s="192" t="str">
        <f t="shared" si="16"/>
        <v/>
      </c>
      <c r="U46" s="193"/>
      <c r="V46" s="179"/>
      <c r="W46" s="192" t="str">
        <f t="shared" si="17"/>
        <v/>
      </c>
      <c r="X46" s="194"/>
      <c r="Y46" s="205" t="str">
        <f t="shared" si="1"/>
        <v/>
      </c>
      <c r="Z46" s="206" t="str">
        <f t="shared" si="2"/>
        <v/>
      </c>
      <c r="AA46" s="206" t="str">
        <f t="shared" si="3"/>
        <v/>
      </c>
      <c r="AB46" s="206" t="str">
        <f t="shared" si="4"/>
        <v/>
      </c>
      <c r="AC46" s="207" t="str">
        <f t="shared" si="5"/>
        <v/>
      </c>
      <c r="AD46" s="208" t="str">
        <f t="shared" si="6"/>
        <v/>
      </c>
      <c r="AE46" s="209" t="str">
        <f t="shared" si="18"/>
        <v/>
      </c>
      <c r="AF46" s="210" t="str">
        <f t="shared" si="7"/>
        <v/>
      </c>
      <c r="AG46" s="219" t="str">
        <f t="shared" si="8"/>
        <v/>
      </c>
      <c r="AH46" s="207" t="str">
        <f t="shared" si="9"/>
        <v/>
      </c>
    </row>
    <row r="47" spans="1:34" s="167" customFormat="1" ht="12.75" customHeight="1">
      <c r="A47" s="181">
        <v>40</v>
      </c>
      <c r="B47" s="177"/>
      <c r="C47" s="182"/>
      <c r="D47" s="179"/>
      <c r="E47" s="180" t="str">
        <f t="shared" si="10"/>
        <v/>
      </c>
      <c r="F47" s="179"/>
      <c r="G47" s="180" t="str">
        <f t="shared" si="11"/>
        <v/>
      </c>
      <c r="H47" s="179"/>
      <c r="I47" s="180" t="str">
        <f t="shared" si="12"/>
        <v/>
      </c>
      <c r="J47" s="179"/>
      <c r="K47" s="180" t="str">
        <f t="shared" si="13"/>
        <v/>
      </c>
      <c r="L47" s="179"/>
      <c r="M47" s="180" t="str">
        <f t="shared" si="14"/>
        <v/>
      </c>
      <c r="N47" s="179"/>
      <c r="O47" s="180" t="str">
        <f t="shared" si="15"/>
        <v/>
      </c>
      <c r="P47" s="179"/>
      <c r="Q47" s="192" t="str">
        <f t="shared" si="0"/>
        <v/>
      </c>
      <c r="R47" s="193"/>
      <c r="S47" s="179"/>
      <c r="T47" s="192" t="str">
        <f t="shared" si="16"/>
        <v/>
      </c>
      <c r="U47" s="193"/>
      <c r="V47" s="179"/>
      <c r="W47" s="192" t="str">
        <f t="shared" si="17"/>
        <v/>
      </c>
      <c r="X47" s="194"/>
      <c r="Y47" s="205" t="str">
        <f t="shared" si="1"/>
        <v/>
      </c>
      <c r="Z47" s="206" t="str">
        <f t="shared" si="2"/>
        <v/>
      </c>
      <c r="AA47" s="206" t="str">
        <f t="shared" si="3"/>
        <v/>
      </c>
      <c r="AB47" s="206" t="str">
        <f t="shared" si="4"/>
        <v/>
      </c>
      <c r="AC47" s="207" t="str">
        <f t="shared" si="5"/>
        <v/>
      </c>
      <c r="AD47" s="208" t="str">
        <f t="shared" si="6"/>
        <v/>
      </c>
      <c r="AE47" s="209" t="str">
        <f t="shared" si="18"/>
        <v/>
      </c>
      <c r="AF47" s="210" t="str">
        <f t="shared" si="7"/>
        <v/>
      </c>
      <c r="AG47" s="219" t="str">
        <f t="shared" si="8"/>
        <v/>
      </c>
      <c r="AH47" s="207" t="str">
        <f t="shared" si="9"/>
        <v/>
      </c>
    </row>
    <row r="48" spans="1:34" s="167" customFormat="1" ht="12.75" customHeight="1">
      <c r="A48" s="181">
        <v>41</v>
      </c>
      <c r="B48" s="177"/>
      <c r="C48" s="182"/>
      <c r="D48" s="179"/>
      <c r="E48" s="180" t="str">
        <f t="shared" si="10"/>
        <v/>
      </c>
      <c r="F48" s="179"/>
      <c r="G48" s="180" t="str">
        <f t="shared" si="11"/>
        <v/>
      </c>
      <c r="H48" s="179"/>
      <c r="I48" s="180" t="str">
        <f t="shared" si="12"/>
        <v/>
      </c>
      <c r="J48" s="179"/>
      <c r="K48" s="180" t="str">
        <f t="shared" si="13"/>
        <v/>
      </c>
      <c r="L48" s="179"/>
      <c r="M48" s="180" t="str">
        <f t="shared" si="14"/>
        <v/>
      </c>
      <c r="N48" s="179"/>
      <c r="O48" s="180" t="str">
        <f t="shared" si="15"/>
        <v/>
      </c>
      <c r="P48" s="179"/>
      <c r="Q48" s="192" t="str">
        <f t="shared" si="0"/>
        <v/>
      </c>
      <c r="R48" s="193"/>
      <c r="S48" s="179"/>
      <c r="T48" s="192" t="str">
        <f t="shared" si="16"/>
        <v/>
      </c>
      <c r="U48" s="193"/>
      <c r="V48" s="179"/>
      <c r="W48" s="192" t="str">
        <f t="shared" si="17"/>
        <v/>
      </c>
      <c r="X48" s="194"/>
      <c r="Y48" s="205" t="str">
        <f t="shared" si="1"/>
        <v/>
      </c>
      <c r="Z48" s="206" t="str">
        <f t="shared" si="2"/>
        <v/>
      </c>
      <c r="AA48" s="206" t="str">
        <f t="shared" si="3"/>
        <v/>
      </c>
      <c r="AB48" s="206" t="str">
        <f t="shared" si="4"/>
        <v/>
      </c>
      <c r="AC48" s="207" t="str">
        <f t="shared" si="5"/>
        <v/>
      </c>
      <c r="AD48" s="208" t="str">
        <f t="shared" si="6"/>
        <v/>
      </c>
      <c r="AE48" s="209" t="str">
        <f t="shared" si="18"/>
        <v/>
      </c>
      <c r="AF48" s="210" t="str">
        <f t="shared" si="7"/>
        <v/>
      </c>
      <c r="AG48" s="219" t="str">
        <f t="shared" si="8"/>
        <v/>
      </c>
      <c r="AH48" s="207" t="str">
        <f t="shared" si="9"/>
        <v/>
      </c>
    </row>
    <row r="49" spans="1:36" s="167" customFormat="1" ht="12.75" customHeight="1">
      <c r="A49" s="181">
        <v>42</v>
      </c>
      <c r="B49" s="177"/>
      <c r="C49" s="182"/>
      <c r="D49" s="179"/>
      <c r="E49" s="180" t="str">
        <f t="shared" si="10"/>
        <v/>
      </c>
      <c r="F49" s="179"/>
      <c r="G49" s="180" t="str">
        <f t="shared" si="11"/>
        <v/>
      </c>
      <c r="H49" s="179"/>
      <c r="I49" s="180" t="str">
        <f t="shared" si="12"/>
        <v/>
      </c>
      <c r="J49" s="179"/>
      <c r="K49" s="180" t="str">
        <f t="shared" si="13"/>
        <v/>
      </c>
      <c r="L49" s="179"/>
      <c r="M49" s="180" t="str">
        <f t="shared" si="14"/>
        <v/>
      </c>
      <c r="N49" s="179"/>
      <c r="O49" s="180" t="str">
        <f t="shared" si="15"/>
        <v/>
      </c>
      <c r="P49" s="179"/>
      <c r="Q49" s="192" t="str">
        <f t="shared" si="0"/>
        <v/>
      </c>
      <c r="R49" s="193"/>
      <c r="S49" s="179"/>
      <c r="T49" s="192" t="str">
        <f t="shared" si="16"/>
        <v/>
      </c>
      <c r="U49" s="193"/>
      <c r="V49" s="179"/>
      <c r="W49" s="192" t="str">
        <f t="shared" si="17"/>
        <v/>
      </c>
      <c r="X49" s="194"/>
      <c r="Y49" s="205" t="str">
        <f t="shared" si="1"/>
        <v/>
      </c>
      <c r="Z49" s="206" t="str">
        <f t="shared" si="2"/>
        <v/>
      </c>
      <c r="AA49" s="206" t="str">
        <f t="shared" si="3"/>
        <v/>
      </c>
      <c r="AB49" s="206" t="str">
        <f t="shared" si="4"/>
        <v/>
      </c>
      <c r="AC49" s="207" t="str">
        <f t="shared" si="5"/>
        <v/>
      </c>
      <c r="AD49" s="208" t="str">
        <f t="shared" si="6"/>
        <v/>
      </c>
      <c r="AE49" s="209" t="str">
        <f t="shared" si="18"/>
        <v/>
      </c>
      <c r="AF49" s="210" t="str">
        <f t="shared" si="7"/>
        <v/>
      </c>
      <c r="AG49" s="219" t="str">
        <f t="shared" si="8"/>
        <v/>
      </c>
      <c r="AH49" s="207" t="str">
        <f t="shared" si="9"/>
        <v/>
      </c>
    </row>
    <row r="50" spans="1:36" s="167" customFormat="1" ht="12.75" customHeight="1">
      <c r="A50" s="181">
        <v>43</v>
      </c>
      <c r="B50" s="177"/>
      <c r="C50" s="182"/>
      <c r="D50" s="179"/>
      <c r="E50" s="180" t="str">
        <f t="shared" si="10"/>
        <v/>
      </c>
      <c r="F50" s="179"/>
      <c r="G50" s="180" t="str">
        <f t="shared" si="11"/>
        <v/>
      </c>
      <c r="H50" s="179"/>
      <c r="I50" s="180" t="str">
        <f t="shared" si="12"/>
        <v/>
      </c>
      <c r="J50" s="179"/>
      <c r="K50" s="180" t="str">
        <f t="shared" si="13"/>
        <v/>
      </c>
      <c r="L50" s="179"/>
      <c r="M50" s="180" t="str">
        <f t="shared" si="14"/>
        <v/>
      </c>
      <c r="N50" s="179"/>
      <c r="O50" s="180" t="str">
        <f t="shared" si="15"/>
        <v/>
      </c>
      <c r="P50" s="179"/>
      <c r="Q50" s="192" t="str">
        <f t="shared" si="0"/>
        <v/>
      </c>
      <c r="R50" s="193"/>
      <c r="S50" s="179"/>
      <c r="T50" s="192" t="str">
        <f t="shared" si="16"/>
        <v/>
      </c>
      <c r="U50" s="193"/>
      <c r="V50" s="179"/>
      <c r="W50" s="192" t="str">
        <f t="shared" si="17"/>
        <v/>
      </c>
      <c r="X50" s="194"/>
      <c r="Y50" s="205" t="str">
        <f t="shared" si="1"/>
        <v/>
      </c>
      <c r="Z50" s="206" t="str">
        <f t="shared" si="2"/>
        <v/>
      </c>
      <c r="AA50" s="206" t="str">
        <f t="shared" si="3"/>
        <v/>
      </c>
      <c r="AB50" s="206" t="str">
        <f t="shared" si="4"/>
        <v/>
      </c>
      <c r="AC50" s="207" t="str">
        <f t="shared" si="5"/>
        <v/>
      </c>
      <c r="AD50" s="208" t="str">
        <f t="shared" si="6"/>
        <v/>
      </c>
      <c r="AE50" s="209" t="str">
        <f t="shared" si="18"/>
        <v/>
      </c>
      <c r="AF50" s="210" t="str">
        <f t="shared" si="7"/>
        <v/>
      </c>
      <c r="AG50" s="219" t="str">
        <f t="shared" si="8"/>
        <v/>
      </c>
      <c r="AH50" s="207" t="str">
        <f t="shared" si="9"/>
        <v/>
      </c>
    </row>
    <row r="51" spans="1:36" s="167" customFormat="1" ht="12.75" customHeight="1">
      <c r="A51" s="181">
        <v>44</v>
      </c>
      <c r="B51" s="177"/>
      <c r="C51" s="182"/>
      <c r="D51" s="179"/>
      <c r="E51" s="180" t="str">
        <f t="shared" si="10"/>
        <v/>
      </c>
      <c r="F51" s="179"/>
      <c r="G51" s="180" t="str">
        <f t="shared" si="11"/>
        <v/>
      </c>
      <c r="H51" s="179"/>
      <c r="I51" s="180" t="str">
        <f t="shared" si="12"/>
        <v/>
      </c>
      <c r="J51" s="179"/>
      <c r="K51" s="180" t="str">
        <f t="shared" si="13"/>
        <v/>
      </c>
      <c r="L51" s="179"/>
      <c r="M51" s="180" t="str">
        <f t="shared" si="14"/>
        <v/>
      </c>
      <c r="N51" s="179"/>
      <c r="O51" s="180" t="str">
        <f t="shared" si="15"/>
        <v/>
      </c>
      <c r="P51" s="179"/>
      <c r="Q51" s="192" t="str">
        <f t="shared" si="0"/>
        <v/>
      </c>
      <c r="R51" s="193"/>
      <c r="S51" s="179"/>
      <c r="T51" s="192" t="str">
        <f t="shared" si="16"/>
        <v/>
      </c>
      <c r="U51" s="193"/>
      <c r="V51" s="179"/>
      <c r="W51" s="192" t="str">
        <f t="shared" si="17"/>
        <v/>
      </c>
      <c r="X51" s="194"/>
      <c r="Y51" s="205" t="str">
        <f t="shared" si="1"/>
        <v/>
      </c>
      <c r="Z51" s="206" t="str">
        <f t="shared" si="2"/>
        <v/>
      </c>
      <c r="AA51" s="206" t="str">
        <f t="shared" si="3"/>
        <v/>
      </c>
      <c r="AB51" s="206" t="str">
        <f t="shared" si="4"/>
        <v/>
      </c>
      <c r="AC51" s="207" t="str">
        <f t="shared" si="5"/>
        <v/>
      </c>
      <c r="AD51" s="208" t="str">
        <f t="shared" si="6"/>
        <v/>
      </c>
      <c r="AE51" s="209" t="str">
        <f t="shared" si="18"/>
        <v/>
      </c>
      <c r="AF51" s="210" t="str">
        <f t="shared" si="7"/>
        <v/>
      </c>
      <c r="AG51" s="219" t="str">
        <f t="shared" si="8"/>
        <v/>
      </c>
      <c r="AH51" s="207" t="str">
        <f t="shared" si="9"/>
        <v/>
      </c>
    </row>
    <row r="52" spans="1:36" s="167" customFormat="1" ht="12.75" customHeight="1">
      <c r="A52" s="181">
        <v>45</v>
      </c>
      <c r="B52" s="177"/>
      <c r="C52" s="182"/>
      <c r="D52" s="179"/>
      <c r="E52" s="180" t="str">
        <f t="shared" si="10"/>
        <v/>
      </c>
      <c r="F52" s="179"/>
      <c r="G52" s="180" t="str">
        <f t="shared" si="11"/>
        <v/>
      </c>
      <c r="H52" s="179"/>
      <c r="I52" s="180" t="str">
        <f t="shared" si="12"/>
        <v/>
      </c>
      <c r="J52" s="179"/>
      <c r="K52" s="180" t="str">
        <f t="shared" si="13"/>
        <v/>
      </c>
      <c r="L52" s="179"/>
      <c r="M52" s="180" t="str">
        <f t="shared" si="14"/>
        <v/>
      </c>
      <c r="N52" s="179"/>
      <c r="O52" s="180" t="str">
        <f t="shared" si="15"/>
        <v/>
      </c>
      <c r="P52" s="179"/>
      <c r="Q52" s="192" t="str">
        <f t="shared" si="0"/>
        <v/>
      </c>
      <c r="R52" s="193"/>
      <c r="S52" s="179"/>
      <c r="T52" s="192" t="str">
        <f t="shared" si="16"/>
        <v/>
      </c>
      <c r="U52" s="193"/>
      <c r="V52" s="179"/>
      <c r="W52" s="192" t="str">
        <f t="shared" si="17"/>
        <v/>
      </c>
      <c r="X52" s="194"/>
      <c r="Y52" s="205" t="str">
        <f t="shared" si="1"/>
        <v/>
      </c>
      <c r="Z52" s="206" t="str">
        <f t="shared" si="2"/>
        <v/>
      </c>
      <c r="AA52" s="206" t="str">
        <f t="shared" si="3"/>
        <v/>
      </c>
      <c r="AB52" s="206" t="str">
        <f t="shared" si="4"/>
        <v/>
      </c>
      <c r="AC52" s="207" t="str">
        <f t="shared" si="5"/>
        <v/>
      </c>
      <c r="AD52" s="208" t="str">
        <f t="shared" si="6"/>
        <v/>
      </c>
      <c r="AE52" s="209" t="str">
        <f t="shared" si="18"/>
        <v/>
      </c>
      <c r="AF52" s="210" t="str">
        <f t="shared" si="7"/>
        <v/>
      </c>
      <c r="AG52" s="219" t="str">
        <f t="shared" si="8"/>
        <v/>
      </c>
      <c r="AH52" s="207" t="str">
        <f t="shared" si="9"/>
        <v/>
      </c>
    </row>
    <row r="53" spans="1:36" s="167" customFormat="1" ht="12.75" customHeight="1">
      <c r="A53" s="181">
        <v>46</v>
      </c>
      <c r="B53" s="177"/>
      <c r="C53" s="182"/>
      <c r="D53" s="179"/>
      <c r="E53" s="180" t="str">
        <f t="shared" si="10"/>
        <v/>
      </c>
      <c r="F53" s="179"/>
      <c r="G53" s="180" t="str">
        <f t="shared" si="11"/>
        <v/>
      </c>
      <c r="H53" s="179"/>
      <c r="I53" s="180" t="str">
        <f t="shared" si="12"/>
        <v/>
      </c>
      <c r="J53" s="179"/>
      <c r="K53" s="180" t="str">
        <f t="shared" si="13"/>
        <v/>
      </c>
      <c r="L53" s="179"/>
      <c r="M53" s="180" t="str">
        <f t="shared" si="14"/>
        <v/>
      </c>
      <c r="N53" s="179"/>
      <c r="O53" s="180" t="str">
        <f t="shared" si="15"/>
        <v/>
      </c>
      <c r="P53" s="179"/>
      <c r="Q53" s="192" t="str">
        <f t="shared" si="0"/>
        <v/>
      </c>
      <c r="R53" s="193"/>
      <c r="S53" s="179"/>
      <c r="T53" s="192" t="str">
        <f t="shared" si="16"/>
        <v/>
      </c>
      <c r="U53" s="193"/>
      <c r="V53" s="179"/>
      <c r="W53" s="192" t="str">
        <f t="shared" si="17"/>
        <v/>
      </c>
      <c r="X53" s="194"/>
      <c r="Y53" s="205" t="str">
        <f t="shared" si="1"/>
        <v/>
      </c>
      <c r="Z53" s="206" t="str">
        <f t="shared" si="2"/>
        <v/>
      </c>
      <c r="AA53" s="206" t="str">
        <f t="shared" si="3"/>
        <v/>
      </c>
      <c r="AB53" s="206" t="str">
        <f t="shared" si="4"/>
        <v/>
      </c>
      <c r="AC53" s="207" t="str">
        <f t="shared" si="5"/>
        <v/>
      </c>
      <c r="AD53" s="208" t="str">
        <f t="shared" si="6"/>
        <v/>
      </c>
      <c r="AE53" s="209" t="str">
        <f t="shared" si="18"/>
        <v/>
      </c>
      <c r="AF53" s="210" t="str">
        <f t="shared" si="7"/>
        <v/>
      </c>
      <c r="AG53" s="219" t="str">
        <f t="shared" si="8"/>
        <v/>
      </c>
      <c r="AH53" s="207" t="str">
        <f t="shared" si="9"/>
        <v/>
      </c>
    </row>
    <row r="54" spans="1:36" s="167" customFormat="1" ht="12.75" customHeight="1">
      <c r="A54" s="181">
        <v>47</v>
      </c>
      <c r="B54" s="177"/>
      <c r="C54" s="182"/>
      <c r="D54" s="179"/>
      <c r="E54" s="180" t="str">
        <f t="shared" si="10"/>
        <v/>
      </c>
      <c r="F54" s="179"/>
      <c r="G54" s="180" t="str">
        <f t="shared" si="11"/>
        <v/>
      </c>
      <c r="H54" s="179"/>
      <c r="I54" s="180" t="str">
        <f t="shared" si="12"/>
        <v/>
      </c>
      <c r="J54" s="179"/>
      <c r="K54" s="180" t="str">
        <f t="shared" si="13"/>
        <v/>
      </c>
      <c r="L54" s="179"/>
      <c r="M54" s="180" t="str">
        <f t="shared" si="14"/>
        <v/>
      </c>
      <c r="N54" s="179"/>
      <c r="O54" s="180" t="str">
        <f t="shared" si="15"/>
        <v/>
      </c>
      <c r="P54" s="179"/>
      <c r="Q54" s="192" t="str">
        <f t="shared" si="0"/>
        <v/>
      </c>
      <c r="R54" s="193"/>
      <c r="S54" s="179"/>
      <c r="T54" s="192" t="str">
        <f t="shared" si="16"/>
        <v/>
      </c>
      <c r="U54" s="193"/>
      <c r="V54" s="179"/>
      <c r="W54" s="192" t="str">
        <f t="shared" si="17"/>
        <v/>
      </c>
      <c r="X54" s="194"/>
      <c r="Y54" s="205" t="str">
        <f t="shared" si="1"/>
        <v/>
      </c>
      <c r="Z54" s="206" t="str">
        <f t="shared" si="2"/>
        <v/>
      </c>
      <c r="AA54" s="206" t="str">
        <f t="shared" si="3"/>
        <v/>
      </c>
      <c r="AB54" s="206" t="str">
        <f t="shared" si="4"/>
        <v/>
      </c>
      <c r="AC54" s="207" t="str">
        <f t="shared" si="5"/>
        <v/>
      </c>
      <c r="AD54" s="208" t="str">
        <f t="shared" si="6"/>
        <v/>
      </c>
      <c r="AE54" s="209" t="str">
        <f t="shared" si="18"/>
        <v/>
      </c>
      <c r="AF54" s="210" t="str">
        <f t="shared" si="7"/>
        <v/>
      </c>
      <c r="AG54" s="219" t="str">
        <f t="shared" si="8"/>
        <v/>
      </c>
      <c r="AH54" s="207" t="str">
        <f t="shared" si="9"/>
        <v/>
      </c>
    </row>
    <row r="55" spans="1:36" s="167" customFormat="1" ht="12.75" customHeight="1">
      <c r="A55" s="181">
        <v>48</v>
      </c>
      <c r="B55" s="177"/>
      <c r="C55" s="182"/>
      <c r="D55" s="179"/>
      <c r="E55" s="180" t="str">
        <f t="shared" si="10"/>
        <v/>
      </c>
      <c r="F55" s="179"/>
      <c r="G55" s="180" t="str">
        <f t="shared" si="11"/>
        <v/>
      </c>
      <c r="H55" s="179"/>
      <c r="I55" s="180" t="str">
        <f t="shared" si="12"/>
        <v/>
      </c>
      <c r="J55" s="179"/>
      <c r="K55" s="180" t="str">
        <f t="shared" si="13"/>
        <v/>
      </c>
      <c r="L55" s="179"/>
      <c r="M55" s="180" t="str">
        <f t="shared" si="14"/>
        <v/>
      </c>
      <c r="N55" s="179"/>
      <c r="O55" s="180" t="str">
        <f t="shared" si="15"/>
        <v/>
      </c>
      <c r="P55" s="179"/>
      <c r="Q55" s="192" t="str">
        <f t="shared" si="0"/>
        <v/>
      </c>
      <c r="R55" s="193"/>
      <c r="S55" s="179"/>
      <c r="T55" s="192" t="str">
        <f t="shared" si="16"/>
        <v/>
      </c>
      <c r="U55" s="193"/>
      <c r="V55" s="179"/>
      <c r="W55" s="192" t="str">
        <f t="shared" si="17"/>
        <v/>
      </c>
      <c r="X55" s="194"/>
      <c r="Y55" s="205" t="str">
        <f t="shared" si="1"/>
        <v/>
      </c>
      <c r="Z55" s="206" t="str">
        <f t="shared" si="2"/>
        <v/>
      </c>
      <c r="AA55" s="206" t="str">
        <f t="shared" si="3"/>
        <v/>
      </c>
      <c r="AB55" s="206" t="str">
        <f t="shared" si="4"/>
        <v/>
      </c>
      <c r="AC55" s="207" t="str">
        <f t="shared" si="5"/>
        <v/>
      </c>
      <c r="AD55" s="208" t="str">
        <f t="shared" si="6"/>
        <v/>
      </c>
      <c r="AE55" s="209" t="str">
        <f t="shared" si="18"/>
        <v/>
      </c>
      <c r="AF55" s="210" t="str">
        <f t="shared" si="7"/>
        <v/>
      </c>
      <c r="AG55" s="219" t="str">
        <f t="shared" si="8"/>
        <v/>
      </c>
      <c r="AH55" s="207" t="str">
        <f t="shared" si="9"/>
        <v/>
      </c>
    </row>
    <row r="56" spans="1:36" s="167" customFormat="1" ht="12.75" customHeight="1">
      <c r="A56" s="181">
        <v>49</v>
      </c>
      <c r="B56" s="177"/>
      <c r="C56" s="182"/>
      <c r="D56" s="179"/>
      <c r="E56" s="180" t="str">
        <f t="shared" si="10"/>
        <v/>
      </c>
      <c r="F56" s="179"/>
      <c r="G56" s="180" t="str">
        <f t="shared" si="11"/>
        <v/>
      </c>
      <c r="H56" s="179"/>
      <c r="I56" s="180" t="str">
        <f t="shared" si="12"/>
        <v/>
      </c>
      <c r="J56" s="179"/>
      <c r="K56" s="180" t="str">
        <f t="shared" si="13"/>
        <v/>
      </c>
      <c r="L56" s="179"/>
      <c r="M56" s="180" t="str">
        <f t="shared" si="14"/>
        <v/>
      </c>
      <c r="N56" s="179"/>
      <c r="O56" s="180" t="str">
        <f t="shared" si="15"/>
        <v/>
      </c>
      <c r="P56" s="179"/>
      <c r="Q56" s="192" t="str">
        <f t="shared" si="0"/>
        <v/>
      </c>
      <c r="R56" s="193"/>
      <c r="S56" s="179"/>
      <c r="T56" s="192" t="str">
        <f t="shared" si="16"/>
        <v/>
      </c>
      <c r="U56" s="193"/>
      <c r="V56" s="179"/>
      <c r="W56" s="192" t="str">
        <f t="shared" si="17"/>
        <v/>
      </c>
      <c r="X56" s="194"/>
      <c r="Y56" s="205" t="str">
        <f t="shared" si="1"/>
        <v/>
      </c>
      <c r="Z56" s="206" t="str">
        <f t="shared" si="2"/>
        <v/>
      </c>
      <c r="AA56" s="206" t="str">
        <f t="shared" si="3"/>
        <v/>
      </c>
      <c r="AB56" s="206" t="str">
        <f t="shared" si="4"/>
        <v/>
      </c>
      <c r="AC56" s="207" t="str">
        <f t="shared" si="5"/>
        <v/>
      </c>
      <c r="AD56" s="208" t="str">
        <f t="shared" si="6"/>
        <v/>
      </c>
      <c r="AE56" s="209" t="str">
        <f t="shared" si="18"/>
        <v/>
      </c>
      <c r="AF56" s="210" t="str">
        <f t="shared" si="7"/>
        <v/>
      </c>
      <c r="AG56" s="219" t="str">
        <f t="shared" si="8"/>
        <v/>
      </c>
      <c r="AH56" s="207" t="str">
        <f t="shared" si="9"/>
        <v/>
      </c>
    </row>
    <row r="57" spans="1:36" s="167" customFormat="1" ht="12.75" customHeight="1">
      <c r="A57" s="181">
        <v>50</v>
      </c>
      <c r="B57" s="177"/>
      <c r="C57" s="182"/>
      <c r="D57" s="179"/>
      <c r="E57" s="180" t="str">
        <f t="shared" si="10"/>
        <v/>
      </c>
      <c r="F57" s="179"/>
      <c r="G57" s="180" t="str">
        <f t="shared" si="11"/>
        <v/>
      </c>
      <c r="H57" s="179"/>
      <c r="I57" s="180" t="str">
        <f t="shared" si="12"/>
        <v/>
      </c>
      <c r="J57" s="179"/>
      <c r="K57" s="180" t="str">
        <f t="shared" si="13"/>
        <v/>
      </c>
      <c r="L57" s="179"/>
      <c r="M57" s="180" t="str">
        <f t="shared" si="14"/>
        <v/>
      </c>
      <c r="N57" s="179"/>
      <c r="O57" s="180" t="str">
        <f t="shared" si="15"/>
        <v/>
      </c>
      <c r="P57" s="179"/>
      <c r="Q57" s="192" t="str">
        <f t="shared" si="0"/>
        <v/>
      </c>
      <c r="R57" s="193"/>
      <c r="S57" s="179"/>
      <c r="T57" s="192" t="str">
        <f t="shared" si="16"/>
        <v/>
      </c>
      <c r="U57" s="193"/>
      <c r="V57" s="179"/>
      <c r="W57" s="192" t="str">
        <f t="shared" si="17"/>
        <v/>
      </c>
      <c r="X57" s="194"/>
      <c r="Y57" s="205" t="str">
        <f t="shared" si="1"/>
        <v/>
      </c>
      <c r="Z57" s="206" t="str">
        <f t="shared" si="2"/>
        <v/>
      </c>
      <c r="AA57" s="206" t="str">
        <f t="shared" si="3"/>
        <v/>
      </c>
      <c r="AB57" s="206" t="str">
        <f t="shared" si="4"/>
        <v/>
      </c>
      <c r="AC57" s="207" t="str">
        <f t="shared" si="5"/>
        <v/>
      </c>
      <c r="AD57" s="208" t="str">
        <f t="shared" si="6"/>
        <v/>
      </c>
      <c r="AE57" s="209" t="str">
        <f t="shared" si="18"/>
        <v/>
      </c>
      <c r="AF57" s="210" t="str">
        <f t="shared" si="7"/>
        <v/>
      </c>
      <c r="AG57" s="219" t="str">
        <f t="shared" si="8"/>
        <v/>
      </c>
      <c r="AH57" s="207" t="str">
        <f t="shared" si="9"/>
        <v/>
      </c>
    </row>
    <row r="58" spans="1:36" s="167" customFormat="1" ht="12.75" customHeight="1">
      <c r="A58" s="181">
        <v>51</v>
      </c>
      <c r="B58" s="177"/>
      <c r="C58" s="182"/>
      <c r="D58" s="179"/>
      <c r="E58" s="180" t="str">
        <f t="shared" si="10"/>
        <v/>
      </c>
      <c r="F58" s="179"/>
      <c r="G58" s="180" t="str">
        <f t="shared" si="11"/>
        <v/>
      </c>
      <c r="H58" s="179"/>
      <c r="I58" s="180" t="str">
        <f t="shared" si="12"/>
        <v/>
      </c>
      <c r="J58" s="179"/>
      <c r="K58" s="180" t="str">
        <f t="shared" si="13"/>
        <v/>
      </c>
      <c r="L58" s="179"/>
      <c r="M58" s="180" t="str">
        <f t="shared" si="14"/>
        <v/>
      </c>
      <c r="N58" s="179"/>
      <c r="O58" s="180" t="str">
        <f t="shared" si="15"/>
        <v/>
      </c>
      <c r="P58" s="179"/>
      <c r="Q58" s="192" t="str">
        <f t="shared" si="0"/>
        <v/>
      </c>
      <c r="R58" s="193"/>
      <c r="S58" s="179"/>
      <c r="T58" s="192" t="str">
        <f t="shared" si="16"/>
        <v/>
      </c>
      <c r="U58" s="193"/>
      <c r="V58" s="179"/>
      <c r="W58" s="192" t="str">
        <f t="shared" si="17"/>
        <v/>
      </c>
      <c r="X58" s="194"/>
      <c r="Y58" s="205" t="str">
        <f t="shared" si="1"/>
        <v/>
      </c>
      <c r="Z58" s="206" t="str">
        <f t="shared" si="2"/>
        <v/>
      </c>
      <c r="AA58" s="206" t="str">
        <f t="shared" si="3"/>
        <v/>
      </c>
      <c r="AB58" s="206" t="str">
        <f t="shared" si="4"/>
        <v/>
      </c>
      <c r="AC58" s="207" t="str">
        <f t="shared" si="5"/>
        <v/>
      </c>
      <c r="AD58" s="208" t="str">
        <f t="shared" si="6"/>
        <v/>
      </c>
      <c r="AE58" s="209" t="str">
        <f t="shared" si="18"/>
        <v/>
      </c>
      <c r="AF58" s="210" t="str">
        <f t="shared" si="7"/>
        <v/>
      </c>
      <c r="AG58" s="219" t="str">
        <f t="shared" si="8"/>
        <v/>
      </c>
      <c r="AH58" s="207" t="str">
        <f t="shared" si="9"/>
        <v/>
      </c>
    </row>
    <row r="59" spans="1:36" s="167" customFormat="1" ht="12.75" customHeight="1">
      <c r="A59" s="181">
        <v>52</v>
      </c>
      <c r="B59" s="177"/>
      <c r="C59" s="182"/>
      <c r="D59" s="179"/>
      <c r="E59" s="180" t="str">
        <f t="shared" si="10"/>
        <v/>
      </c>
      <c r="F59" s="179"/>
      <c r="G59" s="180" t="str">
        <f t="shared" si="11"/>
        <v/>
      </c>
      <c r="H59" s="179"/>
      <c r="I59" s="180" t="str">
        <f t="shared" si="12"/>
        <v/>
      </c>
      <c r="J59" s="179"/>
      <c r="K59" s="180" t="str">
        <f t="shared" si="13"/>
        <v/>
      </c>
      <c r="L59" s="179"/>
      <c r="M59" s="180" t="str">
        <f t="shared" si="14"/>
        <v/>
      </c>
      <c r="N59" s="179"/>
      <c r="O59" s="180" t="str">
        <f t="shared" si="15"/>
        <v/>
      </c>
      <c r="P59" s="179"/>
      <c r="Q59" s="192" t="str">
        <f t="shared" si="0"/>
        <v/>
      </c>
      <c r="R59" s="193"/>
      <c r="S59" s="179"/>
      <c r="T59" s="192" t="str">
        <f t="shared" si="16"/>
        <v/>
      </c>
      <c r="U59" s="193"/>
      <c r="V59" s="179"/>
      <c r="W59" s="192" t="str">
        <f t="shared" si="17"/>
        <v/>
      </c>
      <c r="X59" s="194"/>
      <c r="Y59" s="205" t="str">
        <f t="shared" si="1"/>
        <v/>
      </c>
      <c r="Z59" s="206" t="str">
        <f t="shared" si="2"/>
        <v/>
      </c>
      <c r="AA59" s="206" t="str">
        <f t="shared" si="3"/>
        <v/>
      </c>
      <c r="AB59" s="206" t="str">
        <f t="shared" si="4"/>
        <v/>
      </c>
      <c r="AC59" s="207" t="str">
        <f t="shared" si="5"/>
        <v/>
      </c>
      <c r="AD59" s="208" t="str">
        <f t="shared" si="6"/>
        <v/>
      </c>
      <c r="AE59" s="209" t="str">
        <f t="shared" si="18"/>
        <v/>
      </c>
      <c r="AF59" s="210" t="str">
        <f t="shared" si="7"/>
        <v/>
      </c>
      <c r="AG59" s="219" t="str">
        <f t="shared" si="8"/>
        <v/>
      </c>
      <c r="AH59" s="207" t="str">
        <f t="shared" si="9"/>
        <v/>
      </c>
    </row>
    <row r="60" spans="1:36" s="167" customFormat="1" ht="12.75" customHeight="1">
      <c r="A60" s="181">
        <v>53</v>
      </c>
      <c r="B60" s="177"/>
      <c r="C60" s="182"/>
      <c r="D60" s="179"/>
      <c r="E60" s="180" t="str">
        <f t="shared" si="10"/>
        <v/>
      </c>
      <c r="F60" s="179"/>
      <c r="G60" s="180" t="str">
        <f t="shared" si="11"/>
        <v/>
      </c>
      <c r="H60" s="179"/>
      <c r="I60" s="180" t="str">
        <f t="shared" si="12"/>
        <v/>
      </c>
      <c r="J60" s="179"/>
      <c r="K60" s="180" t="str">
        <f t="shared" si="13"/>
        <v/>
      </c>
      <c r="L60" s="179"/>
      <c r="M60" s="180" t="str">
        <f t="shared" si="14"/>
        <v/>
      </c>
      <c r="N60" s="179"/>
      <c r="O60" s="180" t="str">
        <f t="shared" si="15"/>
        <v/>
      </c>
      <c r="P60" s="179"/>
      <c r="Q60" s="192" t="str">
        <f t="shared" si="0"/>
        <v/>
      </c>
      <c r="R60" s="193"/>
      <c r="S60" s="179"/>
      <c r="T60" s="192" t="str">
        <f t="shared" si="16"/>
        <v/>
      </c>
      <c r="U60" s="193"/>
      <c r="V60" s="179"/>
      <c r="W60" s="192" t="str">
        <f t="shared" si="17"/>
        <v/>
      </c>
      <c r="X60" s="194"/>
      <c r="Y60" s="205" t="str">
        <f t="shared" si="1"/>
        <v/>
      </c>
      <c r="Z60" s="206" t="str">
        <f t="shared" si="2"/>
        <v/>
      </c>
      <c r="AA60" s="206" t="str">
        <f t="shared" si="3"/>
        <v/>
      </c>
      <c r="AB60" s="206" t="str">
        <f t="shared" si="4"/>
        <v/>
      </c>
      <c r="AC60" s="207" t="str">
        <f t="shared" si="5"/>
        <v/>
      </c>
      <c r="AD60" s="208" t="str">
        <f t="shared" si="6"/>
        <v/>
      </c>
      <c r="AE60" s="209" t="str">
        <f t="shared" si="18"/>
        <v/>
      </c>
      <c r="AF60" s="210" t="str">
        <f t="shared" si="7"/>
        <v/>
      </c>
      <c r="AG60" s="219" t="str">
        <f t="shared" si="8"/>
        <v/>
      </c>
      <c r="AH60" s="207" t="str">
        <f t="shared" si="9"/>
        <v/>
      </c>
    </row>
    <row r="61" spans="1:36" s="167" customFormat="1" ht="12.75" customHeight="1">
      <c r="A61" s="181">
        <v>54</v>
      </c>
      <c r="B61" s="177"/>
      <c r="C61" s="182"/>
      <c r="D61" s="179"/>
      <c r="E61" s="180" t="str">
        <f t="shared" si="10"/>
        <v/>
      </c>
      <c r="F61" s="179"/>
      <c r="G61" s="180" t="str">
        <f t="shared" si="11"/>
        <v/>
      </c>
      <c r="H61" s="179"/>
      <c r="I61" s="180" t="str">
        <f t="shared" si="12"/>
        <v/>
      </c>
      <c r="J61" s="179"/>
      <c r="K61" s="180" t="str">
        <f t="shared" si="13"/>
        <v/>
      </c>
      <c r="L61" s="179"/>
      <c r="M61" s="180" t="str">
        <f t="shared" si="14"/>
        <v/>
      </c>
      <c r="N61" s="179"/>
      <c r="O61" s="180" t="str">
        <f t="shared" si="15"/>
        <v/>
      </c>
      <c r="P61" s="179"/>
      <c r="Q61" s="192" t="str">
        <f t="shared" si="0"/>
        <v/>
      </c>
      <c r="R61" s="193"/>
      <c r="S61" s="179"/>
      <c r="T61" s="192" t="str">
        <f t="shared" si="16"/>
        <v/>
      </c>
      <c r="U61" s="193"/>
      <c r="V61" s="179"/>
      <c r="W61" s="192" t="str">
        <f t="shared" si="17"/>
        <v/>
      </c>
      <c r="X61" s="194"/>
      <c r="Y61" s="205" t="str">
        <f t="shared" si="1"/>
        <v/>
      </c>
      <c r="Z61" s="206" t="str">
        <f t="shared" si="2"/>
        <v/>
      </c>
      <c r="AA61" s="206" t="str">
        <f t="shared" si="3"/>
        <v/>
      </c>
      <c r="AB61" s="206" t="str">
        <f t="shared" si="4"/>
        <v/>
      </c>
      <c r="AC61" s="207" t="str">
        <f t="shared" si="5"/>
        <v/>
      </c>
      <c r="AD61" s="208" t="str">
        <f t="shared" si="6"/>
        <v/>
      </c>
      <c r="AE61" s="209" t="str">
        <f t="shared" si="18"/>
        <v/>
      </c>
      <c r="AF61" s="210" t="str">
        <f t="shared" si="7"/>
        <v/>
      </c>
      <c r="AG61" s="219" t="str">
        <f t="shared" si="8"/>
        <v/>
      </c>
      <c r="AH61" s="207" t="str">
        <f t="shared" si="9"/>
        <v/>
      </c>
    </row>
    <row r="62" spans="1:36" s="167" customFormat="1" ht="12.75" customHeight="1">
      <c r="A62" s="181">
        <v>55</v>
      </c>
      <c r="B62" s="177"/>
      <c r="C62" s="182"/>
      <c r="D62" s="179"/>
      <c r="E62" s="180" t="str">
        <f t="shared" si="10"/>
        <v/>
      </c>
      <c r="F62" s="179"/>
      <c r="G62" s="180" t="str">
        <f t="shared" si="11"/>
        <v/>
      </c>
      <c r="H62" s="179"/>
      <c r="I62" s="180" t="str">
        <f t="shared" si="12"/>
        <v/>
      </c>
      <c r="J62" s="179"/>
      <c r="K62" s="180" t="str">
        <f t="shared" si="13"/>
        <v/>
      </c>
      <c r="L62" s="179"/>
      <c r="M62" s="180" t="str">
        <f t="shared" si="14"/>
        <v/>
      </c>
      <c r="N62" s="179"/>
      <c r="O62" s="185" t="str">
        <f t="shared" si="15"/>
        <v/>
      </c>
      <c r="P62" s="179"/>
      <c r="Q62" s="195" t="str">
        <f t="shared" si="0"/>
        <v/>
      </c>
      <c r="R62" s="196"/>
      <c r="S62" s="179"/>
      <c r="T62" s="195" t="str">
        <f t="shared" si="16"/>
        <v/>
      </c>
      <c r="U62" s="196"/>
      <c r="V62" s="179"/>
      <c r="W62" s="195" t="str">
        <f t="shared" si="17"/>
        <v/>
      </c>
      <c r="X62" s="197"/>
      <c r="Y62" s="211" t="str">
        <f t="shared" si="1"/>
        <v/>
      </c>
      <c r="Z62" s="212" t="str">
        <f t="shared" si="2"/>
        <v/>
      </c>
      <c r="AA62" s="212" t="str">
        <f t="shared" si="3"/>
        <v/>
      </c>
      <c r="AB62" s="212" t="str">
        <f t="shared" si="4"/>
        <v/>
      </c>
      <c r="AC62" s="213" t="str">
        <f t="shared" si="5"/>
        <v/>
      </c>
      <c r="AD62" s="214" t="str">
        <f t="shared" si="6"/>
        <v/>
      </c>
      <c r="AE62" s="215" t="str">
        <f t="shared" si="18"/>
        <v/>
      </c>
      <c r="AF62" s="216" t="str">
        <f t="shared" si="7"/>
        <v/>
      </c>
      <c r="AG62" s="220" t="str">
        <f t="shared" si="8"/>
        <v/>
      </c>
      <c r="AH62" s="213" t="str">
        <f t="shared" si="9"/>
        <v/>
      </c>
    </row>
    <row r="63" spans="1:36" s="167" customFormat="1" ht="12.75" customHeight="1">
      <c r="A63" s="342" t="s">
        <v>33</v>
      </c>
      <c r="B63" s="343"/>
      <c r="C63" s="344"/>
      <c r="D63" s="345" t="str">
        <f>IF(COUNTA(D8:D62)=0,"",(SUM(D8:D62)))</f>
        <v/>
      </c>
      <c r="E63" s="346"/>
      <c r="F63" s="345" t="str">
        <f>IF(COUNTA(F8:F62)=0,"",(SUM(F8:F62)))</f>
        <v/>
      </c>
      <c r="G63" s="346"/>
      <c r="H63" s="345" t="str">
        <f t="shared" ref="H63" si="19">IF(COUNTA(H8:H62)=0,"",(SUM(H8:H62)))</f>
        <v/>
      </c>
      <c r="I63" s="346"/>
      <c r="J63" s="345" t="str">
        <f t="shared" ref="J63" si="20">IF(COUNTA(J8:J62)=0,"",(SUM(J8:J62)))</f>
        <v/>
      </c>
      <c r="K63" s="346"/>
      <c r="L63" s="345" t="str">
        <f t="shared" ref="L63" si="21">IF(COUNTA(L8:L62)=0,"",(SUM(L8:L62)))</f>
        <v/>
      </c>
      <c r="M63" s="346"/>
      <c r="N63" s="345" t="str">
        <f t="shared" ref="N63" si="22">IF(COUNTA(N8:N62)=0,"",(SUM(N8:N62)))</f>
        <v/>
      </c>
      <c r="O63" s="346"/>
      <c r="P63" s="345" t="str">
        <f t="shared" ref="P63" si="23">IF(COUNTA(P8:P62)=0,"",(SUM(P8:P62)))</f>
        <v/>
      </c>
      <c r="Q63" s="346"/>
      <c r="R63" s="198"/>
      <c r="S63" s="345" t="str">
        <f t="shared" ref="S63" si="24">IF(COUNTA(S8:S62)=0,"",(SUM(S8:S62)))</f>
        <v/>
      </c>
      <c r="T63" s="346"/>
      <c r="U63" s="199"/>
      <c r="V63" s="345" t="str">
        <f t="shared" ref="V63" si="25">IF(COUNTA(V8:V62)=0,"",(SUM(V8:V62)))</f>
        <v/>
      </c>
      <c r="W63" s="346"/>
      <c r="X63" s="199"/>
      <c r="Y63" s="342" t="s">
        <v>34</v>
      </c>
      <c r="Z63" s="343"/>
      <c r="AA63" s="343"/>
      <c r="AB63" s="343"/>
      <c r="AC63" s="347"/>
      <c r="AD63" s="217" t="str">
        <f>IF(OR(COUNTIF(AD8:AD62,"P")&lt;&gt;0,COUNTIF(AD8:AD62,"F")&lt;&gt;0,COUNTIF(AD8:AD62,"ab")&lt;&gt;0),(COUNTIF(AD8:AD62,"ab")),"")</f>
        <v/>
      </c>
      <c r="AE63" s="217" t="str">
        <f>IF(OR(COUNTIF(AE8:AE62,"P")&lt;&gt;0,COUNTIF(AE8:AE62,"F")&lt;&gt;0,COUNTIF(AE8:AE62,"ab")&lt;&gt;0,COUNTIF(AE8:AE62,"Q1")&lt;&gt;0,COUNTIF(AE8:AE62,"Q2")&lt;&gt;0,COUNTIF(AE8:AE62,"R1")&lt;&gt;0,COUNTIF(AE8:AE62,"R2")&lt;&gt;0),(COUNTIF(AE8:AE62,"ab")),"")</f>
        <v/>
      </c>
      <c r="AF63" s="348" t="s">
        <v>34</v>
      </c>
      <c r="AG63" s="349"/>
      <c r="AH63" s="350"/>
      <c r="AI63" s="221"/>
      <c r="AJ63" s="221"/>
    </row>
    <row r="64" spans="1:36" s="167" customFormat="1" ht="12.75" customHeight="1">
      <c r="A64" s="351" t="s">
        <v>35</v>
      </c>
      <c r="B64" s="352"/>
      <c r="C64" s="353"/>
      <c r="D64" s="354" t="str">
        <f>IF(D63="","",IF(D63=0,0,AVERAGE(D8:D62)))</f>
        <v/>
      </c>
      <c r="E64" s="355"/>
      <c r="F64" s="354" t="str">
        <f>IF(F63="","",IF(F63=0,0,AVERAGE(F8:F62)))</f>
        <v/>
      </c>
      <c r="G64" s="355"/>
      <c r="H64" s="354" t="str">
        <f t="shared" ref="H64" si="26">IF(H63="","",IF(H63=0,0,AVERAGE(H8:H62)))</f>
        <v/>
      </c>
      <c r="I64" s="355"/>
      <c r="J64" s="354" t="str">
        <f t="shared" ref="J64" si="27">IF(J63="","",IF(J63=0,0,AVERAGE(J8:J62)))</f>
        <v/>
      </c>
      <c r="K64" s="355"/>
      <c r="L64" s="354" t="str">
        <f t="shared" ref="L64" si="28">IF(L63="","",IF(L63=0,0,AVERAGE(L8:L62)))</f>
        <v/>
      </c>
      <c r="M64" s="355"/>
      <c r="N64" s="354" t="str">
        <f t="shared" ref="N64" si="29">IF(N63="","",IF(N63=0,0,AVERAGE(N8:N62)))</f>
        <v/>
      </c>
      <c r="O64" s="355"/>
      <c r="P64" s="354" t="str">
        <f t="shared" ref="P64" si="30">IF(P63="","",IF(P63=0,0,AVERAGE(P8:P62)))</f>
        <v/>
      </c>
      <c r="Q64" s="355"/>
      <c r="R64" s="200"/>
      <c r="S64" s="354" t="str">
        <f t="shared" ref="S64" si="31">IF(S63="","",IF(S63=0,0,AVERAGE(S8:S62)))</f>
        <v/>
      </c>
      <c r="T64" s="355"/>
      <c r="U64" s="201"/>
      <c r="V64" s="354" t="str">
        <f t="shared" ref="V64" si="32">IF(V63="","",IF(V63=0,0,AVERAGE(V8:V62)))</f>
        <v/>
      </c>
      <c r="W64" s="355"/>
      <c r="X64" s="201"/>
      <c r="Y64" s="356" t="s">
        <v>36</v>
      </c>
      <c r="Z64" s="357"/>
      <c r="AA64" s="357"/>
      <c r="AB64" s="357"/>
      <c r="AC64" s="358"/>
      <c r="AD64" s="218" t="str">
        <f>IF(OR(COUNTIF(AD8:AD62,"P")&lt;&gt;0,COUNTIF(AD8:AD62,"F")&lt;&gt;0,COUNTIF(AD8:AD62,"ab")&lt;&gt;0),(COUNTIF(AD8:AD62,"P")),"")</f>
        <v/>
      </c>
      <c r="AE64" s="218" t="str">
        <f>IF(OR(COUNTIF(AE8:AE62,"P")&lt;&gt;0,COUNTIF(AE8:AE62,"F")&lt;&gt;0,COUNTIF(AE8:AE62,"ab")&lt;&gt;0,COUNTIF(AE8:AE62,"Q1")&lt;&gt;0,COUNTIF(AE8:AE62,"Q2")&lt;&gt;0,COUNTIF(AE8:AE62,"R1")&lt;&gt;0,COUNTIF(AE8:AE62,"R2")&lt;&gt;0),(COUNTIF(AE8:AE62,"P")),"")</f>
        <v/>
      </c>
      <c r="AF64" s="356" t="s">
        <v>36</v>
      </c>
      <c r="AG64" s="357"/>
      <c r="AH64" s="359"/>
    </row>
    <row r="65" spans="1:66" s="167" customFormat="1" ht="13.2">
      <c r="A65" s="222"/>
      <c r="B65" s="223"/>
      <c r="C65" s="224"/>
      <c r="D65" s="225"/>
      <c r="E65" s="226"/>
      <c r="F65" s="227"/>
      <c r="G65" s="226"/>
      <c r="H65" s="227"/>
      <c r="I65" s="226"/>
      <c r="J65" s="227"/>
      <c r="K65" s="226"/>
      <c r="L65" s="227"/>
      <c r="M65" s="226"/>
      <c r="N65" s="227"/>
      <c r="O65" s="226"/>
      <c r="P65" s="227"/>
      <c r="Q65" s="256"/>
      <c r="R65" s="226"/>
      <c r="S65" s="227"/>
      <c r="T65" s="226"/>
      <c r="U65" s="257"/>
      <c r="V65" s="258"/>
      <c r="W65" s="259"/>
      <c r="X65" s="260"/>
      <c r="Y65" s="420" t="s">
        <v>37</v>
      </c>
      <c r="Z65" s="352"/>
      <c r="AA65" s="352"/>
      <c r="AB65" s="352"/>
      <c r="AC65" s="360"/>
      <c r="AD65" s="283" t="str">
        <f>IF(OR(COUNTIF(AD8:AD62,"P")&lt;&gt;0,COUNTIF(AD8:AD62,"F")&lt;&gt;0,COUNTIF(AD8:AD62,"ab")&lt;&gt;0),(COUNTIF(AD8:AD62,"F")),"")</f>
        <v/>
      </c>
      <c r="AE65" s="218" t="str">
        <f>IF(OR(COUNTIF(AE8:AE62,"P")&lt;&gt;0,COUNTIF(AE8:AE62,"F")&lt;&gt;0,COUNTIF(AE8:AE62,"ab")&lt;&gt;0,COUNTIF(AE8:AE62,"Q1")&lt;&gt;0,COUNTIF(AE8:AE62,"Q2")&lt;&gt;0,COUNTIF(AE8:AE62,"R1")&lt;&gt;0,COUNTIF(AE8:AE62,"R2")&lt;&gt;0),(COUNTIF(AE8:AE62,"Q1")),"")</f>
        <v/>
      </c>
      <c r="AF65" s="356" t="s">
        <v>38</v>
      </c>
      <c r="AG65" s="357"/>
      <c r="AH65" s="359"/>
    </row>
    <row r="66" spans="1:66" s="167" customFormat="1" ht="12" customHeight="1">
      <c r="A66" s="418" t="s">
        <v>39</v>
      </c>
      <c r="B66" s="418"/>
      <c r="C66" s="228" t="s">
        <v>40</v>
      </c>
      <c r="D66" s="229"/>
      <c r="E66" s="192" t="str">
        <f>IF(D$63="","",(COUNTIF(E$8:E$62,"A")))</f>
        <v/>
      </c>
      <c r="F66" s="229"/>
      <c r="G66" s="192" t="str">
        <f>IF(F$63="","",(COUNTIF(G$8:G$62,"A")))</f>
        <v/>
      </c>
      <c r="H66" s="229"/>
      <c r="I66" s="192" t="str">
        <f>IF(H$63="","",(COUNTIF(I$8:I$62,"A")))</f>
        <v/>
      </c>
      <c r="J66" s="229"/>
      <c r="K66" s="192" t="str">
        <f>IF(J$63="","",(COUNTIF(K$8:K$62,"A")))</f>
        <v/>
      </c>
      <c r="L66" s="229"/>
      <c r="M66" s="192" t="str">
        <f>IF(L$63="","",(COUNTIF(M$8:M$62,"A")))</f>
        <v/>
      </c>
      <c r="N66" s="229"/>
      <c r="O66" s="192" t="str">
        <f>IF(N$63="","",(COUNTIF(O$8:O$62,"A")))</f>
        <v/>
      </c>
      <c r="P66" s="229"/>
      <c r="Q66" s="192" t="str">
        <f>IF(P$63="","",(COUNTIF(Q$8:Q$62,"A")))</f>
        <v/>
      </c>
      <c r="R66" s="229"/>
      <c r="S66" s="229"/>
      <c r="T66" s="192" t="str">
        <f>IF(S$63="","",(COUNTIF(T$8:T$62,"A")))</f>
        <v/>
      </c>
      <c r="U66" s="261"/>
      <c r="V66" s="262"/>
      <c r="W66" s="192" t="str">
        <f>IF(V$63="","",(COUNTIF(W$8:W$62,"A")))</f>
        <v/>
      </c>
      <c r="X66" s="263"/>
      <c r="Y66" s="205" t="str">
        <f>IF((COUNT($D66:$W66)=0),"",(SUM($D66:$W66)))</f>
        <v/>
      </c>
      <c r="Z66" s="284"/>
      <c r="AA66" s="284"/>
      <c r="AB66" s="284"/>
      <c r="AC66" s="284"/>
      <c r="AD66" s="285"/>
      <c r="AE66" s="218" t="str">
        <f>IF(OR(COUNTIF(AE8:AE62,"P")&lt;&gt;0,COUNTIF(AE8:AE62,"F")&lt;&gt;0,COUNTIF(AE8:AE62,"ab")&lt;&gt;0,COUNTIF(AE8:AE62,"Q1")&lt;&gt;0,COUNTIF(AE8:AE62,"Q2")&lt;&gt;0,COUNTIF(AE8:AE62,"R1")&lt;&gt;0,COUNTIF(AE8:AE62,"R2")&lt;&gt;0),(COUNTIF(AE8:AE62,"Q2")),"")</f>
        <v/>
      </c>
      <c r="AF66" s="356" t="s">
        <v>41</v>
      </c>
      <c r="AG66" s="357"/>
      <c r="AH66" s="359"/>
    </row>
    <row r="67" spans="1:66" s="167" customFormat="1" ht="12" customHeight="1">
      <c r="A67" s="418"/>
      <c r="B67" s="418"/>
      <c r="C67" s="228" t="s">
        <v>42</v>
      </c>
      <c r="D67" s="229"/>
      <c r="E67" s="192" t="str">
        <f>IF(D$63="","",(COUNTIF(E$8:E$62,"B")))</f>
        <v/>
      </c>
      <c r="F67" s="229"/>
      <c r="G67" s="192" t="str">
        <f>IF(F$63="","",(COUNTIF(G$8:G$62,"B")))</f>
        <v/>
      </c>
      <c r="H67" s="229"/>
      <c r="I67" s="192" t="str">
        <f>IF(H$63="","",(COUNTIF(I$8:I$62,"B")))</f>
        <v/>
      </c>
      <c r="J67" s="229"/>
      <c r="K67" s="192" t="str">
        <f>IF(J$63="","",(COUNTIF(K$8:K$62,"B")))</f>
        <v/>
      </c>
      <c r="L67" s="229"/>
      <c r="M67" s="192" t="str">
        <f>IF(L$63="","",(COUNTIF(M$8:M$62,"B")))</f>
        <v/>
      </c>
      <c r="N67" s="229"/>
      <c r="O67" s="192" t="str">
        <f>IF(N$63="","",(COUNTIF(O$8:O$62,"B")))</f>
        <v/>
      </c>
      <c r="P67" s="229"/>
      <c r="Q67" s="192" t="str">
        <f>IF(P$63="","",(COUNTIF(Q$8:Q$62,"B")))</f>
        <v/>
      </c>
      <c r="R67" s="229"/>
      <c r="S67" s="229"/>
      <c r="T67" s="192" t="str">
        <f>IF(S$63="","",(COUNTIF(T$8:T$62,"B")))</f>
        <v/>
      </c>
      <c r="U67" s="261"/>
      <c r="V67" s="262"/>
      <c r="W67" s="192" t="str">
        <f>IF(V$63="","",(COUNTIF(W$8:W$62,"B")))</f>
        <v/>
      </c>
      <c r="X67" s="264"/>
      <c r="Y67" s="286"/>
      <c r="Z67" s="240" t="str">
        <f>IF((COUNT($D67:$W67)=0),"",SUM($D67:$W67))</f>
        <v/>
      </c>
      <c r="AA67" s="229"/>
      <c r="AB67" s="229"/>
      <c r="AC67" s="229"/>
      <c r="AD67" s="287"/>
      <c r="AE67" s="218" t="str">
        <f>IF(OR(COUNTIF(AE8:AE62,"P")&lt;&gt;0,COUNTIF(AE8:AE62,"F")&lt;&gt;0,COUNTIF(AE8:AE62,"ab")&lt;&gt;0,COUNTIF(AE8:AE62,"Q1")&lt;&gt;0,COUNTIF(AE8:AE62,"Q2")&lt;&gt;0,COUNTIF(AE8:AE62,"R1")&lt;&gt;0,COUNTIF(AE8:AE62,"R2")&lt;&gt;0),(COUNTIF(AE8:AE62,"R1")),"")</f>
        <v/>
      </c>
      <c r="AF67" s="356" t="s">
        <v>43</v>
      </c>
      <c r="AG67" s="357"/>
      <c r="AH67" s="359"/>
    </row>
    <row r="68" spans="1:66" s="167" customFormat="1" ht="12" customHeight="1">
      <c r="A68" s="418"/>
      <c r="B68" s="418"/>
      <c r="C68" s="228" t="s">
        <v>44</v>
      </c>
      <c r="D68" s="229"/>
      <c r="E68" s="192" t="str">
        <f>IF(D$63="","",(COUNTIF(E$8:E$62,"C")))</f>
        <v/>
      </c>
      <c r="F68" s="229"/>
      <c r="G68" s="192" t="str">
        <f>IF(F$63="","",(COUNTIF(G$8:G$62,"C")))</f>
        <v/>
      </c>
      <c r="H68" s="229"/>
      <c r="I68" s="192" t="str">
        <f>IF(H$63="","",(COUNTIF(I$8:I$62,"C")))</f>
        <v/>
      </c>
      <c r="J68" s="229"/>
      <c r="K68" s="192" t="str">
        <f>IF(J$63="","",(COUNTIF(K$8:K$62,"C")))</f>
        <v/>
      </c>
      <c r="L68" s="229"/>
      <c r="M68" s="192" t="str">
        <f>IF(L$63="","",(COUNTIF(M$8:M$62,"C")))</f>
        <v/>
      </c>
      <c r="N68" s="229"/>
      <c r="O68" s="192" t="str">
        <f>IF(N$63="","",(COUNTIF(O$8:O$62,"C")))</f>
        <v/>
      </c>
      <c r="P68" s="229"/>
      <c r="Q68" s="192" t="str">
        <f>IF(P$63="","",(COUNTIF(Q$8:Q$62,"C")))</f>
        <v/>
      </c>
      <c r="R68" s="229"/>
      <c r="S68" s="229"/>
      <c r="T68" s="192" t="str">
        <f>IF(S$63="","",(COUNTIF(T$8:T$62,"C")))</f>
        <v/>
      </c>
      <c r="U68" s="261"/>
      <c r="V68" s="262"/>
      <c r="W68" s="192" t="str">
        <f>IF(V$63="","",(COUNTIF(W$8:W$62,"C")))</f>
        <v/>
      </c>
      <c r="X68" s="264"/>
      <c r="Y68" s="286"/>
      <c r="Z68" s="229"/>
      <c r="AA68" s="240" t="str">
        <f>IF((COUNT($D68:$W68)=0),"",SUM($D68:$W68))</f>
        <v/>
      </c>
      <c r="AB68" s="229"/>
      <c r="AC68" s="229"/>
      <c r="AD68" s="287"/>
      <c r="AE68" s="218" t="str">
        <f>IF(OR(COUNTIF(AE8:AE62,"P")&lt;&gt;0,COUNTIF(AE8:AE62,"F")&lt;&gt;0,COUNTIF(AE8:AE62,"ab")&lt;&gt;0,COUNTIF(AE8:AE62,"Q1")&lt;&gt;0,COUNTIF(AE8:AE62,"Q2")&lt;&gt;0,COUNTIF(AE8:AE62,"R1")&lt;&gt;0,COUNTIF(AE8:AE62,"R2")&lt;&gt;0),(COUNTIF(AE8:AE62,"R2")),"")</f>
        <v/>
      </c>
      <c r="AF68" s="356" t="s">
        <v>45</v>
      </c>
      <c r="AG68" s="357"/>
      <c r="AH68" s="359"/>
    </row>
    <row r="69" spans="1:66" s="167" customFormat="1" ht="12" customHeight="1">
      <c r="A69" s="418"/>
      <c r="B69" s="418"/>
      <c r="C69" s="228" t="s">
        <v>46</v>
      </c>
      <c r="D69" s="229"/>
      <c r="E69" s="192" t="str">
        <f>IF(D$63="","",(COUNTIF(E$8:E$62,"S")))</f>
        <v/>
      </c>
      <c r="F69" s="229"/>
      <c r="G69" s="192" t="str">
        <f>IF(F$63="","",(COUNTIF(G$8:G$62,"S")))</f>
        <v/>
      </c>
      <c r="H69" s="229"/>
      <c r="I69" s="192" t="str">
        <f>IF(H$63="","",(COUNTIF(I$8:I$62,"S")))</f>
        <v/>
      </c>
      <c r="J69" s="229"/>
      <c r="K69" s="192" t="str">
        <f>IF(J$63="","",(COUNTIF(K$8:K$62,"S")))</f>
        <v/>
      </c>
      <c r="L69" s="229"/>
      <c r="M69" s="192" t="str">
        <f>IF(L$63="","",(COUNTIF(M$8:M$62,"S")))</f>
        <v/>
      </c>
      <c r="N69" s="229"/>
      <c r="O69" s="192" t="str">
        <f>IF(N$63="","",(COUNTIF(O$8:O$62,"S")))</f>
        <v/>
      </c>
      <c r="P69" s="229"/>
      <c r="Q69" s="192" t="str">
        <f>IF(P$63="","",(COUNTIF(Q$8:Q$62,"S")))</f>
        <v/>
      </c>
      <c r="R69" s="229"/>
      <c r="S69" s="229"/>
      <c r="T69" s="192" t="str">
        <f>IF(S$63="","",(COUNTIF(T$8:T$62,"S")))</f>
        <v/>
      </c>
      <c r="U69" s="261"/>
      <c r="V69" s="262"/>
      <c r="W69" s="192" t="str">
        <f>IF(V$63="","",(COUNTIF(W$8:W$62,"S")))</f>
        <v/>
      </c>
      <c r="X69" s="264"/>
      <c r="Y69" s="286"/>
      <c r="Z69" s="229"/>
      <c r="AA69" s="229"/>
      <c r="AB69" s="240" t="str">
        <f>IF((COUNT($D69:$W69)=0),"",SUM($D69:$W69))</f>
        <v/>
      </c>
      <c r="AC69" s="229"/>
      <c r="AD69" s="287"/>
      <c r="AE69" s="218" t="str">
        <f>IF(OR(COUNTIF(AE8:AE62,"P")&lt;&gt;0,COUNTIF(AE8:AE62,"F")&lt;&gt;0,COUNTIF(AE8:AE62,"ab")&lt;&gt;0,COUNTIF(AE8:AE62,"Q1")&lt;&gt;0,COUNTIF(AE8:AE62,"Q2")&lt;&gt;0,COUNTIF(AE8:AE62,"R1")&lt;&gt;0,COUNTIF(AE8:AE62,"R2")&lt;&gt;0),(COUNTIF(AE8:AE62,"F")),"")</f>
        <v/>
      </c>
      <c r="AF69" s="356" t="s">
        <v>37</v>
      </c>
      <c r="AG69" s="357"/>
      <c r="AH69" s="359"/>
    </row>
    <row r="70" spans="1:66" s="167" customFormat="1" ht="12" customHeight="1">
      <c r="A70" s="418"/>
      <c r="B70" s="418"/>
      <c r="C70" s="228" t="s">
        <v>32</v>
      </c>
      <c r="D70" s="229"/>
      <c r="E70" s="192" t="str">
        <f>IF(D$63="","",(COUNTIF(E$8:E$62,"W")))</f>
        <v/>
      </c>
      <c r="F70" s="229"/>
      <c r="G70" s="192" t="str">
        <f>IF(F$63="","",(COUNTIF(G$8:G$62,"W")))</f>
        <v/>
      </c>
      <c r="H70" s="229"/>
      <c r="I70" s="192" t="str">
        <f>IF(H$63="","",(COUNTIF(I$8:I$62,"W")))</f>
        <v/>
      </c>
      <c r="J70" s="229"/>
      <c r="K70" s="192" t="str">
        <f>IF(J$63="","",(COUNTIF(K$8:K$62,"W")))</f>
        <v/>
      </c>
      <c r="L70" s="229"/>
      <c r="M70" s="192" t="str">
        <f>IF(L$63="","",(COUNTIF(M$8:M$62,"W")))</f>
        <v/>
      </c>
      <c r="N70" s="229"/>
      <c r="O70" s="192" t="str">
        <f>IF(N$63="","",(COUNTIF(O$8:O$62,"W")))</f>
        <v/>
      </c>
      <c r="P70" s="229"/>
      <c r="Q70" s="192" t="str">
        <f>IF(P$63="","",(COUNTIF(Q$8:Q$62,"W")))</f>
        <v/>
      </c>
      <c r="R70" s="229"/>
      <c r="S70" s="229"/>
      <c r="T70" s="192" t="str">
        <f>IF(S$63="","",(COUNTIF(T$8:T$62,"W")))</f>
        <v/>
      </c>
      <c r="U70" s="261"/>
      <c r="V70" s="265"/>
      <c r="W70" s="192" t="str">
        <f>IF(V$63="","",(COUNTIF(W$8:W$62,"W")))</f>
        <v/>
      </c>
      <c r="X70" s="266"/>
      <c r="Y70" s="286"/>
      <c r="Z70" s="229"/>
      <c r="AA70" s="229"/>
      <c r="AB70" s="229"/>
      <c r="AC70" s="240" t="str">
        <f>IF((COUNT($D70:$W70)=0),"",SUM($D70:$W70))</f>
        <v/>
      </c>
      <c r="AD70" s="287"/>
      <c r="AE70" s="283" t="str">
        <f>IF(AND(AE63="",AE64="",AE65="",AE66="",AE67="",AE68="",AE69=""),"",SUM(AE63:AE69))</f>
        <v/>
      </c>
      <c r="AF70" s="351" t="s">
        <v>33</v>
      </c>
      <c r="AG70" s="352"/>
      <c r="AH70" s="353"/>
    </row>
    <row r="71" spans="1:66" s="167" customFormat="1" ht="12" customHeight="1">
      <c r="A71" s="419"/>
      <c r="B71" s="419"/>
      <c r="C71" s="230" t="s">
        <v>47</v>
      </c>
      <c r="D71" s="231"/>
      <c r="E71" s="232" t="str">
        <f>IF(D$63="","",(COUNTIF(E$8:E$62,"ab")))</f>
        <v/>
      </c>
      <c r="F71" s="231"/>
      <c r="G71" s="232" t="str">
        <f>IF(F$63="","",(COUNTIF(G$8:G$62,"ab")))</f>
        <v/>
      </c>
      <c r="H71" s="231"/>
      <c r="I71" s="232" t="str">
        <f>IF(H$63="","",(COUNTIF(I$8:I$62,"ab")))</f>
        <v/>
      </c>
      <c r="J71" s="231"/>
      <c r="K71" s="232" t="str">
        <f>IF(J$63="","",(COUNTIF(K$8:K$62,"ab")))</f>
        <v/>
      </c>
      <c r="L71" s="231"/>
      <c r="M71" s="232" t="str">
        <f>IF(L$63="","",(COUNTIF(M$8:M$62,"ab")))</f>
        <v/>
      </c>
      <c r="N71" s="231"/>
      <c r="O71" s="232" t="str">
        <f>IF(N$63="","",(COUNTIF(O$8:O$62,"ab")))</f>
        <v/>
      </c>
      <c r="P71" s="231"/>
      <c r="Q71" s="232" t="str">
        <f>IF(P$63="","",(COUNTIF(Q$8:Q$62,"ab")))</f>
        <v/>
      </c>
      <c r="R71" s="231"/>
      <c r="S71" s="231"/>
      <c r="T71" s="232" t="str">
        <f>IF(S$63="","",(COUNTIF(T$8:T$62,"ab")))</f>
        <v/>
      </c>
      <c r="U71" s="267"/>
      <c r="V71" s="268"/>
      <c r="W71" s="269" t="str">
        <f>IF(V$63="","",(COUNTIF(W$8:W$62,"ab")))</f>
        <v/>
      </c>
      <c r="X71" s="270"/>
      <c r="Y71" s="288"/>
      <c r="Z71" s="288"/>
      <c r="AA71" s="288"/>
      <c r="AB71" s="288"/>
      <c r="AC71" s="288"/>
      <c r="AD71" s="289" t="str">
        <f>IF((COUNT($D71:$W71)=0),"",SUM($D71:$W71))</f>
        <v/>
      </c>
      <c r="AE71" s="290"/>
      <c r="AF71" s="257"/>
      <c r="AG71" s="257"/>
      <c r="AH71" s="288"/>
    </row>
    <row r="72" spans="1:66" s="167" customFormat="1" ht="12" customHeight="1">
      <c r="A72" s="361" t="s">
        <v>33</v>
      </c>
      <c r="B72" s="362"/>
      <c r="C72" s="362"/>
      <c r="D72" s="233"/>
      <c r="E72" s="234" t="str">
        <f>IF(D$63="","",(SUM(E$66:E$71)))</f>
        <v/>
      </c>
      <c r="F72" s="233"/>
      <c r="G72" s="234" t="str">
        <f>IF(F$63="","",(SUM(G$66:G$71)))</f>
        <v/>
      </c>
      <c r="H72" s="233"/>
      <c r="I72" s="234" t="str">
        <f>IF(H$63="","",(SUM(I$66:I$71)))</f>
        <v/>
      </c>
      <c r="J72" s="233"/>
      <c r="K72" s="234" t="str">
        <f>IF(J$63="","",(SUM(K$66:K$71)))</f>
        <v/>
      </c>
      <c r="L72" s="233"/>
      <c r="M72" s="234" t="str">
        <f>IF(L$63="","",(SUM(M$66:M$71)))</f>
        <v/>
      </c>
      <c r="N72" s="233"/>
      <c r="O72" s="234" t="str">
        <f>IF(N$63="","",(SUM(O$66:O$71)))</f>
        <v/>
      </c>
      <c r="P72" s="233"/>
      <c r="Q72" s="234" t="str">
        <f>IF(P$63="","",(SUM(Q$66:Q$71)))</f>
        <v/>
      </c>
      <c r="R72" s="233"/>
      <c r="S72" s="233"/>
      <c r="T72" s="234" t="str">
        <f>IF(S$63="","",(SUM(T$66:T$71)))</f>
        <v/>
      </c>
      <c r="U72" s="271"/>
      <c r="V72" s="272"/>
      <c r="W72" s="273" t="str">
        <f>IF(V$63="","",(SUM(W$66:W$71)))</f>
        <v/>
      </c>
      <c r="X72" s="274"/>
      <c r="Y72" s="274"/>
      <c r="Z72" s="288"/>
      <c r="AA72" s="288"/>
      <c r="AB72" s="288"/>
      <c r="AC72" s="288"/>
      <c r="AD72" s="290"/>
      <c r="AE72" s="290"/>
      <c r="AF72" s="257"/>
      <c r="AG72" s="257"/>
      <c r="AH72" s="288"/>
    </row>
    <row r="73" spans="1:66" s="167" customFormat="1" ht="9.75" customHeight="1">
      <c r="A73" s="221"/>
      <c r="B73" s="221"/>
      <c r="C73" s="221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  <c r="AD73" s="289"/>
      <c r="AE73" s="289"/>
      <c r="AF73" s="291"/>
      <c r="AG73" s="291"/>
      <c r="AH73" s="235"/>
    </row>
    <row r="74" spans="1:66" s="167" customFormat="1" ht="15" customHeight="1">
      <c r="A74" s="221"/>
      <c r="B74" s="221"/>
      <c r="C74" s="236" t="s">
        <v>48</v>
      </c>
      <c r="D74" s="237" t="str">
        <f>IF(D$63="","",(COUNTIFS(D$8:D$62,"&lt;=39",D$8:D$62,"&gt;=30")))</f>
        <v/>
      </c>
      <c r="E74" s="238"/>
      <c r="F74" s="237" t="str">
        <f>IF(F$63="","",(COUNTIFS(F$8:F$62,"&lt;=39",F$8:F$62,"&gt;=30")))</f>
        <v/>
      </c>
      <c r="G74" s="238"/>
      <c r="H74" s="237" t="str">
        <f>IF(H$63="","",(COUNTIFS(H$8:H$62,"&lt;=39",H$8:H$62,"&gt;=30")))</f>
        <v/>
      </c>
      <c r="I74" s="238"/>
      <c r="J74" s="237" t="str">
        <f>IF(J$63="","",(COUNTIFS(J$8:J$62,"&lt;=39",J$8:J$62,"&gt;=30")))</f>
        <v/>
      </c>
      <c r="K74" s="238"/>
      <c r="L74" s="237" t="str">
        <f>IF(L$63="","",(COUNTIFS(L$8:L$62,"&lt;=39",L$8:L$62,"&gt;=30")))</f>
        <v/>
      </c>
      <c r="M74" s="238"/>
      <c r="N74" s="237" t="str">
        <f>IF(N$63="","",(COUNTIFS(N$8:N$62,"&lt;=39",N$8:N$62,"&gt;=30")))</f>
        <v/>
      </c>
      <c r="O74" s="238"/>
      <c r="P74" s="237" t="str">
        <f>IF(P$63="","",(COUNTIFS(P$8:P$62,"&lt;=39",P$8:P$62,"&gt;=30")))</f>
        <v/>
      </c>
      <c r="Q74" s="238"/>
      <c r="R74" s="238"/>
      <c r="S74" s="237" t="str">
        <f>IF(S$63="","",(COUNTIFS(S$8:S$62,"&lt;=39",S$8:S$62,"&gt;=30")))</f>
        <v/>
      </c>
      <c r="T74" s="238"/>
      <c r="U74" s="238"/>
      <c r="V74" s="275" t="str">
        <f>IF(V$63="","",(COUNTIFS(V$8:V$62,"&lt;=39",V$8:V$62,"&gt;=30")))</f>
        <v/>
      </c>
      <c r="W74" s="276"/>
      <c r="X74" s="277"/>
      <c r="Y74" s="235"/>
      <c r="Z74" s="363" t="s">
        <v>49</v>
      </c>
      <c r="AA74" s="364"/>
      <c r="AB74" s="364"/>
      <c r="AC74" s="364"/>
      <c r="AD74" s="365"/>
      <c r="AE74" s="366" t="s">
        <v>50</v>
      </c>
      <c r="AF74" s="367"/>
      <c r="AG74" s="367"/>
      <c r="AH74" s="368"/>
    </row>
    <row r="75" spans="1:66" s="167" customFormat="1" ht="13.2">
      <c r="A75" s="221"/>
      <c r="B75" s="221"/>
      <c r="C75" s="239" t="s">
        <v>51</v>
      </c>
      <c r="D75" s="240" t="str">
        <f>IF(D$63="","",(COUNTIFS(D$8:D$62,"&lt;=29",D$8:D$62,"&gt;=20")))</f>
        <v/>
      </c>
      <c r="E75" s="229"/>
      <c r="F75" s="240" t="str">
        <f>IF(F$63="","",(COUNTIFS(F$8:F$62,"&lt;=29",F$8:F$62,"&gt;=20")))</f>
        <v/>
      </c>
      <c r="G75" s="229"/>
      <c r="H75" s="240" t="str">
        <f>IF(H$63="","",(COUNTIFS(H$8:H$62,"&lt;=29",H$8:H$62,"&gt;=20")))</f>
        <v/>
      </c>
      <c r="I75" s="229"/>
      <c r="J75" s="240" t="str">
        <f>IF(J$63="","",(COUNTIFS(J$8:J$62,"&lt;=29",J$8:J$62,"&gt;=20")))</f>
        <v/>
      </c>
      <c r="K75" s="229"/>
      <c r="L75" s="240" t="str">
        <f>IF(L$63="","",(COUNTIFS(L$8:L$62,"&lt;=29",L$8:L$62,"&gt;=20")))</f>
        <v/>
      </c>
      <c r="M75" s="229"/>
      <c r="N75" s="240" t="str">
        <f>IF(N$63="","",(COUNTIFS(N$8:N$62,"&lt;=29",N$8:N$62,"&gt;=20")))</f>
        <v/>
      </c>
      <c r="O75" s="229"/>
      <c r="P75" s="240" t="str">
        <f>IF(P$63="","",(COUNTIFS(P$8:P$62,"&lt;=29",P$8:P$62,"&gt;=20")))</f>
        <v/>
      </c>
      <c r="Q75" s="229"/>
      <c r="R75" s="229"/>
      <c r="S75" s="240" t="str">
        <f>IF(S$63="","",(COUNTIFS(S$8:S$62,"&lt;=29",S$8:S$62,"&gt;=20")))</f>
        <v/>
      </c>
      <c r="T75" s="229"/>
      <c r="U75" s="229"/>
      <c r="V75" s="278" t="str">
        <f>IF(V$63="","",(COUNTIFS(V$8:V$62,"&lt;=29",V$8:V$62,"&gt;=20")))</f>
        <v/>
      </c>
      <c r="W75" s="279"/>
      <c r="X75" s="270"/>
      <c r="Y75" s="235"/>
      <c r="Z75" s="363" t="s">
        <v>20</v>
      </c>
      <c r="AA75" s="364"/>
      <c r="AB75" s="364"/>
      <c r="AC75" s="364"/>
      <c r="AD75" s="364"/>
      <c r="AE75" s="364"/>
      <c r="AF75" s="364"/>
      <c r="AG75" s="364"/>
      <c r="AH75" s="365"/>
    </row>
    <row r="76" spans="1:66" s="167" customFormat="1" ht="13.2">
      <c r="A76" s="221"/>
      <c r="B76" s="221"/>
      <c r="C76" s="241" t="s">
        <v>52</v>
      </c>
      <c r="D76" s="240" t="str">
        <f>IF(D$63="","",(COUNTIFS(D$8:D$62,"&gt;=10",D$8:D$62,"&lt;=19")))</f>
        <v/>
      </c>
      <c r="E76" s="229"/>
      <c r="F76" s="240" t="str">
        <f>IF(F$63="","",(COUNTIFS(F$8:F$62,"&gt;=10",F$8:F$62,"&lt;=19")))</f>
        <v/>
      </c>
      <c r="G76" s="229"/>
      <c r="H76" s="240" t="str">
        <f>IF(H$63="","",(COUNTIFS(H$8:H$62,"&gt;=10",H$8:H$62,"&lt;=19")))</f>
        <v/>
      </c>
      <c r="I76" s="229"/>
      <c r="J76" s="240" t="str">
        <f>IF(J$63="","",(COUNTIFS(J$8:J$62,"&gt;=10",J$8:J$62,"&lt;=19")))</f>
        <v/>
      </c>
      <c r="K76" s="229"/>
      <c r="L76" s="240" t="str">
        <f>IF(L$63="","",(COUNTIFS(L$8:L$62,"&gt;=10",L$8:L$62,"&lt;=19")))</f>
        <v/>
      </c>
      <c r="M76" s="229"/>
      <c r="N76" s="240" t="str">
        <f>IF(N$63="","",(COUNTIFS(N$8:N$62,"&gt;=10",N$8:N$62,"&lt;=19")))</f>
        <v/>
      </c>
      <c r="O76" s="229"/>
      <c r="P76" s="240" t="str">
        <f>IF(P$63="","",(COUNTIFS(P$8:P$62,"&gt;=10",P$8:P$62,"&lt;=19")))</f>
        <v/>
      </c>
      <c r="Q76" s="229"/>
      <c r="R76" s="229"/>
      <c r="S76" s="240" t="str">
        <f>IF(S$63="","",(COUNTIFS(S$8:S$62,"&gt;=10",S$8:S$62,"&lt;=19")))</f>
        <v/>
      </c>
      <c r="T76" s="229"/>
      <c r="U76" s="229"/>
      <c r="V76" s="278" t="str">
        <f>IF(V$63="","",(COUNTIFS(V$8:V$62,"&gt;=10",V$8:V$62,"&lt;=19")))</f>
        <v/>
      </c>
      <c r="W76" s="279"/>
      <c r="X76" s="270"/>
      <c r="Z76" s="292" t="s">
        <v>53</v>
      </c>
      <c r="AA76" s="369" t="s">
        <v>54</v>
      </c>
      <c r="AB76" s="370"/>
      <c r="AC76" s="370"/>
      <c r="AD76" s="370"/>
      <c r="AE76" s="370"/>
      <c r="AF76" s="370"/>
      <c r="AG76" s="370"/>
      <c r="AH76" s="371"/>
    </row>
    <row r="77" spans="1:66" s="167" customFormat="1" ht="13.2">
      <c r="A77" s="221"/>
      <c r="B77" s="221"/>
      <c r="C77" s="242" t="s">
        <v>55</v>
      </c>
      <c r="D77" s="243" t="str">
        <f>IF(D$63="","",(COUNTIFS(D$8:D$62,"&gt;=0",D$8:D$62,"&lt;=9")))</f>
        <v/>
      </c>
      <c r="E77" s="244"/>
      <c r="F77" s="243" t="str">
        <f>IF(F$63="","",(COUNTIFS(F$8:F$62,"&gt;=0",F$8:F$62,"&lt;=9")))</f>
        <v/>
      </c>
      <c r="G77" s="244"/>
      <c r="H77" s="243" t="str">
        <f>IF(H$63="","",(COUNTIFS(H$8:H$62,"&gt;=0",H$8:H$62,"&lt;=9")))</f>
        <v/>
      </c>
      <c r="I77" s="244"/>
      <c r="J77" s="243" t="str">
        <f>IF(J$63="","",(COUNTIFS(J$8:J$62,"&gt;=0",J$8:J$62,"&lt;=9")))</f>
        <v/>
      </c>
      <c r="K77" s="244"/>
      <c r="L77" s="243" t="str">
        <f>IF(L$63="","",(COUNTIFS(L$8:L$62,"&gt;=0",L$8:L$62,"&lt;=9")))</f>
        <v/>
      </c>
      <c r="M77" s="244"/>
      <c r="N77" s="243" t="str">
        <f>IF(N$63="","",(COUNTIFS(N$8:N$62,"&gt;=0",N$8:N$62,"&lt;=9")))</f>
        <v/>
      </c>
      <c r="O77" s="244"/>
      <c r="P77" s="243" t="str">
        <f>IF(P$63="","",(COUNTIFS(P$8:P$62,"&gt;=0",P$8:P$62,"&lt;=9")))</f>
        <v/>
      </c>
      <c r="Q77" s="244"/>
      <c r="R77" s="244"/>
      <c r="S77" s="243" t="str">
        <f>IF(S$63="","",(COUNTIFS(S$8:S$62,"&gt;=0",S$8:S$62,"&lt;=9")))</f>
        <v/>
      </c>
      <c r="T77" s="244"/>
      <c r="U77" s="244"/>
      <c r="V77" s="280" t="str">
        <f>IF(V$63="","",(COUNTIFS(V$8:V$62,"&gt;=0",V$8:V$62,"&lt;=9")))</f>
        <v/>
      </c>
      <c r="W77" s="281"/>
      <c r="X77" s="282"/>
      <c r="Y77" s="235"/>
      <c r="Z77" s="293" t="s">
        <v>56</v>
      </c>
      <c r="AA77" s="372" t="s">
        <v>57</v>
      </c>
      <c r="AB77" s="373"/>
      <c r="AC77" s="373"/>
      <c r="AD77" s="373"/>
      <c r="AE77" s="373"/>
      <c r="AF77" s="373"/>
      <c r="AG77" s="373"/>
      <c r="AH77" s="374"/>
    </row>
    <row r="78" spans="1:66" ht="13.5" customHeight="1">
      <c r="A78" s="70"/>
      <c r="B78" s="70"/>
      <c r="C78" s="245"/>
      <c r="D78" s="70"/>
      <c r="E78" s="246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246"/>
      <c r="Z78" s="294" t="s">
        <v>58</v>
      </c>
      <c r="AA78" s="372" t="s">
        <v>59</v>
      </c>
      <c r="AB78" s="373"/>
      <c r="AC78" s="373"/>
      <c r="AD78" s="373"/>
      <c r="AE78" s="373"/>
      <c r="AF78" s="373"/>
      <c r="AG78" s="373"/>
      <c r="AH78" s="374"/>
    </row>
    <row r="79" spans="1:66" s="167" customFormat="1" ht="14.25" customHeight="1">
      <c r="A79" s="221"/>
      <c r="B79" s="247" t="s">
        <v>27</v>
      </c>
      <c r="C79" s="375" t="s">
        <v>60</v>
      </c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76"/>
      <c r="W79" s="377"/>
      <c r="X79" s="221"/>
      <c r="Y79" s="235"/>
      <c r="Z79" s="295" t="s">
        <v>61</v>
      </c>
      <c r="AA79" s="372" t="s">
        <v>62</v>
      </c>
      <c r="AB79" s="373"/>
      <c r="AC79" s="373"/>
      <c r="AD79" s="373"/>
      <c r="AE79" s="373"/>
      <c r="AF79" s="373"/>
      <c r="AG79" s="373"/>
      <c r="AH79" s="374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/>
      <c r="AX79" s="221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  <c r="BM79" s="221"/>
      <c r="BN79" s="221"/>
    </row>
    <row r="80" spans="1:66" s="167" customFormat="1" ht="12" customHeight="1">
      <c r="A80" s="221"/>
      <c r="B80" s="378" t="s">
        <v>15</v>
      </c>
      <c r="C80" s="379"/>
      <c r="D80" s="380" t="s">
        <v>16</v>
      </c>
      <c r="E80" s="381"/>
      <c r="F80" s="381"/>
      <c r="G80" s="381"/>
      <c r="H80" s="381"/>
      <c r="I80" s="381"/>
      <c r="J80" s="381"/>
      <c r="K80" s="381"/>
      <c r="L80" s="381"/>
      <c r="M80" s="382"/>
      <c r="N80" s="380" t="s">
        <v>17</v>
      </c>
      <c r="O80" s="381"/>
      <c r="P80" s="381"/>
      <c r="Q80" s="381"/>
      <c r="R80" s="381"/>
      <c r="S80" s="381"/>
      <c r="T80" s="381"/>
      <c r="U80" s="381"/>
      <c r="V80" s="381"/>
      <c r="W80" s="382"/>
      <c r="X80" s="221"/>
      <c r="Y80" s="235"/>
      <c r="Z80" s="296" t="s">
        <v>63</v>
      </c>
      <c r="AA80" s="372" t="s">
        <v>64</v>
      </c>
      <c r="AB80" s="373"/>
      <c r="AC80" s="373"/>
      <c r="AD80" s="373"/>
      <c r="AE80" s="373"/>
      <c r="AF80" s="373"/>
      <c r="AG80" s="373"/>
      <c r="AH80" s="374"/>
      <c r="AJ80" s="221"/>
      <c r="AK80" s="221"/>
      <c r="AL80" s="221"/>
      <c r="AM80" s="221"/>
      <c r="AN80" s="221"/>
      <c r="AO80" s="221"/>
      <c r="AP80" s="221"/>
      <c r="AQ80" s="221"/>
      <c r="AR80" s="221"/>
      <c r="AS80" s="221"/>
      <c r="AT80" s="221"/>
      <c r="AU80" s="221"/>
      <c r="AV80" s="221"/>
      <c r="AW80" s="221"/>
      <c r="AX80" s="221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</row>
    <row r="81" spans="1:66" s="167" customFormat="1" ht="12" customHeight="1">
      <c r="A81" s="221"/>
      <c r="B81" s="248" t="s">
        <v>65</v>
      </c>
      <c r="C81" s="249" t="s">
        <v>66</v>
      </c>
      <c r="D81" s="383" t="s">
        <v>67</v>
      </c>
      <c r="E81" s="384"/>
      <c r="F81" s="385" t="s">
        <v>68</v>
      </c>
      <c r="G81" s="386"/>
      <c r="H81" s="386"/>
      <c r="I81" s="386"/>
      <c r="J81" s="386"/>
      <c r="K81" s="386"/>
      <c r="L81" s="386"/>
      <c r="M81" s="387"/>
      <c r="N81" s="383" t="s">
        <v>69</v>
      </c>
      <c r="O81" s="384"/>
      <c r="P81" s="386" t="s">
        <v>70</v>
      </c>
      <c r="Q81" s="386"/>
      <c r="R81" s="386"/>
      <c r="S81" s="386"/>
      <c r="T81" s="386"/>
      <c r="U81" s="386"/>
      <c r="V81" s="386"/>
      <c r="W81" s="387"/>
      <c r="X81" s="221"/>
      <c r="Y81" s="235"/>
      <c r="Z81" s="297" t="s">
        <v>71</v>
      </c>
      <c r="AA81" s="372" t="s">
        <v>72</v>
      </c>
      <c r="AB81" s="373"/>
      <c r="AC81" s="373"/>
      <c r="AD81" s="373"/>
      <c r="AE81" s="373"/>
      <c r="AF81" s="373"/>
      <c r="AG81" s="373"/>
      <c r="AH81" s="374"/>
      <c r="AI81" s="221"/>
      <c r="AJ81" s="298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221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</row>
    <row r="82" spans="1:66" s="167" customFormat="1" ht="12" customHeight="1">
      <c r="A82" s="221"/>
      <c r="B82" s="250" t="s">
        <v>73</v>
      </c>
      <c r="C82" s="251" t="s">
        <v>74</v>
      </c>
      <c r="D82" s="388" t="s">
        <v>75</v>
      </c>
      <c r="E82" s="389"/>
      <c r="F82" s="390" t="s">
        <v>76</v>
      </c>
      <c r="G82" s="391"/>
      <c r="H82" s="391"/>
      <c r="I82" s="391"/>
      <c r="J82" s="391"/>
      <c r="K82" s="391"/>
      <c r="L82" s="391"/>
      <c r="M82" s="392"/>
      <c r="N82" s="388" t="s">
        <v>77</v>
      </c>
      <c r="O82" s="389"/>
      <c r="P82" s="391" t="s">
        <v>78</v>
      </c>
      <c r="Q82" s="391"/>
      <c r="R82" s="391"/>
      <c r="S82" s="391"/>
      <c r="T82" s="391"/>
      <c r="U82" s="391"/>
      <c r="V82" s="391"/>
      <c r="W82" s="392"/>
      <c r="X82" s="221"/>
      <c r="Y82" s="416" t="s">
        <v>79</v>
      </c>
      <c r="Z82" s="416"/>
      <c r="AA82" s="416"/>
      <c r="AB82" s="417" t="s">
        <v>80</v>
      </c>
      <c r="AC82" s="417"/>
      <c r="AD82" s="417"/>
      <c r="AE82" s="417"/>
      <c r="AF82" s="417"/>
      <c r="AG82" s="417"/>
      <c r="AH82" s="417"/>
      <c r="AI82" s="221"/>
      <c r="AJ82" s="298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</row>
    <row r="83" spans="1:66" s="167" customFormat="1" ht="12" customHeight="1">
      <c r="A83" s="221"/>
      <c r="B83" s="250" t="s">
        <v>81</v>
      </c>
      <c r="C83" s="251" t="s">
        <v>82</v>
      </c>
      <c r="D83" s="388" t="s">
        <v>83</v>
      </c>
      <c r="E83" s="389"/>
      <c r="F83" s="390" t="s">
        <v>84</v>
      </c>
      <c r="G83" s="391"/>
      <c r="H83" s="391"/>
      <c r="I83" s="391"/>
      <c r="J83" s="391"/>
      <c r="K83" s="391"/>
      <c r="L83" s="391"/>
      <c r="M83" s="392"/>
      <c r="N83" s="388" t="s">
        <v>85</v>
      </c>
      <c r="O83" s="389"/>
      <c r="P83" s="391" t="s">
        <v>86</v>
      </c>
      <c r="Q83" s="391"/>
      <c r="R83" s="391"/>
      <c r="S83" s="391"/>
      <c r="T83" s="391"/>
      <c r="U83" s="391"/>
      <c r="V83" s="391"/>
      <c r="W83" s="392"/>
      <c r="X83" s="221"/>
      <c r="Y83" s="416"/>
      <c r="Z83" s="416"/>
      <c r="AA83" s="416"/>
      <c r="AB83" s="416"/>
      <c r="AC83" s="416"/>
      <c r="AD83" s="416"/>
      <c r="AE83" s="416"/>
      <c r="AF83" s="416"/>
      <c r="AG83" s="416"/>
      <c r="AH83" s="416"/>
      <c r="AI83" s="221"/>
      <c r="AJ83" s="298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</row>
    <row r="84" spans="1:66" s="167" customFormat="1" ht="12" customHeight="1">
      <c r="A84" s="221"/>
      <c r="B84" s="250" t="s">
        <v>87</v>
      </c>
      <c r="C84" s="251" t="s">
        <v>88</v>
      </c>
      <c r="D84" s="388" t="s">
        <v>89</v>
      </c>
      <c r="E84" s="389"/>
      <c r="F84" s="390" t="s">
        <v>90</v>
      </c>
      <c r="G84" s="391"/>
      <c r="H84" s="391"/>
      <c r="I84" s="391"/>
      <c r="J84" s="391"/>
      <c r="K84" s="391"/>
      <c r="L84" s="391"/>
      <c r="M84" s="392"/>
      <c r="N84" s="388" t="s">
        <v>91</v>
      </c>
      <c r="O84" s="389"/>
      <c r="P84" s="391" t="s">
        <v>92</v>
      </c>
      <c r="Q84" s="391"/>
      <c r="R84" s="391"/>
      <c r="S84" s="391"/>
      <c r="T84" s="391"/>
      <c r="U84" s="391"/>
      <c r="V84" s="391"/>
      <c r="W84" s="392"/>
      <c r="X84" s="221"/>
      <c r="Y84" s="415" t="s">
        <v>93</v>
      </c>
      <c r="Z84" s="415"/>
      <c r="AA84" s="415"/>
      <c r="AB84" s="415"/>
      <c r="AC84" s="416" t="s">
        <v>80</v>
      </c>
      <c r="AD84" s="416"/>
      <c r="AE84" s="416"/>
      <c r="AF84" s="416"/>
      <c r="AG84" s="416"/>
      <c r="AH84" s="416"/>
      <c r="AI84" s="221"/>
      <c r="AJ84" s="298"/>
      <c r="AK84" s="221"/>
      <c r="AL84" s="221"/>
      <c r="AM84" s="221"/>
      <c r="AN84" s="221"/>
      <c r="AO84" s="221"/>
      <c r="AP84" s="221"/>
      <c r="AQ84" s="221"/>
      <c r="AR84" s="221"/>
      <c r="AS84" s="221"/>
      <c r="AT84" s="221"/>
      <c r="AU84" s="221"/>
      <c r="AV84" s="221"/>
      <c r="AW84" s="221"/>
      <c r="AX84" s="221"/>
      <c r="AY84" s="221"/>
      <c r="AZ84" s="221"/>
      <c r="BA84" s="221"/>
      <c r="BB84" s="221"/>
      <c r="BC84" s="221"/>
      <c r="BD84" s="221"/>
      <c r="BE84" s="221"/>
      <c r="BF84" s="221"/>
      <c r="BG84" s="221"/>
      <c r="BH84" s="221"/>
      <c r="BI84" s="221"/>
      <c r="BJ84" s="221"/>
      <c r="BK84" s="221"/>
      <c r="BL84" s="221"/>
      <c r="BM84" s="221"/>
      <c r="BN84" s="221"/>
    </row>
    <row r="85" spans="1:66" s="167" customFormat="1" ht="12" customHeight="1">
      <c r="A85" s="221"/>
      <c r="B85" s="250" t="s">
        <v>94</v>
      </c>
      <c r="C85" s="252"/>
      <c r="D85" s="388" t="s">
        <v>95</v>
      </c>
      <c r="E85" s="389"/>
      <c r="F85" s="390" t="s">
        <v>96</v>
      </c>
      <c r="G85" s="391"/>
      <c r="H85" s="391"/>
      <c r="I85" s="391"/>
      <c r="J85" s="391"/>
      <c r="K85" s="391"/>
      <c r="L85" s="391"/>
      <c r="M85" s="392"/>
      <c r="N85" s="388" t="s">
        <v>97</v>
      </c>
      <c r="O85" s="389"/>
      <c r="P85" s="391" t="s">
        <v>98</v>
      </c>
      <c r="Q85" s="391"/>
      <c r="R85" s="391"/>
      <c r="S85" s="391"/>
      <c r="T85" s="391"/>
      <c r="U85" s="391"/>
      <c r="V85" s="391"/>
      <c r="W85" s="392"/>
      <c r="X85" s="221"/>
      <c r="Y85" s="415"/>
      <c r="Z85" s="415"/>
      <c r="AA85" s="415"/>
      <c r="AB85" s="415"/>
      <c r="AC85" s="416"/>
      <c r="AD85" s="416"/>
      <c r="AE85" s="416"/>
      <c r="AF85" s="416"/>
      <c r="AG85" s="416"/>
      <c r="AH85" s="416"/>
      <c r="AI85" s="221"/>
    </row>
    <row r="86" spans="1:66" s="167" customFormat="1" ht="12" customHeight="1">
      <c r="A86" s="221"/>
      <c r="B86" s="250" t="s">
        <v>99</v>
      </c>
      <c r="C86" s="253"/>
      <c r="D86" s="388" t="s">
        <v>100</v>
      </c>
      <c r="E86" s="389"/>
      <c r="F86" s="390" t="s">
        <v>101</v>
      </c>
      <c r="G86" s="391"/>
      <c r="H86" s="391"/>
      <c r="I86" s="391"/>
      <c r="J86" s="391"/>
      <c r="K86" s="391"/>
      <c r="L86" s="391"/>
      <c r="M86" s="392"/>
      <c r="N86" s="388" t="s">
        <v>102</v>
      </c>
      <c r="O86" s="389"/>
      <c r="P86" s="391" t="s">
        <v>103</v>
      </c>
      <c r="Q86" s="391"/>
      <c r="R86" s="391"/>
      <c r="S86" s="391"/>
      <c r="T86" s="391"/>
      <c r="U86" s="391"/>
      <c r="V86" s="391"/>
      <c r="W86" s="392"/>
      <c r="X86" s="221"/>
      <c r="Y86" s="413" t="s">
        <v>104</v>
      </c>
      <c r="Z86" s="413"/>
      <c r="AA86" s="413"/>
      <c r="AB86" s="413"/>
      <c r="AC86" s="413"/>
      <c r="AD86" s="414" t="s">
        <v>80</v>
      </c>
      <c r="AE86" s="414"/>
      <c r="AF86" s="414"/>
      <c r="AG86" s="414"/>
      <c r="AH86" s="414"/>
    </row>
    <row r="87" spans="1:66" s="167" customFormat="1" ht="12" customHeight="1">
      <c r="A87" s="221"/>
      <c r="B87" s="250" t="s">
        <v>105</v>
      </c>
      <c r="C87" s="253"/>
      <c r="D87" s="388" t="s">
        <v>106</v>
      </c>
      <c r="E87" s="389"/>
      <c r="F87" s="393"/>
      <c r="G87" s="394"/>
      <c r="H87" s="394"/>
      <c r="I87" s="394"/>
      <c r="J87" s="394"/>
      <c r="K87" s="394"/>
      <c r="L87" s="394"/>
      <c r="M87" s="395"/>
      <c r="N87" s="388" t="s">
        <v>107</v>
      </c>
      <c r="O87" s="389"/>
      <c r="P87" s="391" t="s">
        <v>108</v>
      </c>
      <c r="Q87" s="391"/>
      <c r="R87" s="391"/>
      <c r="S87" s="391"/>
      <c r="T87" s="391"/>
      <c r="U87" s="391"/>
      <c r="V87" s="391"/>
      <c r="W87" s="392"/>
      <c r="X87" s="221"/>
      <c r="Y87" s="413"/>
      <c r="Z87" s="413"/>
      <c r="AA87" s="413"/>
      <c r="AB87" s="413"/>
      <c r="AC87" s="413"/>
      <c r="AD87" s="414"/>
      <c r="AE87" s="414"/>
      <c r="AF87" s="414"/>
      <c r="AG87" s="414"/>
      <c r="AH87" s="414"/>
      <c r="AI87" s="299"/>
      <c r="AJ87" s="300"/>
      <c r="AK87" s="301"/>
    </row>
    <row r="88" spans="1:66" s="167" customFormat="1" ht="12" customHeight="1">
      <c r="A88" s="221"/>
      <c r="B88" s="254" t="s">
        <v>109</v>
      </c>
      <c r="C88" s="255"/>
      <c r="D88" s="396" t="s">
        <v>110</v>
      </c>
      <c r="E88" s="397"/>
      <c r="F88" s="398"/>
      <c r="G88" s="399"/>
      <c r="H88" s="399"/>
      <c r="I88" s="399"/>
      <c r="J88" s="399"/>
      <c r="K88" s="399"/>
      <c r="L88" s="399"/>
      <c r="M88" s="400"/>
      <c r="N88" s="396" t="s">
        <v>111</v>
      </c>
      <c r="O88" s="397"/>
      <c r="P88" s="399"/>
      <c r="Q88" s="399"/>
      <c r="R88" s="399"/>
      <c r="S88" s="399"/>
      <c r="T88" s="399"/>
      <c r="U88" s="399"/>
      <c r="V88" s="399"/>
      <c r="W88" s="400"/>
      <c r="X88" s="221"/>
      <c r="Y88" s="413"/>
      <c r="Z88" s="413"/>
      <c r="AA88" s="413"/>
      <c r="AB88" s="413"/>
      <c r="AC88" s="413"/>
      <c r="AD88" s="414"/>
      <c r="AE88" s="414"/>
      <c r="AF88" s="414"/>
      <c r="AG88" s="414"/>
      <c r="AH88" s="414"/>
      <c r="AI88" s="299"/>
      <c r="AJ88" s="300"/>
      <c r="AK88" s="301"/>
    </row>
    <row r="89" spans="1:66">
      <c r="A89" s="401" t="s">
        <v>112</v>
      </c>
      <c r="B89" s="401"/>
      <c r="C89" s="401"/>
      <c r="D89" s="401"/>
      <c r="E89" s="401"/>
      <c r="F89" s="401"/>
      <c r="G89" s="401"/>
      <c r="H89" s="401"/>
      <c r="I89" s="401"/>
      <c r="J89" s="401"/>
      <c r="K89" s="401"/>
      <c r="L89" s="401"/>
      <c r="M89" s="401"/>
      <c r="N89" s="401"/>
      <c r="O89" s="401"/>
      <c r="P89" s="401"/>
      <c r="Q89" s="401"/>
      <c r="R89" s="401"/>
      <c r="S89" s="401"/>
      <c r="T89" s="401"/>
      <c r="U89" s="401"/>
      <c r="V89" s="401"/>
      <c r="W89" s="401"/>
      <c r="X89" s="401"/>
      <c r="Y89" s="401"/>
      <c r="Z89" s="401"/>
      <c r="AA89" s="401"/>
      <c r="AB89" s="401"/>
      <c r="AC89" s="401"/>
      <c r="AD89" s="401"/>
      <c r="AE89" s="401"/>
      <c r="AF89" s="401"/>
      <c r="AG89" s="401"/>
      <c r="AH89" s="401"/>
    </row>
  </sheetData>
  <sheetProtection algorithmName="SHA-512" hashValue="q2FEC1WK+tNTpwhMFB5KE0ilUL+uTO7MsT0CbYNe7jz1CO4IxN2erlan3CbMls62omdMqKerytN/RJA6780mug==" saltValue="WvJTlmYbzXTXoFguaUHpRA==" spinCount="100000" sheet="1" objects="1" scenarios="1"/>
  <mergeCells count="115">
    <mergeCell ref="A89:AH89"/>
    <mergeCell ref="A6:A7"/>
    <mergeCell ref="B6:B7"/>
    <mergeCell ref="AD6:AD7"/>
    <mergeCell ref="AE6:AE7"/>
    <mergeCell ref="AF6:AF7"/>
    <mergeCell ref="AG6:AG7"/>
    <mergeCell ref="AH6:AH7"/>
    <mergeCell ref="Y86:AC88"/>
    <mergeCell ref="AD86:AH88"/>
    <mergeCell ref="Y82:AA83"/>
    <mergeCell ref="AB82:AH83"/>
    <mergeCell ref="Y84:AB85"/>
    <mergeCell ref="AC84:AH85"/>
    <mergeCell ref="A66:B71"/>
    <mergeCell ref="D86:E86"/>
    <mergeCell ref="F86:M86"/>
    <mergeCell ref="N86:O86"/>
    <mergeCell ref="P86:W86"/>
    <mergeCell ref="D87:E87"/>
    <mergeCell ref="F87:M87"/>
    <mergeCell ref="N87:O87"/>
    <mergeCell ref="P87:W87"/>
    <mergeCell ref="D88:E88"/>
    <mergeCell ref="F88:M88"/>
    <mergeCell ref="N88:O88"/>
    <mergeCell ref="P88:W88"/>
    <mergeCell ref="D83:E83"/>
    <mergeCell ref="F83:M83"/>
    <mergeCell ref="N83:O83"/>
    <mergeCell ref="P83:W83"/>
    <mergeCell ref="D84:E84"/>
    <mergeCell ref="F84:M84"/>
    <mergeCell ref="N84:O84"/>
    <mergeCell ref="P84:W84"/>
    <mergeCell ref="D85:E85"/>
    <mergeCell ref="F85:M85"/>
    <mergeCell ref="N85:O85"/>
    <mergeCell ref="P85:W85"/>
    <mergeCell ref="D81:E81"/>
    <mergeCell ref="F81:M81"/>
    <mergeCell ref="N81:O81"/>
    <mergeCell ref="P81:W81"/>
    <mergeCell ref="AA81:AH81"/>
    <mergeCell ref="D82:E82"/>
    <mergeCell ref="F82:M82"/>
    <mergeCell ref="N82:O82"/>
    <mergeCell ref="P82:W82"/>
    <mergeCell ref="Z75:AH75"/>
    <mergeCell ref="AA76:AH76"/>
    <mergeCell ref="AA77:AH77"/>
    <mergeCell ref="AA78:AH78"/>
    <mergeCell ref="C79:W79"/>
    <mergeCell ref="AA79:AH79"/>
    <mergeCell ref="B80:C80"/>
    <mergeCell ref="D80:M80"/>
    <mergeCell ref="N80:W80"/>
    <mergeCell ref="AA80:AH80"/>
    <mergeCell ref="Y65:AC65"/>
    <mergeCell ref="AF65:AH65"/>
    <mergeCell ref="AF66:AH66"/>
    <mergeCell ref="AF67:AH67"/>
    <mergeCell ref="AF68:AH68"/>
    <mergeCell ref="AF69:AH69"/>
    <mergeCell ref="AF70:AH70"/>
    <mergeCell ref="A72:C72"/>
    <mergeCell ref="Z74:AD74"/>
    <mergeCell ref="AE74:AH74"/>
    <mergeCell ref="AF63:AH63"/>
    <mergeCell ref="A64:C64"/>
    <mergeCell ref="D64:E64"/>
    <mergeCell ref="F64:G64"/>
    <mergeCell ref="H64:I64"/>
    <mergeCell ref="J64:K64"/>
    <mergeCell ref="L64:M64"/>
    <mergeCell ref="N64:O64"/>
    <mergeCell ref="P64:Q64"/>
    <mergeCell ref="S64:T64"/>
    <mergeCell ref="V64:W64"/>
    <mergeCell ref="Y64:AC64"/>
    <mergeCell ref="AF64:AH64"/>
    <mergeCell ref="Y6:AC6"/>
    <mergeCell ref="A63:C63"/>
    <mergeCell ref="D63:E63"/>
    <mergeCell ref="F63:G63"/>
    <mergeCell ref="H63:I63"/>
    <mergeCell ref="J63:K63"/>
    <mergeCell ref="L63:M63"/>
    <mergeCell ref="N63:O63"/>
    <mergeCell ref="P63:Q63"/>
    <mergeCell ref="S63:T63"/>
    <mergeCell ref="V63:W63"/>
    <mergeCell ref="Y63:AC63"/>
    <mergeCell ref="D6:E6"/>
    <mergeCell ref="F6:G6"/>
    <mergeCell ref="H6:I6"/>
    <mergeCell ref="J6:K6"/>
    <mergeCell ref="L6:M6"/>
    <mergeCell ref="N6:O6"/>
    <mergeCell ref="P6:R6"/>
    <mergeCell ref="S6:U6"/>
    <mergeCell ref="V6:X6"/>
    <mergeCell ref="A3:AH3"/>
    <mergeCell ref="A4:C4"/>
    <mergeCell ref="D4:R4"/>
    <mergeCell ref="S4:V4"/>
    <mergeCell ref="W4:AB4"/>
    <mergeCell ref="AC4:AF4"/>
    <mergeCell ref="AG4:AH4"/>
    <mergeCell ref="A5:C5"/>
    <mergeCell ref="D5:I5"/>
    <mergeCell ref="J5:M5"/>
    <mergeCell ref="N5:R5"/>
    <mergeCell ref="S5:V5"/>
    <mergeCell ref="W5:AH5"/>
  </mergeCells>
  <conditionalFormatting sqref="B8:B62">
    <cfRule type="expression" dxfId="50" priority="1">
      <formula>$AE8="F"</formula>
    </cfRule>
    <cfRule type="expression" dxfId="49" priority="2">
      <formula>$AE8="R2"</formula>
    </cfRule>
    <cfRule type="expression" dxfId="48" priority="3">
      <formula>$AE8="R1"</formula>
    </cfRule>
    <cfRule type="expression" dxfId="47" priority="4">
      <formula>$AE8="Q2"</formula>
    </cfRule>
    <cfRule type="expression" dxfId="46" priority="5">
      <formula>$AE8="Q1"</formula>
    </cfRule>
    <cfRule type="expression" dxfId="45" priority="21">
      <formula>$AE$8="P"</formula>
    </cfRule>
  </conditionalFormatting>
  <conditionalFormatting sqref="D8:D62">
    <cfRule type="cellIs" dxfId="44" priority="64" operator="between">
      <formula>10</formula>
      <formula>19</formula>
    </cfRule>
    <cfRule type="cellIs" dxfId="43" priority="63" operator="between">
      <formula>20</formula>
      <formula>29</formula>
    </cfRule>
    <cfRule type="cellIs" dxfId="42" priority="62" operator="between">
      <formula>30</formula>
      <formula>39</formula>
    </cfRule>
    <cfRule type="cellIs" dxfId="41" priority="66" operator="between">
      <formula>0</formula>
      <formula>9</formula>
    </cfRule>
    <cfRule type="containsBlanks" dxfId="40" priority="65">
      <formula>LEN(TRIM(D8))=0</formula>
    </cfRule>
  </conditionalFormatting>
  <conditionalFormatting sqref="F8:F62">
    <cfRule type="cellIs" dxfId="39" priority="16" operator="between">
      <formula>30</formula>
      <formula>39</formula>
    </cfRule>
    <cfRule type="cellIs" dxfId="38" priority="17" operator="between">
      <formula>20</formula>
      <formula>29</formula>
    </cfRule>
    <cfRule type="cellIs" dxfId="37" priority="18" operator="between">
      <formula>10</formula>
      <formula>19</formula>
    </cfRule>
    <cfRule type="containsBlanks" dxfId="36" priority="19">
      <formula>LEN(TRIM(F8))=0</formula>
    </cfRule>
    <cfRule type="cellIs" dxfId="35" priority="20" operator="between">
      <formula>0</formula>
      <formula>9</formula>
    </cfRule>
  </conditionalFormatting>
  <conditionalFormatting sqref="H8:H62">
    <cfRule type="cellIs" dxfId="34" priority="13" operator="between">
      <formula>10</formula>
      <formula>19</formula>
    </cfRule>
    <cfRule type="cellIs" dxfId="33" priority="11" operator="between">
      <formula>30</formula>
      <formula>39</formula>
    </cfRule>
    <cfRule type="cellIs" dxfId="32" priority="12" operator="between">
      <formula>20</formula>
      <formula>29</formula>
    </cfRule>
    <cfRule type="containsBlanks" dxfId="31" priority="14">
      <formula>LEN(TRIM(H8))=0</formula>
    </cfRule>
    <cfRule type="cellIs" dxfId="30" priority="15" operator="between">
      <formula>0</formula>
      <formula>9</formula>
    </cfRule>
  </conditionalFormatting>
  <conditionalFormatting sqref="J8:J62">
    <cfRule type="cellIs" dxfId="29" priority="6" operator="between">
      <formula>30</formula>
      <formula>39</formula>
    </cfRule>
    <cfRule type="cellIs" dxfId="28" priority="8" operator="between">
      <formula>10</formula>
      <formula>19</formula>
    </cfRule>
    <cfRule type="containsBlanks" dxfId="27" priority="9">
      <formula>LEN(TRIM(J8))=0</formula>
    </cfRule>
    <cfRule type="cellIs" dxfId="26" priority="10" operator="between">
      <formula>0</formula>
      <formula>9</formula>
    </cfRule>
    <cfRule type="cellIs" dxfId="25" priority="7" operator="between">
      <formula>20</formula>
      <formula>29</formula>
    </cfRule>
  </conditionalFormatting>
  <conditionalFormatting sqref="L8:L62">
    <cfRule type="cellIs" dxfId="24" priority="42" operator="between">
      <formula>30</formula>
      <formula>39</formula>
    </cfRule>
    <cfRule type="cellIs" dxfId="23" priority="43" operator="between">
      <formula>20</formula>
      <formula>29</formula>
    </cfRule>
    <cfRule type="cellIs" dxfId="22" priority="44" operator="between">
      <formula>10</formula>
      <formula>19</formula>
    </cfRule>
    <cfRule type="cellIs" dxfId="21" priority="46" operator="between">
      <formula>0</formula>
      <formula>9</formula>
    </cfRule>
    <cfRule type="containsBlanks" dxfId="20" priority="45">
      <formula>LEN(TRIM(L8))=0</formula>
    </cfRule>
  </conditionalFormatting>
  <conditionalFormatting sqref="N8:N62">
    <cfRule type="cellIs" dxfId="19" priority="37" operator="between">
      <formula>30</formula>
      <formula>39</formula>
    </cfRule>
    <cfRule type="cellIs" dxfId="18" priority="38" operator="between">
      <formula>20</formula>
      <formula>29</formula>
    </cfRule>
    <cfRule type="containsBlanks" dxfId="17" priority="40">
      <formula>LEN(TRIM(N8))=0</formula>
    </cfRule>
    <cfRule type="cellIs" dxfId="16" priority="41" operator="between">
      <formula>0</formula>
      <formula>9</formula>
    </cfRule>
    <cfRule type="cellIs" dxfId="15" priority="39" operator="between">
      <formula>10</formula>
      <formula>19</formula>
    </cfRule>
  </conditionalFormatting>
  <conditionalFormatting sqref="P8:P62">
    <cfRule type="cellIs" dxfId="14" priority="33" operator="between">
      <formula>20</formula>
      <formula>29</formula>
    </cfRule>
    <cfRule type="cellIs" dxfId="13" priority="34" operator="between">
      <formula>10</formula>
      <formula>19</formula>
    </cfRule>
    <cfRule type="containsBlanks" dxfId="12" priority="35">
      <formula>LEN(TRIM(P8))=0</formula>
    </cfRule>
    <cfRule type="cellIs" dxfId="11" priority="36" operator="between">
      <formula>0</formula>
      <formula>9</formula>
    </cfRule>
    <cfRule type="cellIs" dxfId="10" priority="32" operator="between">
      <formula>30</formula>
      <formula>39</formula>
    </cfRule>
  </conditionalFormatting>
  <conditionalFormatting sqref="S8:S62">
    <cfRule type="cellIs" dxfId="9" priority="26" operator="between">
      <formula>0</formula>
      <formula>9</formula>
    </cfRule>
    <cfRule type="containsBlanks" dxfId="8" priority="25">
      <formula>LEN(TRIM(S8))=0</formula>
    </cfRule>
    <cfRule type="cellIs" dxfId="7" priority="24" operator="between">
      <formula>10</formula>
      <formula>19</formula>
    </cfRule>
    <cfRule type="cellIs" dxfId="6" priority="23" operator="between">
      <formula>20</formula>
      <formula>29</formula>
    </cfRule>
    <cfRule type="cellIs" dxfId="5" priority="22" operator="between">
      <formula>30</formula>
      <formula>39</formula>
    </cfRule>
  </conditionalFormatting>
  <conditionalFormatting sqref="V8:V62">
    <cfRule type="cellIs" dxfId="4" priority="27" operator="between">
      <formula>30</formula>
      <formula>39</formula>
    </cfRule>
    <cfRule type="cellIs" dxfId="3" priority="28" operator="between">
      <formula>20</formula>
      <formula>29</formula>
    </cfRule>
    <cfRule type="cellIs" dxfId="2" priority="29" operator="between">
      <formula>10</formula>
      <formula>19</formula>
    </cfRule>
    <cfRule type="containsBlanks" dxfId="1" priority="30">
      <formula>LEN(TRIM(V8))=0</formula>
    </cfRule>
    <cfRule type="cellIs" dxfId="0" priority="31" operator="between">
      <formula>0</formula>
      <formula>9</formula>
    </cfRule>
  </conditionalFormatting>
  <dataValidations count="9">
    <dataValidation type="custom" allowBlank="1" showInputMessage="1" showErrorMessage="1" sqref="AK6" xr:uid="{00000000-0002-0000-0900-000000000000}">
      <formula1>EXACT(AK6,LOWER(AK10))</formula1>
    </dataValidation>
    <dataValidation type="custom" allowBlank="1" showInputMessage="1" showErrorMessage="1" sqref="AI74" xr:uid="{00000000-0002-0000-0900-000001000000}">
      <formula1>OR(AND(AI74&gt;=0,AI74&lt;=100),AI74="ab")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8:D10 F8:F10 H8:H10 J8:J10 L8:L10 N8:N10 P8:P10 S8:S10 V8:V10" xr:uid="{00000000-0002-0000-0900-000002000000}">
      <formula1>OR(AND(D8:D62&gt;=0,D8:D62&lt;=100),D8:D62="ab")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11:D23 F11:F23 H11:H23 J11:J23 L11:L23 N11:N23 P11:P23 S11:S23 V11:V23" xr:uid="{00000000-0002-0000-0900-000003000000}">
      <formula1>OR(AND(D11:D66&gt;=0,D11:D66&lt;=100),D11:D66="ab")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24:D53 F24:F53 H24:H53 J24:J53 L24:L53 N24:N53 P24:P53 S24:S53 V24:V53" xr:uid="{00000000-0002-0000-0900-000004000000}">
      <formula1>OR(AND(D24:D83&gt;=0,D24:D83&lt;=100),D24:D83="ab")</formula1>
    </dataValidation>
    <dataValidation type="custom" allowBlank="1" showInputMessage="1" showErrorMessage="1" errorTitle="Error" error=" Please enter a number between 0 to 100 or 'ab' for absentees._x000a_ Click 'Cancel' to enter new value._x000a_කරුණාකර 0 ත් 100 ත් අතර සංඛ්‍යාවක් හෝ නොපැමිණි සිසුන් සඳහා 'ab' පමණක් ඇතුලත් කරන්න._x000a_ නව අගයක් ඇතුලත් කිරීමට 'Cancel' ඔබන්න." sqref="D54:D62 F54:F62 H54:H62 J54:J62 L54:L62 N54:N62 P54:P62 S54:S62 V54:V62" xr:uid="{00000000-0002-0000-0900-000005000000}">
      <formula1>OR(AND(D54:D114&gt;=0,D54:D114&lt;=100),D54:D114="ab")</formula1>
    </dataValidation>
    <dataValidation type="list" allowBlank="1" showInputMessage="1" showErrorMessage="1" sqref="R8:R62" xr:uid="{00000000-0002-0000-0900-000006000000}">
      <formula1>$B$81:$B$88</formula1>
    </dataValidation>
    <dataValidation type="list" allowBlank="1" showInputMessage="1" showErrorMessage="1" sqref="U8:U62" xr:uid="{00000000-0002-0000-0900-000007000000}">
      <formula1>$D$81:$D$88</formula1>
    </dataValidation>
    <dataValidation type="list" allowBlank="1" showInputMessage="1" showErrorMessage="1" sqref="X8:X62" xr:uid="{00000000-0002-0000-0900-000008000000}">
      <formula1>$N$81:$N$88</formula1>
    </dataValidation>
  </dataValidations>
  <pageMargins left="0.196850393700787" right="0.196850393700787" top="0.23622047244094499" bottom="0" header="0.31496062992126" footer="0.31496062992126"/>
  <pageSetup paperSize="8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1:V471"/>
  <sheetViews>
    <sheetView workbookViewId="0">
      <selection activeCell="N4" sqref="E3:H3 E4:H4 K3:L3 K4:L4 N3:P3 N4:P4"/>
    </sheetView>
  </sheetViews>
  <sheetFormatPr defaultColWidth="9.109375" defaultRowHeight="15.6"/>
  <cols>
    <col min="1" max="2" width="3.88671875" style="75" customWidth="1"/>
    <col min="3" max="3" width="18.88671875" style="86" customWidth="1"/>
    <col min="4" max="4" width="6.44140625" style="75" customWidth="1"/>
    <col min="5" max="15" width="6.88671875" style="75" customWidth="1"/>
    <col min="16" max="16" width="8" style="75" customWidth="1"/>
    <col min="17" max="19" width="4" style="75" customWidth="1"/>
    <col min="20" max="23" width="4.5546875" style="75" customWidth="1"/>
    <col min="24" max="16384" width="9.109375" style="75"/>
  </cols>
  <sheetData>
    <row r="1" spans="3:16" ht="27" customHeight="1"/>
    <row r="2" spans="3:16" s="83" customFormat="1" ht="25.5" customHeight="1">
      <c r="C2" s="421" t="s">
        <v>161</v>
      </c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</row>
    <row r="3" spans="3:16" s="84" customFormat="1" ht="17.25" customHeight="1">
      <c r="C3" s="422" t="s">
        <v>1</v>
      </c>
      <c r="D3" s="423"/>
      <c r="E3" s="424"/>
      <c r="F3" s="425"/>
      <c r="G3" s="425"/>
      <c r="H3" s="426"/>
      <c r="I3" s="427" t="s">
        <v>3</v>
      </c>
      <c r="J3" s="428"/>
      <c r="K3" s="424"/>
      <c r="L3" s="426"/>
      <c r="M3" s="134" t="s">
        <v>2</v>
      </c>
      <c r="N3" s="429"/>
      <c r="O3" s="430"/>
      <c r="P3" s="431"/>
    </row>
    <row r="4" spans="3:16" ht="17.25" customHeight="1">
      <c r="C4" s="422" t="s">
        <v>162</v>
      </c>
      <c r="D4" s="423"/>
      <c r="E4" s="432"/>
      <c r="F4" s="433"/>
      <c r="G4" s="433"/>
      <c r="H4" s="434"/>
      <c r="I4" s="427" t="s">
        <v>5</v>
      </c>
      <c r="J4" s="428"/>
      <c r="K4" s="424"/>
      <c r="L4" s="426"/>
      <c r="M4" s="135" t="s">
        <v>6</v>
      </c>
      <c r="N4" s="435"/>
      <c r="O4" s="436"/>
      <c r="P4" s="437"/>
    </row>
    <row r="5" spans="3:16" ht="21.75" customHeight="1">
      <c r="C5" s="438" t="s">
        <v>163</v>
      </c>
      <c r="D5" s="439"/>
      <c r="E5" s="87" t="s">
        <v>28</v>
      </c>
      <c r="F5" s="87" t="s">
        <v>29</v>
      </c>
      <c r="G5" s="88" t="s">
        <v>30</v>
      </c>
      <c r="H5" s="87" t="s">
        <v>164</v>
      </c>
      <c r="I5" s="87" t="s">
        <v>165</v>
      </c>
      <c r="J5" s="88" t="s">
        <v>71</v>
      </c>
      <c r="K5" s="87" t="s">
        <v>26</v>
      </c>
      <c r="L5" s="87" t="s">
        <v>166</v>
      </c>
      <c r="M5" s="88" t="s">
        <v>167</v>
      </c>
      <c r="N5" s="136" t="s">
        <v>168</v>
      </c>
      <c r="O5" s="87" t="s">
        <v>33</v>
      </c>
      <c r="P5" s="87" t="s">
        <v>169</v>
      </c>
    </row>
    <row r="6" spans="3:16" s="85" customFormat="1" ht="12" customHeight="1">
      <c r="C6" s="442" t="s">
        <v>170</v>
      </c>
      <c r="D6" s="89" t="s">
        <v>171</v>
      </c>
      <c r="E6" s="90" t="str">
        <f>IF(A!$AD64="","",A!$AD64)</f>
        <v/>
      </c>
      <c r="F6" s="91" t="str">
        <f>IF(B!$AD64="","",B!$AD64)</f>
        <v/>
      </c>
      <c r="G6" s="90" t="str">
        <f>IF('C'!$AD64="","",'C'!$AD64)</f>
        <v/>
      </c>
      <c r="H6" s="91" t="str">
        <f>IF(D!$AD64="","",D!$AD64)</f>
        <v/>
      </c>
      <c r="I6" s="90" t="str">
        <f>IF(E!$AD64="","",E!$AD64)</f>
        <v/>
      </c>
      <c r="J6" s="91" t="str">
        <f>IF(F!$AD64="","",F!$AD64)</f>
        <v/>
      </c>
      <c r="K6" s="90">
        <f>IF(G!$AD64="","",G!$AD64)</f>
        <v>40</v>
      </c>
      <c r="L6" s="91" t="str">
        <f>IF(H!$AD64="","",H!$AD64)</f>
        <v/>
      </c>
      <c r="M6" s="90" t="str">
        <f>IF(I!$AD64="","",I!$AD64)</f>
        <v/>
      </c>
      <c r="N6" s="137" t="str">
        <f>IF(J!$AD64="","",J!$AD64)</f>
        <v/>
      </c>
      <c r="O6" s="91">
        <f t="shared" ref="O6:O17" si="0">IF(AND(E6="",F6="",G6="",H6="",I6="",J6="",K6="",L6="",M6="",N6=""),"",SUM(E6:N6))</f>
        <v>40</v>
      </c>
      <c r="P6" s="138">
        <f>IF($O6="","",($O6/$O$9*100))</f>
        <v>86.956521739130395</v>
      </c>
    </row>
    <row r="7" spans="3:16" s="85" customFormat="1" ht="12" customHeight="1">
      <c r="C7" s="443"/>
      <c r="D7" s="92" t="s">
        <v>172</v>
      </c>
      <c r="E7" s="93" t="str">
        <f>IF(A!$AD65="","",A!$AD65)</f>
        <v/>
      </c>
      <c r="F7" s="92" t="str">
        <f>IF(B!$AD65="","",B!$AD65)</f>
        <v/>
      </c>
      <c r="G7" s="93" t="str">
        <f>IF('C'!$AD65="","",'C'!$AD65)</f>
        <v/>
      </c>
      <c r="H7" s="92" t="str">
        <f>IF(D!$AD65="","",D!$AD65)</f>
        <v/>
      </c>
      <c r="I7" s="93" t="str">
        <f>IF(E!$AD65="","",E!$AD65)</f>
        <v/>
      </c>
      <c r="J7" s="92" t="str">
        <f>IF(F!$AD65="","",F!$AD65)</f>
        <v/>
      </c>
      <c r="K7" s="93">
        <f>IF(G!$AD65="","",G!$AD65)</f>
        <v>5</v>
      </c>
      <c r="L7" s="92" t="str">
        <f>IF(H!$AD65="","",H!$AD65)</f>
        <v/>
      </c>
      <c r="M7" s="93" t="str">
        <f>IF(I!$AD65="","",I!$AD65)</f>
        <v/>
      </c>
      <c r="N7" s="139" t="str">
        <f>IF(J!$AD65="","",J!$AD65)</f>
        <v/>
      </c>
      <c r="O7" s="92">
        <f t="shared" si="0"/>
        <v>5</v>
      </c>
      <c r="P7" s="140">
        <f t="shared" ref="P7:P17" si="1">IF($O7="","",($O7/$O$9*100))</f>
        <v>10.869565217391299</v>
      </c>
    </row>
    <row r="8" spans="3:16" s="85" customFormat="1" ht="12.75" customHeight="1">
      <c r="C8" s="443"/>
      <c r="D8" s="94" t="s">
        <v>47</v>
      </c>
      <c r="E8" s="95" t="str">
        <f>IF(A!$AD63="","",A!$AD63)</f>
        <v/>
      </c>
      <c r="F8" s="94" t="str">
        <f>IF(B!$AD63="","",B!$AD63)</f>
        <v/>
      </c>
      <c r="G8" s="95" t="str">
        <f>IF('C'!$AD63="","",'C'!$AD63)</f>
        <v/>
      </c>
      <c r="H8" s="94" t="str">
        <f>IF(D!$AD63="","",D!$AD63)</f>
        <v/>
      </c>
      <c r="I8" s="95" t="str">
        <f>IF(E!$AD63="","",E!$AD63)</f>
        <v/>
      </c>
      <c r="J8" s="94" t="str">
        <f>IF(F!$AD63="","",F!$AD63)</f>
        <v/>
      </c>
      <c r="K8" s="95">
        <f>IF(G!$AD63="","",G!$AD63)</f>
        <v>1</v>
      </c>
      <c r="L8" s="94" t="str">
        <f>IF(H!$AD63="","",H!$AD63)</f>
        <v/>
      </c>
      <c r="M8" s="95" t="str">
        <f>IF(I!$AD63="","",I!$AD63)</f>
        <v/>
      </c>
      <c r="N8" s="141" t="str">
        <f>IF(J!$AD63="","",J!$AD63)</f>
        <v/>
      </c>
      <c r="O8" s="94">
        <f t="shared" si="0"/>
        <v>1</v>
      </c>
      <c r="P8" s="142">
        <f t="shared" si="1"/>
        <v>2.1739130434782599</v>
      </c>
    </row>
    <row r="9" spans="3:16" s="85" customFormat="1" ht="12.75" customHeight="1">
      <c r="C9" s="444"/>
      <c r="D9" s="96" t="s">
        <v>33</v>
      </c>
      <c r="E9" s="96" t="str">
        <f>IF(AND(E6="",E7="",E8=""),"",(SUM(E6:E8)))</f>
        <v/>
      </c>
      <c r="F9" s="96" t="str">
        <f t="shared" ref="F9:N9" si="2">IF(AND(F6="",F7="",F8=""),"",(SUM(F6:F8)))</f>
        <v/>
      </c>
      <c r="G9" s="96" t="str">
        <f t="shared" si="2"/>
        <v/>
      </c>
      <c r="H9" s="96" t="str">
        <f t="shared" si="2"/>
        <v/>
      </c>
      <c r="I9" s="96" t="str">
        <f t="shared" si="2"/>
        <v/>
      </c>
      <c r="J9" s="96" t="str">
        <f t="shared" si="2"/>
        <v/>
      </c>
      <c r="K9" s="96">
        <f t="shared" si="2"/>
        <v>46</v>
      </c>
      <c r="L9" s="96" t="str">
        <f t="shared" si="2"/>
        <v/>
      </c>
      <c r="M9" s="96" t="str">
        <f t="shared" si="2"/>
        <v/>
      </c>
      <c r="N9" s="143" t="str">
        <f t="shared" si="2"/>
        <v/>
      </c>
      <c r="O9" s="96">
        <f t="shared" si="0"/>
        <v>46</v>
      </c>
      <c r="P9" s="144">
        <f t="shared" si="1"/>
        <v>100</v>
      </c>
    </row>
    <row r="10" spans="3:16" s="85" customFormat="1" ht="12.75" customHeight="1">
      <c r="C10" s="445" t="s">
        <v>173</v>
      </c>
      <c r="D10" s="97" t="s">
        <v>47</v>
      </c>
      <c r="E10" s="98" t="str">
        <f>IF(A!$AE63="","",A!$AE63)</f>
        <v/>
      </c>
      <c r="F10" s="99" t="str">
        <f>IF(B!$AE63="","",B!$AE63)</f>
        <v/>
      </c>
      <c r="G10" s="98" t="str">
        <f>IF('C'!$AE63="","",'C'!$AE63)</f>
        <v/>
      </c>
      <c r="H10" s="99" t="str">
        <f>IF(D!$AE63="","",D!$AE63)</f>
        <v/>
      </c>
      <c r="I10" s="98" t="str">
        <f>IF(E!$AE63="","",E!$AE63)</f>
        <v/>
      </c>
      <c r="J10" s="99" t="str">
        <f>IF(F!$AE63="","",F!$AE63)</f>
        <v/>
      </c>
      <c r="K10" s="98">
        <f>IF(G!$AE63="","",G!$AE63)</f>
        <v>0</v>
      </c>
      <c r="L10" s="99" t="str">
        <f>IF(H!$AE63="","",H!$AE63)</f>
        <v/>
      </c>
      <c r="M10" s="98" t="str">
        <f>IF(I!$AE63="","",I!$AE63)</f>
        <v/>
      </c>
      <c r="N10" s="99" t="str">
        <f>IF(J!$AE63="","",J!$AE63)</f>
        <v/>
      </c>
      <c r="O10" s="98">
        <f t="shared" si="0"/>
        <v>0</v>
      </c>
      <c r="P10" s="145">
        <f t="shared" si="1"/>
        <v>0</v>
      </c>
    </row>
    <row r="11" spans="3:16" s="85" customFormat="1" ht="12.75" customHeight="1">
      <c r="C11" s="446"/>
      <c r="D11" s="100" t="s">
        <v>53</v>
      </c>
      <c r="E11" s="101" t="str">
        <f>IF(A!$AE64="","",A!$AE64)</f>
        <v/>
      </c>
      <c r="F11" s="102" t="str">
        <f>IF(B!$AE64="","",B!$AE64)</f>
        <v/>
      </c>
      <c r="G11" s="101" t="str">
        <f>IF('C'!$AE64="","",'C'!$AE64)</f>
        <v/>
      </c>
      <c r="H11" s="102" t="str">
        <f>IF(D!$AE64="","",D!$AE64)</f>
        <v/>
      </c>
      <c r="I11" s="101" t="str">
        <f>IF(E!$AE64="","",E!$AE64)</f>
        <v/>
      </c>
      <c r="J11" s="102" t="str">
        <f>IF(F!$AE64="","",F!$AE64)</f>
        <v/>
      </c>
      <c r="K11" s="101">
        <f>IF(G!$AE64="","",G!$AE64)</f>
        <v>40</v>
      </c>
      <c r="L11" s="102" t="str">
        <f>IF(H!$AE64="","",H!$AE64)</f>
        <v/>
      </c>
      <c r="M11" s="101" t="str">
        <f>IF(I!$AE64="","",I!$AE64)</f>
        <v/>
      </c>
      <c r="N11" s="102" t="str">
        <f>IF(J!$AE64="","",J!$AE64)</f>
        <v/>
      </c>
      <c r="O11" s="101">
        <f t="shared" si="0"/>
        <v>40</v>
      </c>
      <c r="P11" s="146">
        <f t="shared" si="1"/>
        <v>86.956521739130395</v>
      </c>
    </row>
    <row r="12" spans="3:16" s="85" customFormat="1" ht="12.75" customHeight="1">
      <c r="C12" s="446"/>
      <c r="D12" s="100" t="s">
        <v>56</v>
      </c>
      <c r="E12" s="101" t="str">
        <f>IF(A!$AE65="","",A!$AE65)</f>
        <v/>
      </c>
      <c r="F12" s="102" t="str">
        <f>IF(B!$AE65="","",B!$AE65)</f>
        <v/>
      </c>
      <c r="G12" s="101" t="str">
        <f>IF('C'!$AE65="","",'C'!$AE65)</f>
        <v/>
      </c>
      <c r="H12" s="102" t="str">
        <f>IF(D!$AE65="","",D!$AE65)</f>
        <v/>
      </c>
      <c r="I12" s="101" t="str">
        <f>IF(E!$AE65="","",E!$AE65)</f>
        <v/>
      </c>
      <c r="J12" s="102" t="str">
        <f>IF(F!$AE65="","",F!$AE65)</f>
        <v/>
      </c>
      <c r="K12" s="101">
        <f>IF(G!$AE65="","",G!$AE65)</f>
        <v>0</v>
      </c>
      <c r="L12" s="102" t="str">
        <f>IF(H!$AE65="","",H!$AE65)</f>
        <v/>
      </c>
      <c r="M12" s="101" t="str">
        <f>IF(I!$AE65="","",I!$AE65)</f>
        <v/>
      </c>
      <c r="N12" s="102" t="str">
        <f>IF(J!$AE65="","",J!$AE65)</f>
        <v/>
      </c>
      <c r="O12" s="101">
        <f t="shared" si="0"/>
        <v>0</v>
      </c>
      <c r="P12" s="146">
        <f t="shared" si="1"/>
        <v>0</v>
      </c>
    </row>
    <row r="13" spans="3:16" s="85" customFormat="1" ht="12.75" customHeight="1">
      <c r="C13" s="446"/>
      <c r="D13" s="100" t="s">
        <v>58</v>
      </c>
      <c r="E13" s="101" t="str">
        <f>IF(A!$AE66="","",A!$AE66)</f>
        <v/>
      </c>
      <c r="F13" s="102" t="str">
        <f>IF(B!$AE66="","",B!$AE66)</f>
        <v/>
      </c>
      <c r="G13" s="101" t="str">
        <f>IF('C'!$AE66="","",'C'!$AE66)</f>
        <v/>
      </c>
      <c r="H13" s="102" t="str">
        <f>IF(D!$AE66="","",D!$AE66)</f>
        <v/>
      </c>
      <c r="I13" s="101" t="str">
        <f>IF(E!$AE66="","",E!$AE66)</f>
        <v/>
      </c>
      <c r="J13" s="102" t="str">
        <f>IF(F!$AE66="","",F!$AE66)</f>
        <v/>
      </c>
      <c r="K13" s="101">
        <f>IF(G!$AE66="","",G!$AE66)</f>
        <v>2</v>
      </c>
      <c r="L13" s="102" t="str">
        <f>IF(H!$AE66="","",H!$AE66)</f>
        <v/>
      </c>
      <c r="M13" s="101" t="str">
        <f>IF(I!$AE66="","",I!$AE66)</f>
        <v/>
      </c>
      <c r="N13" s="102" t="str">
        <f>IF(J!$AE66="","",J!$AE66)</f>
        <v/>
      </c>
      <c r="O13" s="101">
        <f t="shared" si="0"/>
        <v>2</v>
      </c>
      <c r="P13" s="146">
        <f t="shared" si="1"/>
        <v>4.3478260869565197</v>
      </c>
    </row>
    <row r="14" spans="3:16" s="85" customFormat="1" ht="12.75" customHeight="1">
      <c r="C14" s="446"/>
      <c r="D14" s="100" t="s">
        <v>61</v>
      </c>
      <c r="E14" s="101" t="str">
        <f>IF(A!$AE67="","",A!$AE67)</f>
        <v/>
      </c>
      <c r="F14" s="102" t="str">
        <f>IF(B!$AE67="","",B!$AE67)</f>
        <v/>
      </c>
      <c r="G14" s="101" t="str">
        <f>IF('C'!$AE67="","",'C'!$AE67)</f>
        <v/>
      </c>
      <c r="H14" s="102" t="str">
        <f>IF(D!$AE67="","",D!$AE67)</f>
        <v/>
      </c>
      <c r="I14" s="101" t="str">
        <f>IF(E!$AE67="","",E!$AE67)</f>
        <v/>
      </c>
      <c r="J14" s="102" t="str">
        <f>IF(F!$AE67="","",F!$AE67)</f>
        <v/>
      </c>
      <c r="K14" s="101">
        <f>IF(G!$AE67="","",G!$AE67)</f>
        <v>0</v>
      </c>
      <c r="L14" s="102" t="str">
        <f>IF(H!$AE67="","",H!$AE67)</f>
        <v/>
      </c>
      <c r="M14" s="101" t="str">
        <f>IF(I!$AE67="","",I!$AE67)</f>
        <v/>
      </c>
      <c r="N14" s="102" t="str">
        <f>IF(J!$AE67="","",J!$AE67)</f>
        <v/>
      </c>
      <c r="O14" s="101">
        <f t="shared" si="0"/>
        <v>0</v>
      </c>
      <c r="P14" s="146">
        <f t="shared" si="1"/>
        <v>0</v>
      </c>
    </row>
    <row r="15" spans="3:16" s="85" customFormat="1" ht="12.75" customHeight="1">
      <c r="C15" s="446"/>
      <c r="D15" s="100" t="s">
        <v>63</v>
      </c>
      <c r="E15" s="101" t="str">
        <f>IF(A!$AE68="","",A!$AE68)</f>
        <v/>
      </c>
      <c r="F15" s="102" t="str">
        <f>IF(B!$AE68="","",B!$AE68)</f>
        <v/>
      </c>
      <c r="G15" s="101" t="str">
        <f>IF('C'!$AE68="","",'C'!$AE68)</f>
        <v/>
      </c>
      <c r="H15" s="102" t="str">
        <f>IF(D!$AE68="","",D!$AE68)</f>
        <v/>
      </c>
      <c r="I15" s="101" t="str">
        <f>IF(E!$AE68="","",E!$AE68)</f>
        <v/>
      </c>
      <c r="J15" s="102" t="str">
        <f>IF(F!$AE68="","",F!$AE68)</f>
        <v/>
      </c>
      <c r="K15" s="101">
        <f>IF(G!$AE68="","",G!$AE68)</f>
        <v>3</v>
      </c>
      <c r="L15" s="102" t="str">
        <f>IF(H!$AE68="","",H!$AE68)</f>
        <v/>
      </c>
      <c r="M15" s="101" t="str">
        <f>IF(I!$AE68="","",I!$AE68)</f>
        <v/>
      </c>
      <c r="N15" s="102" t="str">
        <f>IF(J!$AE68="","",J!$AE68)</f>
        <v/>
      </c>
      <c r="O15" s="101">
        <f t="shared" si="0"/>
        <v>3</v>
      </c>
      <c r="P15" s="146">
        <f t="shared" si="1"/>
        <v>6.5217391304347796</v>
      </c>
    </row>
    <row r="16" spans="3:16" s="85" customFormat="1" ht="12.75" customHeight="1">
      <c r="C16" s="447"/>
      <c r="D16" s="103" t="s">
        <v>71</v>
      </c>
      <c r="E16" s="98" t="str">
        <f>IF(A!$AE69="","",A!$AE69)</f>
        <v/>
      </c>
      <c r="F16" s="99" t="str">
        <f>IF(B!$AE69="","",B!$AE69)</f>
        <v/>
      </c>
      <c r="G16" s="98" t="str">
        <f>IF('C'!$AE69="","",'C'!$AE69)</f>
        <v/>
      </c>
      <c r="H16" s="99" t="str">
        <f>IF(D!$AE69="","",D!$AE69)</f>
        <v/>
      </c>
      <c r="I16" s="98" t="str">
        <f>IF(E!$AE69="","",E!$AE69)</f>
        <v/>
      </c>
      <c r="J16" s="99" t="str">
        <f>IF(F!$AE69="","",F!$AE69)</f>
        <v/>
      </c>
      <c r="K16" s="98">
        <f>IF(G!$AE69="","",G!$AE69)</f>
        <v>0</v>
      </c>
      <c r="L16" s="99" t="str">
        <f>IF(H!$AE69="","",H!$AE69)</f>
        <v/>
      </c>
      <c r="M16" s="98" t="str">
        <f>IF(I!$AE69="","",I!$AE69)</f>
        <v/>
      </c>
      <c r="N16" s="99" t="str">
        <f>IF(J!$AE69="","",J!$AE69)</f>
        <v/>
      </c>
      <c r="O16" s="98">
        <f t="shared" si="0"/>
        <v>0</v>
      </c>
      <c r="P16" s="145">
        <f t="shared" si="1"/>
        <v>0</v>
      </c>
    </row>
    <row r="17" spans="3:16" s="85" customFormat="1" ht="17.25" customHeight="1">
      <c r="C17" s="104" t="s">
        <v>174</v>
      </c>
      <c r="D17" s="105" t="s">
        <v>33</v>
      </c>
      <c r="E17" s="106" t="str">
        <f t="shared" ref="E17:N17" si="3">IF(AND(E11="",E12="",E13="",E14="",E15=""),"",(SUM(E11:E15)))</f>
        <v/>
      </c>
      <c r="F17" s="107" t="str">
        <f t="shared" si="3"/>
        <v/>
      </c>
      <c r="G17" s="108" t="str">
        <f t="shared" si="3"/>
        <v/>
      </c>
      <c r="H17" s="107" t="str">
        <f t="shared" si="3"/>
        <v/>
      </c>
      <c r="I17" s="108" t="str">
        <f t="shared" si="3"/>
        <v/>
      </c>
      <c r="J17" s="107" t="str">
        <f t="shared" si="3"/>
        <v/>
      </c>
      <c r="K17" s="108">
        <f t="shared" si="3"/>
        <v>45</v>
      </c>
      <c r="L17" s="107" t="str">
        <f t="shared" si="3"/>
        <v/>
      </c>
      <c r="M17" s="108" t="str">
        <f t="shared" si="3"/>
        <v/>
      </c>
      <c r="N17" s="106" t="str">
        <f t="shared" si="3"/>
        <v/>
      </c>
      <c r="O17" s="107">
        <f t="shared" si="0"/>
        <v>45</v>
      </c>
      <c r="P17" s="147">
        <f t="shared" si="1"/>
        <v>97.826086956521706</v>
      </c>
    </row>
    <row r="18" spans="3:16" s="85" customFormat="1" ht="17.25" customHeight="1">
      <c r="C18" s="109" t="s">
        <v>175</v>
      </c>
      <c r="D18" s="110" t="s">
        <v>169</v>
      </c>
      <c r="E18" s="111" t="str">
        <f>IF(E17="","",(E17/E9*100))</f>
        <v/>
      </c>
      <c r="F18" s="111" t="str">
        <f t="shared" ref="F18:N18" si="4">IF(F17="","",IF(F17=0,0,(F17/F9*100)))</f>
        <v/>
      </c>
      <c r="G18" s="111" t="str">
        <f t="shared" si="4"/>
        <v/>
      </c>
      <c r="H18" s="111" t="str">
        <f t="shared" si="4"/>
        <v/>
      </c>
      <c r="I18" s="111" t="str">
        <f t="shared" si="4"/>
        <v/>
      </c>
      <c r="J18" s="111" t="str">
        <f t="shared" si="4"/>
        <v/>
      </c>
      <c r="K18" s="111">
        <f t="shared" si="4"/>
        <v>97.826086956521706</v>
      </c>
      <c r="L18" s="111" t="str">
        <f t="shared" si="4"/>
        <v/>
      </c>
      <c r="M18" s="111" t="str">
        <f t="shared" si="4"/>
        <v/>
      </c>
      <c r="N18" s="111" t="str">
        <f t="shared" si="4"/>
        <v/>
      </c>
      <c r="O18" s="148">
        <f>IF(O17="","",(O17/O9*100))</f>
        <v>97.826086956521706</v>
      </c>
      <c r="P18" s="148">
        <f>IF(P17="","",P17)</f>
        <v>97.826086956521706</v>
      </c>
    </row>
    <row r="19" spans="3:16" s="85" customFormat="1" ht="12.75" customHeight="1">
      <c r="C19" s="448" t="s">
        <v>9</v>
      </c>
      <c r="D19" s="112" t="s">
        <v>28</v>
      </c>
      <c r="E19" s="113" t="str">
        <f>IF(A!$E66="","",A!$E66)</f>
        <v/>
      </c>
      <c r="F19" s="114" t="str">
        <f>IF(B!$E66="","",B!$E66)</f>
        <v/>
      </c>
      <c r="G19" s="113" t="str">
        <f>IF('C'!$E66="","",'C'!$E66)</f>
        <v/>
      </c>
      <c r="H19" s="114" t="str">
        <f>IF(D!$E66="","",D!$E66)</f>
        <v/>
      </c>
      <c r="I19" s="113" t="str">
        <f>IF(E!$E66="","",E!$E66)</f>
        <v/>
      </c>
      <c r="J19" s="114" t="str">
        <f>IF(F!$E66="","",F!$E66)</f>
        <v/>
      </c>
      <c r="K19" s="113">
        <f>IF(G!$E66="","",G!$E66)</f>
        <v>13</v>
      </c>
      <c r="L19" s="114" t="str">
        <f>IF(H!$E66="","",H!$E66)</f>
        <v/>
      </c>
      <c r="M19" s="113" t="str">
        <f>IF(I!$E66="","",I!$E66)</f>
        <v/>
      </c>
      <c r="N19" s="149" t="str">
        <f>IF(J!$E66="","",J!$E66)</f>
        <v/>
      </c>
      <c r="O19" s="114">
        <f>IF(AND(E19="",F19="",G19="",H19="",I19="",J19="",K19="",L19="",M19="",N19=""),"",SUM(E19:N19))</f>
        <v>13</v>
      </c>
      <c r="P19" s="150">
        <f>IF($O19="","",($O19/$O$9*100))</f>
        <v>28.260869565217401</v>
      </c>
    </row>
    <row r="20" spans="3:16" s="85" customFormat="1" ht="12.75" customHeight="1">
      <c r="C20" s="449"/>
      <c r="D20" s="115" t="s">
        <v>29</v>
      </c>
      <c r="E20" s="102" t="str">
        <f>IF(A!$E67="","",A!$E67)</f>
        <v/>
      </c>
      <c r="F20" s="101" t="str">
        <f>IF(B!$E67="","",B!$E67)</f>
        <v/>
      </c>
      <c r="G20" s="102" t="str">
        <f>IF('C'!$E67="","",'C'!$E67)</f>
        <v/>
      </c>
      <c r="H20" s="101" t="str">
        <f>IF(D!$E67="","",D!$E67)</f>
        <v/>
      </c>
      <c r="I20" s="102" t="str">
        <f>IF(E!$E67="","",E!$E67)</f>
        <v/>
      </c>
      <c r="J20" s="101" t="str">
        <f>IF(F!$E67="","",F!$E67)</f>
        <v/>
      </c>
      <c r="K20" s="102">
        <f>IF(G!$E67="","",G!$E67)</f>
        <v>14</v>
      </c>
      <c r="L20" s="101" t="str">
        <f>IF(H!$E67="","",H!$E67)</f>
        <v/>
      </c>
      <c r="M20" s="102" t="str">
        <f>IF(I!$E67="","",I!$E67)</f>
        <v/>
      </c>
      <c r="N20" s="100" t="str">
        <f>IF(J!$E67="","",J!$E67)</f>
        <v/>
      </c>
      <c r="O20" s="101">
        <f t="shared" ref="O20:O97" si="5">IF(AND(E20="",F20="",G20="",H20="",I20="",J20="",K20="",L20="",M20="",N20=""),"",SUM(E20:N20))</f>
        <v>14</v>
      </c>
      <c r="P20" s="151">
        <f t="shared" ref="P20:P89" si="6">IF($O20="","",($O20/$O$9*100))</f>
        <v>30.434782608695699</v>
      </c>
    </row>
    <row r="21" spans="3:16" s="85" customFormat="1" ht="12.75" customHeight="1">
      <c r="C21" s="449"/>
      <c r="D21" s="115" t="s">
        <v>30</v>
      </c>
      <c r="E21" s="102" t="str">
        <f>IF(A!$E68="","",A!$E68)</f>
        <v/>
      </c>
      <c r="F21" s="101" t="str">
        <f>IF(B!$E68="","",B!$E68)</f>
        <v/>
      </c>
      <c r="G21" s="102" t="str">
        <f>IF('C'!$E68="","",'C'!$E68)</f>
        <v/>
      </c>
      <c r="H21" s="101" t="str">
        <f>IF(D!$E68="","",D!$E68)</f>
        <v/>
      </c>
      <c r="I21" s="102" t="str">
        <f>IF(E!$E68="","",E!$E68)</f>
        <v/>
      </c>
      <c r="J21" s="101" t="str">
        <f>IF(F!$E68="","",F!$E68)</f>
        <v/>
      </c>
      <c r="K21" s="102">
        <f>IF(G!$E68="","",G!$E68)</f>
        <v>11</v>
      </c>
      <c r="L21" s="101" t="str">
        <f>IF(H!$E68="","",H!$E68)</f>
        <v/>
      </c>
      <c r="M21" s="102" t="str">
        <f>IF(I!$E68="","",I!$E68)</f>
        <v/>
      </c>
      <c r="N21" s="100" t="str">
        <f>IF(J!$E68="","",J!$E68)</f>
        <v/>
      </c>
      <c r="O21" s="101">
        <f t="shared" si="5"/>
        <v>11</v>
      </c>
      <c r="P21" s="151">
        <f t="shared" si="6"/>
        <v>23.913043478260899</v>
      </c>
    </row>
    <row r="22" spans="3:16" s="85" customFormat="1" ht="12.75" customHeight="1">
      <c r="C22" s="449"/>
      <c r="D22" s="115" t="s">
        <v>31</v>
      </c>
      <c r="E22" s="102" t="str">
        <f>IF(A!$E69="","",A!$E69)</f>
        <v/>
      </c>
      <c r="F22" s="101" t="str">
        <f>IF(B!$E69="","",B!$E69)</f>
        <v/>
      </c>
      <c r="G22" s="102" t="str">
        <f>IF('C'!$E69="","",'C'!$E69)</f>
        <v/>
      </c>
      <c r="H22" s="101" t="str">
        <f>IF(D!$E69="","",D!$E69)</f>
        <v/>
      </c>
      <c r="I22" s="102" t="str">
        <f>IF(E!$E69="","",E!$E69)</f>
        <v/>
      </c>
      <c r="J22" s="101" t="str">
        <f>IF(F!$E69="","",F!$E69)</f>
        <v/>
      </c>
      <c r="K22" s="102">
        <f>IF(G!$E69="","",G!$E69)</f>
        <v>1</v>
      </c>
      <c r="L22" s="101" t="str">
        <f>IF(H!$E69="","",H!$E69)</f>
        <v/>
      </c>
      <c r="M22" s="102" t="str">
        <f>IF(I!$E69="","",I!$E69)</f>
        <v/>
      </c>
      <c r="N22" s="100" t="str">
        <f>IF(J!$E69="","",J!$E69)</f>
        <v/>
      </c>
      <c r="O22" s="101">
        <f t="shared" si="5"/>
        <v>1</v>
      </c>
      <c r="P22" s="151">
        <f t="shared" si="6"/>
        <v>2.1739130434782599</v>
      </c>
    </row>
    <row r="23" spans="3:16" s="85" customFormat="1" ht="12.75" customHeight="1">
      <c r="C23" s="449"/>
      <c r="D23" s="116" t="s">
        <v>32</v>
      </c>
      <c r="E23" s="95" t="str">
        <f>IF(A!$E70="","",A!$E70)</f>
        <v/>
      </c>
      <c r="F23" s="94" t="str">
        <f>IF(B!$E70="","",B!$E70)</f>
        <v/>
      </c>
      <c r="G23" s="95" t="str">
        <f>IF('C'!$E70="","",'C'!$E70)</f>
        <v/>
      </c>
      <c r="H23" s="94" t="str">
        <f>IF(D!$E70="","",D!$E70)</f>
        <v/>
      </c>
      <c r="I23" s="95" t="str">
        <f>IF(E!$E70="","",E!$E70)</f>
        <v/>
      </c>
      <c r="J23" s="94" t="str">
        <f>IF(F!$E70="","",F!$E70)</f>
        <v/>
      </c>
      <c r="K23" s="95">
        <f>IF(G!$E70="","",G!$E70)</f>
        <v>2</v>
      </c>
      <c r="L23" s="94" t="str">
        <f>IF(H!$E70="","",H!$E70)</f>
        <v/>
      </c>
      <c r="M23" s="95" t="str">
        <f>IF(I!$E70="","",I!$E70)</f>
        <v/>
      </c>
      <c r="N23" s="141" t="str">
        <f>IF(J!$E70="","",J!$E70)</f>
        <v/>
      </c>
      <c r="O23" s="94">
        <f t="shared" si="5"/>
        <v>2</v>
      </c>
      <c r="P23" s="142">
        <f t="shared" si="6"/>
        <v>4.3478260869565197</v>
      </c>
    </row>
    <row r="24" spans="3:16" s="85" customFormat="1" ht="12.75" customHeight="1">
      <c r="C24" s="449"/>
      <c r="D24" s="117" t="s">
        <v>48</v>
      </c>
      <c r="E24" s="118" t="str">
        <f>IF(A!$D74="","",A!$D74)</f>
        <v/>
      </c>
      <c r="F24" s="119" t="str">
        <f>IF(B!$D74="","",B!$D74)</f>
        <v/>
      </c>
      <c r="G24" s="118" t="str">
        <f>IF('C'!$D74="","",'C'!$D74)</f>
        <v/>
      </c>
      <c r="H24" s="119" t="str">
        <f>IF(D!$D74="","",D!$D74)</f>
        <v/>
      </c>
      <c r="I24" s="118" t="str">
        <f>IF(E!$D74="","",E!$D74)</f>
        <v/>
      </c>
      <c r="J24" s="119" t="str">
        <f>IF(F!$D74="","",F!$D74)</f>
        <v/>
      </c>
      <c r="K24" s="118">
        <f>IF(G!$D74="","",G!$D74)</f>
        <v>1</v>
      </c>
      <c r="L24" s="119" t="str">
        <f>IF(H!$D74="","",H!$D74)</f>
        <v/>
      </c>
      <c r="M24" s="118" t="str">
        <f>IF(I!$D74="","",I!$D74)</f>
        <v/>
      </c>
      <c r="N24" s="152" t="str">
        <f>IF(J!$D74="","",J!$D74)</f>
        <v/>
      </c>
      <c r="O24" s="119">
        <f t="shared" si="5"/>
        <v>1</v>
      </c>
      <c r="P24" s="153">
        <f t="shared" si="6"/>
        <v>2.1739130434782599</v>
      </c>
    </row>
    <row r="25" spans="3:16" s="85" customFormat="1" ht="12.75" customHeight="1">
      <c r="C25" s="449"/>
      <c r="D25" s="120" t="s">
        <v>51</v>
      </c>
      <c r="E25" s="102" t="str">
        <f>IF(A!$D75="","",A!$D75)</f>
        <v/>
      </c>
      <c r="F25" s="101" t="str">
        <f>IF(B!$D75="","",B!$D75)</f>
        <v/>
      </c>
      <c r="G25" s="102" t="str">
        <f>IF('C'!$D75="","",'C'!$D75)</f>
        <v/>
      </c>
      <c r="H25" s="101" t="str">
        <f>IF(D!$D75="","",D!$D75)</f>
        <v/>
      </c>
      <c r="I25" s="102" t="str">
        <f>IF(E!$D75="","",E!$D75)</f>
        <v/>
      </c>
      <c r="J25" s="101" t="str">
        <f>IF(F!$D75="","",F!$D75)</f>
        <v/>
      </c>
      <c r="K25" s="102">
        <f>IF(G!$D75="","",G!$D75)</f>
        <v>0</v>
      </c>
      <c r="L25" s="101" t="str">
        <f>IF(H!$D75="","",H!$D75)</f>
        <v/>
      </c>
      <c r="M25" s="102" t="str">
        <f>IF(I!$D75="","",I!$D75)</f>
        <v/>
      </c>
      <c r="N25" s="100" t="str">
        <f>IF(J!$D75="","",J!$D75)</f>
        <v/>
      </c>
      <c r="O25" s="101">
        <f t="shared" si="5"/>
        <v>0</v>
      </c>
      <c r="P25" s="151">
        <f t="shared" si="6"/>
        <v>0</v>
      </c>
    </row>
    <row r="26" spans="3:16" s="85" customFormat="1" ht="12.75" customHeight="1">
      <c r="C26" s="449"/>
      <c r="D26" s="121" t="s">
        <v>52</v>
      </c>
      <c r="E26" s="99" t="str">
        <f>IF(A!$D76="","",A!$D76)</f>
        <v/>
      </c>
      <c r="F26" s="98" t="str">
        <f>IF(B!$D76="","",B!$D76)</f>
        <v/>
      </c>
      <c r="G26" s="99" t="str">
        <f>IF('C'!$D76="","",'C'!$D76)</f>
        <v/>
      </c>
      <c r="H26" s="98" t="str">
        <f>IF(D!$D76="","",D!$D76)</f>
        <v/>
      </c>
      <c r="I26" s="99" t="str">
        <f>IF(E!$D76="","",E!$D76)</f>
        <v/>
      </c>
      <c r="J26" s="98" t="str">
        <f>IF(F!$D76="","",F!$D76)</f>
        <v/>
      </c>
      <c r="K26" s="99">
        <f>IF(G!$D76="","",G!$D76)</f>
        <v>1</v>
      </c>
      <c r="L26" s="98" t="str">
        <f>IF(H!$D76="","",H!$D76)</f>
        <v/>
      </c>
      <c r="M26" s="99" t="str">
        <f>IF(I!$D76="","",I!$D76)</f>
        <v/>
      </c>
      <c r="N26" s="154" t="str">
        <f>IF(J!$D76="","",J!$D76)</f>
        <v/>
      </c>
      <c r="O26" s="98">
        <f t="shared" si="5"/>
        <v>1</v>
      </c>
      <c r="P26" s="155">
        <f t="shared" si="6"/>
        <v>2.1739130434782599</v>
      </c>
    </row>
    <row r="27" spans="3:16" s="85" customFormat="1" ht="12.75" customHeight="1">
      <c r="C27" s="450"/>
      <c r="D27" s="122" t="s">
        <v>55</v>
      </c>
      <c r="E27" s="123" t="str">
        <f>IF(A!$D77="","",A!$D77)</f>
        <v/>
      </c>
      <c r="F27" s="124" t="str">
        <f>IF(B!$D77="","",B!$D77)</f>
        <v/>
      </c>
      <c r="G27" s="123" t="str">
        <f>IF('C'!$D77="","",'C'!$D77)</f>
        <v/>
      </c>
      <c r="H27" s="124" t="str">
        <f>IF(D!$D77="","",D!$D77)</f>
        <v/>
      </c>
      <c r="I27" s="123" t="str">
        <f>IF(E!$D77="","",E!$D77)</f>
        <v/>
      </c>
      <c r="J27" s="124" t="str">
        <f>IF(F!$D77="","",F!$D77)</f>
        <v/>
      </c>
      <c r="K27" s="123">
        <f>IF(G!$D77="","",G!$D77)</f>
        <v>0</v>
      </c>
      <c r="L27" s="124" t="str">
        <f>IF(H!$D77="","",H!$D77)</f>
        <v/>
      </c>
      <c r="M27" s="123" t="str">
        <f>IF(I!$D77="","",I!$D77)</f>
        <v/>
      </c>
      <c r="N27" s="156" t="str">
        <f>IF(J!$D77="","",J!$D77)</f>
        <v/>
      </c>
      <c r="O27" s="124">
        <f t="shared" si="5"/>
        <v>0</v>
      </c>
      <c r="P27" s="157">
        <f t="shared" si="6"/>
        <v>0</v>
      </c>
    </row>
    <row r="28" spans="3:16" s="85" customFormat="1" ht="12.75" customHeight="1">
      <c r="C28" s="451" t="s">
        <v>176</v>
      </c>
      <c r="D28" s="125" t="s">
        <v>33</v>
      </c>
      <c r="E28" s="126" t="str">
        <f>IF(AND(E19="",E20="",E21="",E22="",E23="",E24="",E25="",E26="",E27=""),"",(SUM(E19:E22,E24,E25)))</f>
        <v/>
      </c>
      <c r="F28" s="126" t="str">
        <f t="shared" ref="F28:N28" si="7">IF(AND(F19="",F20="",F21="",F22="",F23="",F24="",F25="",F26="",F27=""),"",(SUM(F19:F22,F24,F25)))</f>
        <v/>
      </c>
      <c r="G28" s="126" t="str">
        <f t="shared" si="7"/>
        <v/>
      </c>
      <c r="H28" s="126" t="str">
        <f t="shared" si="7"/>
        <v/>
      </c>
      <c r="I28" s="126" t="str">
        <f t="shared" si="7"/>
        <v/>
      </c>
      <c r="J28" s="126" t="str">
        <f t="shared" si="7"/>
        <v/>
      </c>
      <c r="K28" s="126">
        <f t="shared" si="7"/>
        <v>40</v>
      </c>
      <c r="L28" s="126" t="str">
        <f t="shared" si="7"/>
        <v/>
      </c>
      <c r="M28" s="126" t="str">
        <f t="shared" si="7"/>
        <v/>
      </c>
      <c r="N28" s="126" t="str">
        <f t="shared" si="7"/>
        <v/>
      </c>
      <c r="O28" s="158">
        <f t="shared" si="5"/>
        <v>40</v>
      </c>
      <c r="P28" s="159">
        <f t="shared" si="6"/>
        <v>86.956521739130395</v>
      </c>
    </row>
    <row r="29" spans="3:16" s="85" customFormat="1" ht="12.75" customHeight="1">
      <c r="C29" s="452"/>
      <c r="D29" s="127" t="s">
        <v>169</v>
      </c>
      <c r="E29" s="128" t="str">
        <f>IF(E28="","",(E28/E$9*100))</f>
        <v/>
      </c>
      <c r="F29" s="128" t="str">
        <f t="shared" ref="F29:N29" si="8">IF(F28="","",(F28/F$9*100))</f>
        <v/>
      </c>
      <c r="G29" s="128" t="str">
        <f t="shared" si="8"/>
        <v/>
      </c>
      <c r="H29" s="128" t="str">
        <f t="shared" si="8"/>
        <v/>
      </c>
      <c r="I29" s="128" t="str">
        <f t="shared" si="8"/>
        <v/>
      </c>
      <c r="J29" s="128" t="str">
        <f t="shared" si="8"/>
        <v/>
      </c>
      <c r="K29" s="128">
        <f t="shared" si="8"/>
        <v>86.956521739130395</v>
      </c>
      <c r="L29" s="128" t="str">
        <f t="shared" si="8"/>
        <v/>
      </c>
      <c r="M29" s="128" t="str">
        <f t="shared" si="8"/>
        <v/>
      </c>
      <c r="N29" s="128" t="str">
        <f t="shared" si="8"/>
        <v/>
      </c>
      <c r="O29" s="131">
        <f t="shared" ref="O29" si="9">IF(O28="","",(O28/O$9*100))</f>
        <v>86.956521739130395</v>
      </c>
      <c r="P29" s="131">
        <f>IF(P28="","",P28)</f>
        <v>86.956521739130395</v>
      </c>
    </row>
    <row r="30" spans="3:16" s="85" customFormat="1" ht="12.75" customHeight="1">
      <c r="C30" s="448" t="s">
        <v>10</v>
      </c>
      <c r="D30" s="112" t="s">
        <v>28</v>
      </c>
      <c r="E30" s="113" t="str">
        <f>IF(A!$G66="","",A!$G66)</f>
        <v/>
      </c>
      <c r="F30" s="114" t="str">
        <f>IF(B!$G66="","",B!$G66)</f>
        <v/>
      </c>
      <c r="G30" s="113" t="str">
        <f>IF('C'!$G66="","",'C'!$G66)</f>
        <v/>
      </c>
      <c r="H30" s="114" t="str">
        <f>IF(D!$G66="","",D!$G66)</f>
        <v/>
      </c>
      <c r="I30" s="113" t="str">
        <f>IF(E!$G66="","",E!$G66)</f>
        <v/>
      </c>
      <c r="J30" s="114" t="str">
        <f>IF(F!$G66="","",F!$G66)</f>
        <v/>
      </c>
      <c r="K30" s="113">
        <f>IF(G!$G66="","",G!$G66)</f>
        <v>5</v>
      </c>
      <c r="L30" s="114" t="str">
        <f>IF(H!$G66="","",H!$G66)</f>
        <v/>
      </c>
      <c r="M30" s="113" t="str">
        <f>IF(I!$G66="","",I!$G66)</f>
        <v/>
      </c>
      <c r="N30" s="149" t="str">
        <f>IF(J!$G66="","",J!$G66)</f>
        <v/>
      </c>
      <c r="O30" s="114">
        <f t="shared" si="5"/>
        <v>5</v>
      </c>
      <c r="P30" s="150">
        <f t="shared" si="6"/>
        <v>10.869565217391299</v>
      </c>
    </row>
    <row r="31" spans="3:16" s="85" customFormat="1" ht="12.75" customHeight="1">
      <c r="C31" s="449"/>
      <c r="D31" s="115" t="s">
        <v>29</v>
      </c>
      <c r="E31" s="102" t="str">
        <f>IF(A!$G67="","",A!$G67)</f>
        <v/>
      </c>
      <c r="F31" s="101" t="str">
        <f>IF(B!$G67="","",B!$G67)</f>
        <v/>
      </c>
      <c r="G31" s="102" t="str">
        <f>IF('C'!$G67="","",'C'!$G67)</f>
        <v/>
      </c>
      <c r="H31" s="101" t="str">
        <f>IF(D!$G67="","",D!$G67)</f>
        <v/>
      </c>
      <c r="I31" s="102" t="str">
        <f>IF(E!$G67="","",E!$G67)</f>
        <v/>
      </c>
      <c r="J31" s="101" t="str">
        <f>IF(F!$G67="","",F!$G67)</f>
        <v/>
      </c>
      <c r="K31" s="102">
        <f>IF(G!$G67="","",G!$G67)</f>
        <v>8</v>
      </c>
      <c r="L31" s="101" t="str">
        <f>IF(H!$G67="","",H!$G67)</f>
        <v/>
      </c>
      <c r="M31" s="102" t="str">
        <f>IF(I!$G67="","",I!$G67)</f>
        <v/>
      </c>
      <c r="N31" s="100" t="str">
        <f>IF(J!$G67="","",J!$G67)</f>
        <v/>
      </c>
      <c r="O31" s="101">
        <f t="shared" si="5"/>
        <v>8</v>
      </c>
      <c r="P31" s="151">
        <f t="shared" si="6"/>
        <v>17.3913043478261</v>
      </c>
    </row>
    <row r="32" spans="3:16" s="85" customFormat="1" ht="12.75" customHeight="1">
      <c r="C32" s="449"/>
      <c r="D32" s="115" t="s">
        <v>30</v>
      </c>
      <c r="E32" s="102" t="str">
        <f>IF(A!$G68="","",A!$G68)</f>
        <v/>
      </c>
      <c r="F32" s="101" t="str">
        <f>IF(B!$G68="","",B!$G68)</f>
        <v/>
      </c>
      <c r="G32" s="102" t="str">
        <f>IF('C'!$G68="","",'C'!$G68)</f>
        <v/>
      </c>
      <c r="H32" s="101" t="str">
        <f>IF(D!$G68="","",D!$G68)</f>
        <v/>
      </c>
      <c r="I32" s="102" t="str">
        <f>IF(E!$G68="","",E!$G68)</f>
        <v/>
      </c>
      <c r="J32" s="101" t="str">
        <f>IF(F!$G68="","",F!$G68)</f>
        <v/>
      </c>
      <c r="K32" s="102">
        <f>IF(G!$G68="","",G!$G68)</f>
        <v>14</v>
      </c>
      <c r="L32" s="101" t="str">
        <f>IF(H!$G68="","",H!$G68)</f>
        <v/>
      </c>
      <c r="M32" s="102" t="str">
        <f>IF(I!$G68="","",I!$G68)</f>
        <v/>
      </c>
      <c r="N32" s="100" t="str">
        <f>IF(J!$G68="","",J!$G68)</f>
        <v/>
      </c>
      <c r="O32" s="101">
        <f t="shared" si="5"/>
        <v>14</v>
      </c>
      <c r="P32" s="151">
        <f t="shared" si="6"/>
        <v>30.434782608695699</v>
      </c>
    </row>
    <row r="33" spans="3:16" s="85" customFormat="1" ht="12.75" customHeight="1">
      <c r="C33" s="449"/>
      <c r="D33" s="115" t="s">
        <v>31</v>
      </c>
      <c r="E33" s="102" t="str">
        <f>IF(A!$G69="","",A!$G69)</f>
        <v/>
      </c>
      <c r="F33" s="101" t="str">
        <f>IF(B!$G69="","",B!$G69)</f>
        <v/>
      </c>
      <c r="G33" s="102" t="str">
        <f>IF('C'!$G69="","",'C'!$G69)</f>
        <v/>
      </c>
      <c r="H33" s="101" t="str">
        <f>IF(D!$G69="","",D!$G69)</f>
        <v/>
      </c>
      <c r="I33" s="102" t="str">
        <f>IF(E!$G69="","",E!$G69)</f>
        <v/>
      </c>
      <c r="J33" s="101" t="str">
        <f>IF(F!$G69="","",F!$G69)</f>
        <v/>
      </c>
      <c r="K33" s="102">
        <f>IF(G!$G69="","",G!$G69)</f>
        <v>7</v>
      </c>
      <c r="L33" s="101" t="str">
        <f>IF(H!$G69="","",H!$G69)</f>
        <v/>
      </c>
      <c r="M33" s="102" t="str">
        <f>IF(I!$G69="","",I!$G69)</f>
        <v/>
      </c>
      <c r="N33" s="100" t="str">
        <f>IF(J!$G69="","",J!$G69)</f>
        <v/>
      </c>
      <c r="O33" s="101">
        <f t="shared" si="5"/>
        <v>7</v>
      </c>
      <c r="P33" s="151">
        <f t="shared" si="6"/>
        <v>15.2173913043478</v>
      </c>
    </row>
    <row r="34" spans="3:16" s="85" customFormat="1" ht="12.75" customHeight="1">
      <c r="C34" s="449"/>
      <c r="D34" s="116" t="s">
        <v>32</v>
      </c>
      <c r="E34" s="95" t="str">
        <f>IF(A!$G70="","",A!$G70)</f>
        <v/>
      </c>
      <c r="F34" s="94" t="str">
        <f>IF(B!$G70="","",B!$G70)</f>
        <v/>
      </c>
      <c r="G34" s="95" t="str">
        <f>IF('C'!$G70="","",'C'!$G70)</f>
        <v/>
      </c>
      <c r="H34" s="94" t="str">
        <f>IF(D!$G70="","",D!$G70)</f>
        <v/>
      </c>
      <c r="I34" s="95" t="str">
        <f>IF(E!$G70="","",E!$G70)</f>
        <v/>
      </c>
      <c r="J34" s="94" t="str">
        <f>IF(F!$G70="","",F!$G70)</f>
        <v/>
      </c>
      <c r="K34" s="95">
        <f>IF(G!$G70="","",G!$G70)</f>
        <v>0</v>
      </c>
      <c r="L34" s="94" t="str">
        <f>IF(H!$G70="","",H!$G70)</f>
        <v/>
      </c>
      <c r="M34" s="95" t="str">
        <f>IF(I!$G70="","",I!$G70)</f>
        <v/>
      </c>
      <c r="N34" s="141" t="str">
        <f>IF(J!$G70="","",J!$G70)</f>
        <v/>
      </c>
      <c r="O34" s="94">
        <f t="shared" si="5"/>
        <v>0</v>
      </c>
      <c r="P34" s="142">
        <f t="shared" si="6"/>
        <v>0</v>
      </c>
    </row>
    <row r="35" spans="3:16" s="85" customFormat="1" ht="12.75" customHeight="1">
      <c r="C35" s="449"/>
      <c r="D35" s="117" t="s">
        <v>48</v>
      </c>
      <c r="E35" s="118" t="str">
        <f>IF(A!$F74="","",A!$F74)</f>
        <v/>
      </c>
      <c r="F35" s="119" t="str">
        <f>IF(B!$F74="","",B!$F74)</f>
        <v/>
      </c>
      <c r="G35" s="118" t="str">
        <f>IF('C'!$F74="","",'C'!$F74)</f>
        <v/>
      </c>
      <c r="H35" s="119" t="str">
        <f>IF(D!$F74="","",D!$F74)</f>
        <v/>
      </c>
      <c r="I35" s="118" t="str">
        <f>IF(E!$F74="","",E!$F74)</f>
        <v/>
      </c>
      <c r="J35" s="119" t="str">
        <f>IF(F!$F74="","",F!$F74)</f>
        <v/>
      </c>
      <c r="K35" s="118">
        <f>IF(G!$F74="","",G!$F74)</f>
        <v>0</v>
      </c>
      <c r="L35" s="119" t="str">
        <f>IF(H!$F74="","",H!$F74)</f>
        <v/>
      </c>
      <c r="M35" s="118" t="str">
        <f>IF(I!$F74="","",I!$F74)</f>
        <v/>
      </c>
      <c r="N35" s="152" t="str">
        <f>IF(J!$F74="","",J!$F74)</f>
        <v/>
      </c>
      <c r="O35" s="119">
        <f t="shared" si="5"/>
        <v>0</v>
      </c>
      <c r="P35" s="153">
        <f t="shared" si="6"/>
        <v>0</v>
      </c>
    </row>
    <row r="36" spans="3:16" s="85" customFormat="1" ht="12.75" customHeight="1">
      <c r="C36" s="449"/>
      <c r="D36" s="120" t="s">
        <v>51</v>
      </c>
      <c r="E36" s="102" t="str">
        <f>IF(A!$F75="","",A!$F75)</f>
        <v/>
      </c>
      <c r="F36" s="101" t="str">
        <f>IF(B!$F75="","",B!$F75)</f>
        <v/>
      </c>
      <c r="G36" s="102" t="str">
        <f>IF('C'!$F75="","",'C'!$F75)</f>
        <v/>
      </c>
      <c r="H36" s="101" t="str">
        <f>IF(D!$F75="","",D!$F75)</f>
        <v/>
      </c>
      <c r="I36" s="102" t="str">
        <f>IF(E!$F75="","",E!$F75)</f>
        <v/>
      </c>
      <c r="J36" s="101" t="str">
        <f>IF(F!$F75="","",F!$F75)</f>
        <v/>
      </c>
      <c r="K36" s="102">
        <f>IF(G!$F75="","",G!$F75)</f>
        <v>0</v>
      </c>
      <c r="L36" s="101" t="str">
        <f>IF(H!$F75="","",H!$F75)</f>
        <v/>
      </c>
      <c r="M36" s="102" t="str">
        <f>IF(I!$F75="","",I!$F75)</f>
        <v/>
      </c>
      <c r="N36" s="100" t="str">
        <f>IF(J!$F75="","",J!$F75)</f>
        <v/>
      </c>
      <c r="O36" s="101">
        <f t="shared" si="5"/>
        <v>0</v>
      </c>
      <c r="P36" s="151">
        <f t="shared" si="6"/>
        <v>0</v>
      </c>
    </row>
    <row r="37" spans="3:16" s="85" customFormat="1" ht="12.75" customHeight="1">
      <c r="C37" s="449"/>
      <c r="D37" s="121" t="s">
        <v>52</v>
      </c>
      <c r="E37" s="99" t="str">
        <f>IF(A!$F76="","",A!$F76)</f>
        <v/>
      </c>
      <c r="F37" s="98" t="str">
        <f>IF(B!$F76="","",B!$F76)</f>
        <v/>
      </c>
      <c r="G37" s="99" t="str">
        <f>IF('C'!$F76="","",'C'!$F76)</f>
        <v/>
      </c>
      <c r="H37" s="98" t="str">
        <f>IF(D!$F76="","",D!$F76)</f>
        <v/>
      </c>
      <c r="I37" s="99" t="str">
        <f>IF(E!$F76="","",E!$F76)</f>
        <v/>
      </c>
      <c r="J37" s="98" t="str">
        <f>IF(F!$F76="","",F!$F76)</f>
        <v/>
      </c>
      <c r="K37" s="99">
        <f>IF(G!$F76="","",G!$F76)</f>
        <v>0</v>
      </c>
      <c r="L37" s="98" t="str">
        <f>IF(H!$F76="","",H!$F76)</f>
        <v/>
      </c>
      <c r="M37" s="99" t="str">
        <f>IF(I!$F76="","",I!$F76)</f>
        <v/>
      </c>
      <c r="N37" s="154" t="str">
        <f>IF(J!$F76="","",J!$F76)</f>
        <v/>
      </c>
      <c r="O37" s="98">
        <f t="shared" si="5"/>
        <v>0</v>
      </c>
      <c r="P37" s="155">
        <f t="shared" si="6"/>
        <v>0</v>
      </c>
    </row>
    <row r="38" spans="3:16" s="85" customFormat="1" ht="12.75" customHeight="1">
      <c r="C38" s="450"/>
      <c r="D38" s="122" t="s">
        <v>55</v>
      </c>
      <c r="E38" s="123" t="str">
        <f>IF(A!$F77="","",A!$F77)</f>
        <v/>
      </c>
      <c r="F38" s="124" t="str">
        <f>IF(B!$F77="","",B!$F77)</f>
        <v/>
      </c>
      <c r="G38" s="123" t="str">
        <f>IF('C'!$F77="","",'C'!$F77)</f>
        <v/>
      </c>
      <c r="H38" s="124" t="str">
        <f>IF(D!$F77="","",D!$F77)</f>
        <v/>
      </c>
      <c r="I38" s="123" t="str">
        <f>IF(E!$F77="","",E!$F77)</f>
        <v/>
      </c>
      <c r="J38" s="124" t="str">
        <f>IF(F!$F77="","",F!$F77)</f>
        <v/>
      </c>
      <c r="K38" s="123">
        <f>IF(G!$F77="","",G!$F77)</f>
        <v>0</v>
      </c>
      <c r="L38" s="124" t="str">
        <f>IF(H!$F77="","",H!$F77)</f>
        <v/>
      </c>
      <c r="M38" s="123" t="str">
        <f>IF(I!$F77="","",I!$F77)</f>
        <v/>
      </c>
      <c r="N38" s="156" t="str">
        <f>IF(J!$F77="","",J!$F77)</f>
        <v/>
      </c>
      <c r="O38" s="124">
        <f t="shared" si="5"/>
        <v>0</v>
      </c>
      <c r="P38" s="157">
        <f t="shared" si="6"/>
        <v>0</v>
      </c>
    </row>
    <row r="39" spans="3:16" s="85" customFormat="1" ht="12.75" customHeight="1">
      <c r="C39" s="451" t="s">
        <v>176</v>
      </c>
      <c r="D39" s="129" t="s">
        <v>33</v>
      </c>
      <c r="E39" s="130" t="str">
        <f>IF(AND(E30="",E31="",E32="",E33="",E34="",E35="",E36="",E37="",E38=""),"",(SUM(E30:E33,E35,E36)))</f>
        <v/>
      </c>
      <c r="F39" s="130" t="str">
        <f t="shared" ref="F39:N39" si="10">IF(AND(F30="",F31="",F32="",F33="",F34="",F35="",F36="",F37="",F38=""),"",(SUM(F30:F33,F35,F36)))</f>
        <v/>
      </c>
      <c r="G39" s="130" t="str">
        <f t="shared" si="10"/>
        <v/>
      </c>
      <c r="H39" s="130" t="str">
        <f t="shared" si="10"/>
        <v/>
      </c>
      <c r="I39" s="130" t="str">
        <f t="shared" si="10"/>
        <v/>
      </c>
      <c r="J39" s="130" t="str">
        <f t="shared" si="10"/>
        <v/>
      </c>
      <c r="K39" s="130">
        <f t="shared" si="10"/>
        <v>34</v>
      </c>
      <c r="L39" s="130" t="str">
        <f t="shared" si="10"/>
        <v/>
      </c>
      <c r="M39" s="130" t="str">
        <f t="shared" si="10"/>
        <v/>
      </c>
      <c r="N39" s="130" t="str">
        <f t="shared" si="10"/>
        <v/>
      </c>
      <c r="O39" s="158">
        <f t="shared" si="5"/>
        <v>34</v>
      </c>
      <c r="P39" s="160">
        <f t="shared" si="6"/>
        <v>73.913043478260903</v>
      </c>
    </row>
    <row r="40" spans="3:16" s="85" customFormat="1" ht="12.75" customHeight="1">
      <c r="C40" s="452"/>
      <c r="D40" s="127" t="s">
        <v>169</v>
      </c>
      <c r="E40" s="128" t="str">
        <f>IF(E39="","",(E39/E$9*100))</f>
        <v/>
      </c>
      <c r="F40" s="131" t="str">
        <f t="shared" ref="F40:O40" si="11">IF(F39="","",(F39/F$9*100))</f>
        <v/>
      </c>
      <c r="G40" s="132" t="str">
        <f t="shared" si="11"/>
        <v/>
      </c>
      <c r="H40" s="131" t="str">
        <f t="shared" si="11"/>
        <v/>
      </c>
      <c r="I40" s="132" t="str">
        <f t="shared" si="11"/>
        <v/>
      </c>
      <c r="J40" s="131" t="str">
        <f t="shared" si="11"/>
        <v/>
      </c>
      <c r="K40" s="132">
        <f t="shared" si="11"/>
        <v>73.913043478260903</v>
      </c>
      <c r="L40" s="131" t="str">
        <f t="shared" si="11"/>
        <v/>
      </c>
      <c r="M40" s="132" t="str">
        <f t="shared" si="11"/>
        <v/>
      </c>
      <c r="N40" s="128" t="str">
        <f t="shared" si="11"/>
        <v/>
      </c>
      <c r="O40" s="131">
        <f t="shared" si="11"/>
        <v>73.913043478260903</v>
      </c>
      <c r="P40" s="131">
        <f>IF(P39="","",P39)</f>
        <v>73.913043478260903</v>
      </c>
    </row>
    <row r="41" spans="3:16" s="85" customFormat="1" ht="12.75" customHeight="1">
      <c r="C41" s="453" t="s">
        <v>11</v>
      </c>
      <c r="D41" s="112" t="s">
        <v>28</v>
      </c>
      <c r="E41" s="113" t="str">
        <f>IF(A!$I66="","",A!$I66)</f>
        <v/>
      </c>
      <c r="F41" s="114" t="str">
        <f>IF(B!$I66="","",B!$I66)</f>
        <v/>
      </c>
      <c r="G41" s="113" t="str">
        <f>IF('C'!$I66="","",'C'!$I66)</f>
        <v/>
      </c>
      <c r="H41" s="114" t="str">
        <f>IF(D!$I66="","",D!$I66)</f>
        <v/>
      </c>
      <c r="I41" s="113" t="str">
        <f>IF(E!$I66="","",E!$I66)</f>
        <v/>
      </c>
      <c r="J41" s="114" t="str">
        <f>IF(F!$I66="","",F!$I66)</f>
        <v/>
      </c>
      <c r="K41" s="113">
        <f>IF(G!$I66="","",G!$I66)</f>
        <v>11</v>
      </c>
      <c r="L41" s="114" t="str">
        <f>IF(H!$I66="","",H!$I66)</f>
        <v/>
      </c>
      <c r="M41" s="113" t="str">
        <f>IF(I!$I66="","",I!$I66)</f>
        <v/>
      </c>
      <c r="N41" s="149" t="str">
        <f>IF(J!$I66="","",J!$I66)</f>
        <v/>
      </c>
      <c r="O41" s="114">
        <f t="shared" si="5"/>
        <v>11</v>
      </c>
      <c r="P41" s="150">
        <f t="shared" si="6"/>
        <v>23.913043478260899</v>
      </c>
    </row>
    <row r="42" spans="3:16" s="85" customFormat="1" ht="12.75" customHeight="1">
      <c r="C42" s="454"/>
      <c r="D42" s="115" t="s">
        <v>29</v>
      </c>
      <c r="E42" s="102" t="str">
        <f>IF(A!$I67="","",A!$I67)</f>
        <v/>
      </c>
      <c r="F42" s="101" t="str">
        <f>IF(B!$I67="","",B!$I67)</f>
        <v/>
      </c>
      <c r="G42" s="102" t="str">
        <f>IF('C'!$I67="","",'C'!$I67)</f>
        <v/>
      </c>
      <c r="H42" s="101" t="str">
        <f>IF(D!$I67="","",D!$I67)</f>
        <v/>
      </c>
      <c r="I42" s="102" t="str">
        <f>IF(E!$I67="","",E!$I67)</f>
        <v/>
      </c>
      <c r="J42" s="101" t="str">
        <f>IF(F!$I67="","",F!$I67)</f>
        <v/>
      </c>
      <c r="K42" s="102">
        <f>IF(G!$I67="","",G!$I67)</f>
        <v>16</v>
      </c>
      <c r="L42" s="101" t="str">
        <f>IF(H!$I67="","",H!$I67)</f>
        <v/>
      </c>
      <c r="M42" s="102" t="str">
        <f>IF(I!$I67="","",I!$I67)</f>
        <v/>
      </c>
      <c r="N42" s="100" t="str">
        <f>IF(J!$I67="","",J!$I67)</f>
        <v/>
      </c>
      <c r="O42" s="101">
        <f t="shared" si="5"/>
        <v>16</v>
      </c>
      <c r="P42" s="151">
        <f t="shared" si="6"/>
        <v>34.7826086956522</v>
      </c>
    </row>
    <row r="43" spans="3:16" s="85" customFormat="1" ht="12.75" customHeight="1">
      <c r="C43" s="454"/>
      <c r="D43" s="115" t="s">
        <v>30</v>
      </c>
      <c r="E43" s="102" t="str">
        <f>IF(A!$I68="","",A!$I68)</f>
        <v/>
      </c>
      <c r="F43" s="101" t="str">
        <f>IF(B!$I68="","",B!$I68)</f>
        <v/>
      </c>
      <c r="G43" s="102" t="str">
        <f>IF('C'!$I68="","",'C'!$I68)</f>
        <v/>
      </c>
      <c r="H43" s="101" t="str">
        <f>IF(D!$I68="","",D!$I68)</f>
        <v/>
      </c>
      <c r="I43" s="102" t="str">
        <f>IF(E!$I68="","",E!$I68)</f>
        <v/>
      </c>
      <c r="J43" s="101" t="str">
        <f>IF(F!$I68="","",F!$I68)</f>
        <v/>
      </c>
      <c r="K43" s="102">
        <f>IF(G!$I68="","",G!$I68)</f>
        <v>17</v>
      </c>
      <c r="L43" s="101" t="str">
        <f>IF(H!$I68="","",H!$I68)</f>
        <v/>
      </c>
      <c r="M43" s="102" t="str">
        <f>IF(I!$I68="","",I!$I68)</f>
        <v/>
      </c>
      <c r="N43" s="100" t="str">
        <f>IF(J!$I68="","",J!$I68)</f>
        <v/>
      </c>
      <c r="O43" s="101">
        <f t="shared" si="5"/>
        <v>17</v>
      </c>
      <c r="P43" s="151">
        <f t="shared" si="6"/>
        <v>36.956521739130402</v>
      </c>
    </row>
    <row r="44" spans="3:16" s="85" customFormat="1" ht="12.75" customHeight="1">
      <c r="C44" s="454"/>
      <c r="D44" s="115" t="s">
        <v>31</v>
      </c>
      <c r="E44" s="102" t="str">
        <f>IF(A!$I69="","",A!$I69)</f>
        <v/>
      </c>
      <c r="F44" s="101" t="str">
        <f>IF(B!$I69="","",B!$I69)</f>
        <v/>
      </c>
      <c r="G44" s="102" t="str">
        <f>IF('C'!$I69="","",'C'!$I69)</f>
        <v/>
      </c>
      <c r="H44" s="101" t="str">
        <f>IF(D!$I69="","",D!$I69)</f>
        <v/>
      </c>
      <c r="I44" s="102" t="str">
        <f>IF(E!$I69="","",E!$I69)</f>
        <v/>
      </c>
      <c r="J44" s="101" t="str">
        <f>IF(F!$I69="","",F!$I69)</f>
        <v/>
      </c>
      <c r="K44" s="102">
        <f>IF(G!$I69="","",G!$I69)</f>
        <v>1</v>
      </c>
      <c r="L44" s="101" t="str">
        <f>IF(H!$I69="","",H!$I69)</f>
        <v/>
      </c>
      <c r="M44" s="102" t="str">
        <f>IF(I!$I69="","",I!$I69)</f>
        <v/>
      </c>
      <c r="N44" s="100" t="str">
        <f>IF(J!$I69="","",J!$I69)</f>
        <v/>
      </c>
      <c r="O44" s="101">
        <f t="shared" si="5"/>
        <v>1</v>
      </c>
      <c r="P44" s="151">
        <f t="shared" si="6"/>
        <v>2.1739130434782599</v>
      </c>
    </row>
    <row r="45" spans="3:16" s="85" customFormat="1" ht="12.75" customHeight="1">
      <c r="C45" s="454"/>
      <c r="D45" s="116" t="s">
        <v>32</v>
      </c>
      <c r="E45" s="95" t="str">
        <f>IF(A!$I70="","",A!$I70)</f>
        <v/>
      </c>
      <c r="F45" s="94" t="str">
        <f>IF(B!$I70="","",B!$I70)</f>
        <v/>
      </c>
      <c r="G45" s="95" t="str">
        <f>IF('C'!$I70="","",'C'!$I70)</f>
        <v/>
      </c>
      <c r="H45" s="94" t="str">
        <f>IF(D!$I70="","",D!$I70)</f>
        <v/>
      </c>
      <c r="I45" s="95" t="str">
        <f>IF(E!$I70="","",E!$I70)</f>
        <v/>
      </c>
      <c r="J45" s="94" t="str">
        <f>IF(F!$I70="","",F!$I70)</f>
        <v/>
      </c>
      <c r="K45" s="95">
        <f>IF(G!$I70="","",G!$I70)</f>
        <v>0</v>
      </c>
      <c r="L45" s="94" t="str">
        <f>IF(H!$I70="","",H!$I70)</f>
        <v/>
      </c>
      <c r="M45" s="95" t="str">
        <f>IF(I!$I70="","",I!$I70)</f>
        <v/>
      </c>
      <c r="N45" s="141" t="str">
        <f>IF(J!$I70="","",J!$I70)</f>
        <v/>
      </c>
      <c r="O45" s="94">
        <f t="shared" si="5"/>
        <v>0</v>
      </c>
      <c r="P45" s="142">
        <f t="shared" si="6"/>
        <v>0</v>
      </c>
    </row>
    <row r="46" spans="3:16" s="85" customFormat="1" ht="12.75" customHeight="1">
      <c r="C46" s="454"/>
      <c r="D46" s="117" t="s">
        <v>48</v>
      </c>
      <c r="E46" s="118" t="str">
        <f>IF(A!$H74="","",A!$H74)</f>
        <v/>
      </c>
      <c r="F46" s="119" t="str">
        <f>IF(B!$H74="","",B!$H74)</f>
        <v/>
      </c>
      <c r="G46" s="118" t="str">
        <f>IF('C'!$H74="","",'C'!$H74)</f>
        <v/>
      </c>
      <c r="H46" s="119" t="str">
        <f>IF(D!$H74="","",D!$H74)</f>
        <v/>
      </c>
      <c r="I46" s="118" t="str">
        <f>IF(E!$H74="","",E!$H74)</f>
        <v/>
      </c>
      <c r="J46" s="119" t="str">
        <f>IF(F!$H74="","",F!$H74)</f>
        <v/>
      </c>
      <c r="K46" s="118">
        <f>IF(G!$H74="","",G!$H74)</f>
        <v>0</v>
      </c>
      <c r="L46" s="119" t="str">
        <f>IF(H!$H74="","",H!$H74)</f>
        <v/>
      </c>
      <c r="M46" s="118" t="str">
        <f>IF(I!$H74="","",I!$H74)</f>
        <v/>
      </c>
      <c r="N46" s="152" t="str">
        <f>IF(J!$H74="","",J!$H74)</f>
        <v/>
      </c>
      <c r="O46" s="119">
        <f t="shared" si="5"/>
        <v>0</v>
      </c>
      <c r="P46" s="153">
        <f t="shared" si="6"/>
        <v>0</v>
      </c>
    </row>
    <row r="47" spans="3:16" s="85" customFormat="1" ht="12.75" customHeight="1">
      <c r="C47" s="454"/>
      <c r="D47" s="120" t="s">
        <v>51</v>
      </c>
      <c r="E47" s="102" t="str">
        <f>IF(A!$H75="","",A!$H75)</f>
        <v/>
      </c>
      <c r="F47" s="101" t="str">
        <f>IF(B!$H75="","",B!$H75)</f>
        <v/>
      </c>
      <c r="G47" s="102" t="str">
        <f>IF('C'!$H75="","",'C'!$H75)</f>
        <v/>
      </c>
      <c r="H47" s="101" t="str">
        <f>IF(D!$H75="","",D!$H75)</f>
        <v/>
      </c>
      <c r="I47" s="102" t="str">
        <f>IF(E!$H75="","",E!$H75)</f>
        <v/>
      </c>
      <c r="J47" s="101" t="str">
        <f>IF(F!$H75="","",F!$H75)</f>
        <v/>
      </c>
      <c r="K47" s="102">
        <f>IF(G!$H75="","",G!$H75)</f>
        <v>0</v>
      </c>
      <c r="L47" s="101" t="str">
        <f>IF(H!$H75="","",H!$H75)</f>
        <v/>
      </c>
      <c r="M47" s="102" t="str">
        <f>IF(I!$H75="","",I!$H75)</f>
        <v/>
      </c>
      <c r="N47" s="100" t="str">
        <f>IF(J!$H75="","",J!$H75)</f>
        <v/>
      </c>
      <c r="O47" s="101">
        <f t="shared" si="5"/>
        <v>0</v>
      </c>
      <c r="P47" s="151">
        <f t="shared" si="6"/>
        <v>0</v>
      </c>
    </row>
    <row r="48" spans="3:16" s="85" customFormat="1" ht="12.75" customHeight="1">
      <c r="C48" s="454"/>
      <c r="D48" s="121" t="s">
        <v>52</v>
      </c>
      <c r="E48" s="99" t="str">
        <f>IF(A!$H76="","",A!$H76)</f>
        <v/>
      </c>
      <c r="F48" s="98" t="str">
        <f>IF(B!$H76="","",B!$H76)</f>
        <v/>
      </c>
      <c r="G48" s="99" t="str">
        <f>IF('C'!$H76="","",'C'!$H76)</f>
        <v/>
      </c>
      <c r="H48" s="98" t="str">
        <f>IF(D!$H76="","",D!$H76)</f>
        <v/>
      </c>
      <c r="I48" s="99" t="str">
        <f>IF(E!$H76="","",E!$H76)</f>
        <v/>
      </c>
      <c r="J48" s="98" t="str">
        <f>IF(F!$H76="","",F!$H76)</f>
        <v/>
      </c>
      <c r="K48" s="99">
        <f>IF(G!$H76="","",G!$H76)</f>
        <v>0</v>
      </c>
      <c r="L48" s="98" t="str">
        <f>IF(H!$H76="","",H!$H76)</f>
        <v/>
      </c>
      <c r="M48" s="99" t="str">
        <f>IF(I!$H76="","",I!$H76)</f>
        <v/>
      </c>
      <c r="N48" s="154" t="str">
        <f>IF(J!$H76="","",J!$H76)</f>
        <v/>
      </c>
      <c r="O48" s="98">
        <f t="shared" si="5"/>
        <v>0</v>
      </c>
      <c r="P48" s="155">
        <f t="shared" si="6"/>
        <v>0</v>
      </c>
    </row>
    <row r="49" spans="3:16" s="85" customFormat="1" ht="12.75" customHeight="1">
      <c r="C49" s="455"/>
      <c r="D49" s="122" t="s">
        <v>55</v>
      </c>
      <c r="E49" s="123" t="str">
        <f>IF(A!$H77="","",A!$H77)</f>
        <v/>
      </c>
      <c r="F49" s="124" t="str">
        <f>IF(B!$H77="","",B!$H77)</f>
        <v/>
      </c>
      <c r="G49" s="123" t="str">
        <f>IF('C'!$H77="","",'C'!$H77)</f>
        <v/>
      </c>
      <c r="H49" s="124" t="str">
        <f>IF(D!$H77="","",D!$H77)</f>
        <v/>
      </c>
      <c r="I49" s="123" t="str">
        <f>IF(E!$H77="","",E!$H77)</f>
        <v/>
      </c>
      <c r="J49" s="124" t="str">
        <f>IF(F!$H77="","",F!$H77)</f>
        <v/>
      </c>
      <c r="K49" s="123">
        <f>IF(G!$H77="","",G!$H77)</f>
        <v>0</v>
      </c>
      <c r="L49" s="124" t="str">
        <f>IF(H!$H77="","",H!$H77)</f>
        <v/>
      </c>
      <c r="M49" s="123" t="str">
        <f>IF(I!$H77="","",I!$H77)</f>
        <v/>
      </c>
      <c r="N49" s="156" t="str">
        <f>IF(J!$H77="","",J!$H77)</f>
        <v/>
      </c>
      <c r="O49" s="124">
        <f t="shared" si="5"/>
        <v>0</v>
      </c>
      <c r="P49" s="157">
        <f t="shared" si="6"/>
        <v>0</v>
      </c>
    </row>
    <row r="50" spans="3:16" s="85" customFormat="1" ht="12.75" customHeight="1">
      <c r="C50" s="456" t="s">
        <v>176</v>
      </c>
      <c r="D50" s="129" t="s">
        <v>33</v>
      </c>
      <c r="E50" s="130" t="str">
        <f>IF(AND(E41="",E42="",E43="",E44="",E45="",E46="",E47="",E48="",E49=""),"",(SUM(E41:E44,E46,E47)))</f>
        <v/>
      </c>
      <c r="F50" s="130" t="str">
        <f t="shared" ref="F50:N50" si="12">IF(AND(F41="",F42="",F43="",F44="",F45="",F46="",F47="",F48="",F49=""),"",(SUM(F41:F44,F46,F47)))</f>
        <v/>
      </c>
      <c r="G50" s="130" t="str">
        <f t="shared" si="12"/>
        <v/>
      </c>
      <c r="H50" s="130" t="str">
        <f t="shared" si="12"/>
        <v/>
      </c>
      <c r="I50" s="130" t="str">
        <f t="shared" si="12"/>
        <v/>
      </c>
      <c r="J50" s="130" t="str">
        <f t="shared" si="12"/>
        <v/>
      </c>
      <c r="K50" s="130">
        <f t="shared" si="12"/>
        <v>45</v>
      </c>
      <c r="L50" s="130" t="str">
        <f t="shared" si="12"/>
        <v/>
      </c>
      <c r="M50" s="130" t="str">
        <f t="shared" si="12"/>
        <v/>
      </c>
      <c r="N50" s="130" t="str">
        <f t="shared" si="12"/>
        <v/>
      </c>
      <c r="O50" s="158">
        <f t="shared" si="5"/>
        <v>45</v>
      </c>
      <c r="P50" s="160">
        <f t="shared" si="6"/>
        <v>97.826086956521706</v>
      </c>
    </row>
    <row r="51" spans="3:16" s="85" customFormat="1" ht="12.75" customHeight="1">
      <c r="C51" s="457"/>
      <c r="D51" s="127" t="s">
        <v>169</v>
      </c>
      <c r="E51" s="128" t="str">
        <f>IF(E50="","",(E50/E$9*100))</f>
        <v/>
      </c>
      <c r="F51" s="131" t="str">
        <f t="shared" ref="F51:O51" si="13">IF(F50="","",(F50/F$9*100))</f>
        <v/>
      </c>
      <c r="G51" s="132" t="str">
        <f t="shared" si="13"/>
        <v/>
      </c>
      <c r="H51" s="131" t="str">
        <f t="shared" si="13"/>
        <v/>
      </c>
      <c r="I51" s="132" t="str">
        <f t="shared" si="13"/>
        <v/>
      </c>
      <c r="J51" s="131" t="str">
        <f t="shared" si="13"/>
        <v/>
      </c>
      <c r="K51" s="132">
        <f t="shared" si="13"/>
        <v>97.826086956521706</v>
      </c>
      <c r="L51" s="131" t="str">
        <f t="shared" si="13"/>
        <v/>
      </c>
      <c r="M51" s="132" t="str">
        <f t="shared" si="13"/>
        <v/>
      </c>
      <c r="N51" s="128" t="str">
        <f t="shared" si="13"/>
        <v/>
      </c>
      <c r="O51" s="131">
        <f t="shared" si="13"/>
        <v>97.826086956521706</v>
      </c>
      <c r="P51" s="131">
        <f>IF(P50="","",P50)</f>
        <v>97.826086956521706</v>
      </c>
    </row>
    <row r="52" spans="3:16" s="85" customFormat="1" ht="12.75" customHeight="1">
      <c r="C52" s="453" t="s">
        <v>12</v>
      </c>
      <c r="D52" s="112" t="s">
        <v>28</v>
      </c>
      <c r="E52" s="113" t="str">
        <f>IF(A!$K66="","",A!$K66)</f>
        <v/>
      </c>
      <c r="F52" s="114" t="str">
        <f>IF(B!$K66="","",B!$K66)</f>
        <v/>
      </c>
      <c r="G52" s="113" t="str">
        <f>IF('C'!$K66="","",'C'!$K66)</f>
        <v/>
      </c>
      <c r="H52" s="114" t="str">
        <f>IF(D!$K66="","",D!$K66)</f>
        <v/>
      </c>
      <c r="I52" s="113" t="str">
        <f>IF(E!$K66="","",E!$K66)</f>
        <v/>
      </c>
      <c r="J52" s="114" t="str">
        <f>IF(F!$K66="","",F!$K66)</f>
        <v/>
      </c>
      <c r="K52" s="113">
        <f>IF(G!$K66="","",G!$K66)</f>
        <v>2</v>
      </c>
      <c r="L52" s="114" t="str">
        <f>IF(H!$K66="","",H!$K66)</f>
        <v/>
      </c>
      <c r="M52" s="113" t="str">
        <f>IF(I!$K66="","",I!$K66)</f>
        <v/>
      </c>
      <c r="N52" s="149" t="str">
        <f>IF(J!$K66="","",J!$K66)</f>
        <v/>
      </c>
      <c r="O52" s="114">
        <f t="shared" si="5"/>
        <v>2</v>
      </c>
      <c r="P52" s="150">
        <f t="shared" si="6"/>
        <v>4.3478260869565197</v>
      </c>
    </row>
    <row r="53" spans="3:16" s="85" customFormat="1" ht="12.75" customHeight="1">
      <c r="C53" s="454"/>
      <c r="D53" s="115" t="s">
        <v>29</v>
      </c>
      <c r="E53" s="102" t="str">
        <f>IF(A!$K67="","",A!$K67)</f>
        <v/>
      </c>
      <c r="F53" s="101" t="str">
        <f>IF(B!$K67="","",B!$K67)</f>
        <v/>
      </c>
      <c r="G53" s="102" t="str">
        <f>IF('C'!$K67="","",'C'!$K67)</f>
        <v/>
      </c>
      <c r="H53" s="101" t="str">
        <f>IF(D!$K67="","",D!$K67)</f>
        <v/>
      </c>
      <c r="I53" s="102" t="str">
        <f>IF(E!$K67="","",E!$K67)</f>
        <v/>
      </c>
      <c r="J53" s="101" t="str">
        <f>IF(F!$K67="","",F!$K67)</f>
        <v/>
      </c>
      <c r="K53" s="102">
        <f>IF(G!$K67="","",G!$K67)</f>
        <v>10</v>
      </c>
      <c r="L53" s="101" t="str">
        <f>IF(H!$K67="","",H!$K67)</f>
        <v/>
      </c>
      <c r="M53" s="102" t="str">
        <f>IF(I!$K67="","",I!$K67)</f>
        <v/>
      </c>
      <c r="N53" s="100" t="str">
        <f>IF(J!$K67="","",J!$K67)</f>
        <v/>
      </c>
      <c r="O53" s="101">
        <f t="shared" si="5"/>
        <v>10</v>
      </c>
      <c r="P53" s="151">
        <f t="shared" si="6"/>
        <v>21.739130434782599</v>
      </c>
    </row>
    <row r="54" spans="3:16" s="85" customFormat="1" ht="12.75" customHeight="1">
      <c r="C54" s="454"/>
      <c r="D54" s="115" t="s">
        <v>30</v>
      </c>
      <c r="E54" s="102" t="str">
        <f>IF(A!$K68="","",A!$K68)</f>
        <v/>
      </c>
      <c r="F54" s="101" t="str">
        <f>IF(B!$K68="","",B!$K68)</f>
        <v/>
      </c>
      <c r="G54" s="102" t="str">
        <f>IF('C'!$K68="","",'C'!$K68)</f>
        <v/>
      </c>
      <c r="H54" s="101" t="str">
        <f>IF(D!$K68="","",D!$K68)</f>
        <v/>
      </c>
      <c r="I54" s="102" t="str">
        <f>IF(E!$K68="","",E!$K68)</f>
        <v/>
      </c>
      <c r="J54" s="101" t="str">
        <f>IF(F!$K68="","",F!$K68)</f>
        <v/>
      </c>
      <c r="K54" s="102">
        <f>IF(G!$K68="","",G!$K68)</f>
        <v>18</v>
      </c>
      <c r="L54" s="101" t="str">
        <f>IF(H!$K68="","",H!$K68)</f>
        <v/>
      </c>
      <c r="M54" s="102" t="str">
        <f>IF(I!$K68="","",I!$K68)</f>
        <v/>
      </c>
      <c r="N54" s="100" t="str">
        <f>IF(J!$K68="","",J!$K68)</f>
        <v/>
      </c>
      <c r="O54" s="101">
        <f t="shared" si="5"/>
        <v>18</v>
      </c>
      <c r="P54" s="151">
        <f t="shared" si="6"/>
        <v>39.130434782608702</v>
      </c>
    </row>
    <row r="55" spans="3:16" s="85" customFormat="1" ht="12.75" customHeight="1">
      <c r="C55" s="454"/>
      <c r="D55" s="115" t="s">
        <v>31</v>
      </c>
      <c r="E55" s="102" t="str">
        <f>IF(A!$K69="","",A!$K69)</f>
        <v/>
      </c>
      <c r="F55" s="101" t="str">
        <f>IF(B!$K69="","",B!$K69)</f>
        <v/>
      </c>
      <c r="G55" s="102" t="str">
        <f>IF('C'!$K69="","",'C'!$K69)</f>
        <v/>
      </c>
      <c r="H55" s="101" t="str">
        <f>IF(D!$K69="","",D!$K69)</f>
        <v/>
      </c>
      <c r="I55" s="102" t="str">
        <f>IF(E!$K69="","",E!$K69)</f>
        <v/>
      </c>
      <c r="J55" s="101" t="str">
        <f>IF(F!$K69="","",F!$K69)</f>
        <v/>
      </c>
      <c r="K55" s="102">
        <f>IF(G!$K69="","",G!$K69)</f>
        <v>13</v>
      </c>
      <c r="L55" s="101" t="str">
        <f>IF(H!$K69="","",H!$K69)</f>
        <v/>
      </c>
      <c r="M55" s="102" t="str">
        <f>IF(I!$K69="","",I!$K69)</f>
        <v/>
      </c>
      <c r="N55" s="100" t="str">
        <f>IF(J!$K69="","",J!$K69)</f>
        <v/>
      </c>
      <c r="O55" s="101">
        <f t="shared" si="5"/>
        <v>13</v>
      </c>
      <c r="P55" s="151">
        <f t="shared" si="6"/>
        <v>28.260869565217401</v>
      </c>
    </row>
    <row r="56" spans="3:16" s="85" customFormat="1" ht="12.75" customHeight="1">
      <c r="C56" s="454"/>
      <c r="D56" s="116" t="s">
        <v>32</v>
      </c>
      <c r="E56" s="95" t="str">
        <f>IF(A!$K70="","",A!$K70)</f>
        <v/>
      </c>
      <c r="F56" s="94" t="str">
        <f>IF(B!$K70="","",B!$K70)</f>
        <v/>
      </c>
      <c r="G56" s="95" t="str">
        <f>IF('C'!$K70="","",'C'!$K70)</f>
        <v/>
      </c>
      <c r="H56" s="94" t="str">
        <f>IF(D!$K70="","",D!$K70)</f>
        <v/>
      </c>
      <c r="I56" s="95" t="str">
        <f>IF(E!$K70="","",E!$K70)</f>
        <v/>
      </c>
      <c r="J56" s="94" t="str">
        <f>IF(F!$K70="","",F!$K70)</f>
        <v/>
      </c>
      <c r="K56" s="95">
        <f>IF(G!$K70="","",G!$K70)</f>
        <v>2</v>
      </c>
      <c r="L56" s="94" t="str">
        <f>IF(H!$K70="","",H!$K70)</f>
        <v/>
      </c>
      <c r="M56" s="95" t="str">
        <f>IF(I!$K70="","",I!$K70)</f>
        <v/>
      </c>
      <c r="N56" s="141" t="str">
        <f>IF(J!$K70="","",J!$K70)</f>
        <v/>
      </c>
      <c r="O56" s="94">
        <f t="shared" si="5"/>
        <v>2</v>
      </c>
      <c r="P56" s="142">
        <f t="shared" si="6"/>
        <v>4.3478260869565197</v>
      </c>
    </row>
    <row r="57" spans="3:16" s="85" customFormat="1" ht="12.75" customHeight="1">
      <c r="C57" s="454"/>
      <c r="D57" s="117" t="s">
        <v>48</v>
      </c>
      <c r="E57" s="118" t="str">
        <f>IF(A!$J74="","",A!$J74)</f>
        <v/>
      </c>
      <c r="F57" s="119" t="str">
        <f>IF(B!$J74="","",B!$J74)</f>
        <v/>
      </c>
      <c r="G57" s="118" t="str">
        <f>IF('C'!$J74="","",'C'!$J74)</f>
        <v/>
      </c>
      <c r="H57" s="119" t="str">
        <f>IF(D!$J74="","",D!$J74)</f>
        <v/>
      </c>
      <c r="I57" s="118" t="str">
        <f>IF(E!$J74="","",E!$J74)</f>
        <v/>
      </c>
      <c r="J57" s="119" t="str">
        <f>IF(F!$J74="","",F!$J74)</f>
        <v/>
      </c>
      <c r="K57" s="118">
        <f>IF(G!$J74="","",G!$J74)</f>
        <v>1</v>
      </c>
      <c r="L57" s="119" t="str">
        <f>IF(H!$J74="","",H!$J74)</f>
        <v/>
      </c>
      <c r="M57" s="118" t="str">
        <f>IF(I!$J74="","",I!$J74)</f>
        <v/>
      </c>
      <c r="N57" s="152" t="str">
        <f>IF(J!$J74="","",J!$J74)</f>
        <v/>
      </c>
      <c r="O57" s="119">
        <f t="shared" si="5"/>
        <v>1</v>
      </c>
      <c r="P57" s="153">
        <f t="shared" si="6"/>
        <v>2.1739130434782599</v>
      </c>
    </row>
    <row r="58" spans="3:16" s="85" customFormat="1" ht="12.75" customHeight="1">
      <c r="C58" s="454"/>
      <c r="D58" s="120" t="s">
        <v>51</v>
      </c>
      <c r="E58" s="102" t="str">
        <f>IF(A!$J75="","",A!$J75)</f>
        <v/>
      </c>
      <c r="F58" s="101" t="str">
        <f>IF(B!$J75="","",B!$J75)</f>
        <v/>
      </c>
      <c r="G58" s="102" t="str">
        <f>IF('C'!$J75="","",'C'!$J75)</f>
        <v/>
      </c>
      <c r="H58" s="101" t="str">
        <f>IF(D!$J75="","",D!$J75)</f>
        <v/>
      </c>
      <c r="I58" s="102" t="str">
        <f>IF(E!$J75="","",E!$J75)</f>
        <v/>
      </c>
      <c r="J58" s="101" t="str">
        <f>IF(F!$J75="","",F!$J75)</f>
        <v/>
      </c>
      <c r="K58" s="102">
        <f>IF(G!$J75="","",G!$J75)</f>
        <v>1</v>
      </c>
      <c r="L58" s="101" t="str">
        <f>IF(H!$J75="","",H!$J75)</f>
        <v/>
      </c>
      <c r="M58" s="102" t="str">
        <f>IF(I!$J75="","",I!$J75)</f>
        <v/>
      </c>
      <c r="N58" s="100" t="str">
        <f>IF(J!$J75="","",J!$J75)</f>
        <v/>
      </c>
      <c r="O58" s="101">
        <f t="shared" si="5"/>
        <v>1</v>
      </c>
      <c r="P58" s="151">
        <f t="shared" si="6"/>
        <v>2.1739130434782599</v>
      </c>
    </row>
    <row r="59" spans="3:16" s="85" customFormat="1" ht="12.75" customHeight="1">
      <c r="C59" s="454"/>
      <c r="D59" s="121" t="s">
        <v>52</v>
      </c>
      <c r="E59" s="99" t="str">
        <f>IF(A!$J76="","",A!$J76)</f>
        <v/>
      </c>
      <c r="F59" s="98" t="str">
        <f>IF(B!$J76="","",B!$J76)</f>
        <v/>
      </c>
      <c r="G59" s="99" t="str">
        <f>IF('C'!$J76="","",'C'!$J76)</f>
        <v/>
      </c>
      <c r="H59" s="98" t="str">
        <f>IF(D!$J76="","",D!$J76)</f>
        <v/>
      </c>
      <c r="I59" s="99" t="str">
        <f>IF(E!$J76="","",E!$J76)</f>
        <v/>
      </c>
      <c r="J59" s="98" t="str">
        <f>IF(F!$J76="","",F!$J76)</f>
        <v/>
      </c>
      <c r="K59" s="99">
        <f>IF(G!$J76="","",G!$J76)</f>
        <v>0</v>
      </c>
      <c r="L59" s="98" t="str">
        <f>IF(H!$J76="","",H!$J76)</f>
        <v/>
      </c>
      <c r="M59" s="99" t="str">
        <f>IF(I!$J76="","",I!$J76)</f>
        <v/>
      </c>
      <c r="N59" s="154" t="str">
        <f>IF(J!$J76="","",J!$J76)</f>
        <v/>
      </c>
      <c r="O59" s="98">
        <f t="shared" si="5"/>
        <v>0</v>
      </c>
      <c r="P59" s="155">
        <f t="shared" si="6"/>
        <v>0</v>
      </c>
    </row>
    <row r="60" spans="3:16" s="85" customFormat="1" ht="12.75" customHeight="1">
      <c r="C60" s="455"/>
      <c r="D60" s="133" t="s">
        <v>55</v>
      </c>
      <c r="E60" s="123" t="str">
        <f>IF(A!$J77="","",A!$J77)</f>
        <v/>
      </c>
      <c r="F60" s="124" t="str">
        <f>IF(B!$J77="","",B!$J77)</f>
        <v/>
      </c>
      <c r="G60" s="123" t="str">
        <f>IF('C'!$J77="","",'C'!$J77)</f>
        <v/>
      </c>
      <c r="H60" s="124" t="str">
        <f>IF(D!$J77="","",D!$J77)</f>
        <v/>
      </c>
      <c r="I60" s="123" t="str">
        <f>IF(E!$J77="","",E!$J77)</f>
        <v/>
      </c>
      <c r="J60" s="124" t="str">
        <f>IF(F!$J77="","",F!$J77)</f>
        <v/>
      </c>
      <c r="K60" s="123">
        <f>IF(G!$J77="","",G!$J77)</f>
        <v>0</v>
      </c>
      <c r="L60" s="124" t="str">
        <f>IF(H!$J77="","",H!$J77)</f>
        <v/>
      </c>
      <c r="M60" s="123" t="str">
        <f>IF(I!$J77="","",I!$J77)</f>
        <v/>
      </c>
      <c r="N60" s="156" t="str">
        <f>IF(J!$J77="","",J!$J77)</f>
        <v/>
      </c>
      <c r="O60" s="124">
        <f t="shared" si="5"/>
        <v>0</v>
      </c>
      <c r="P60" s="157">
        <f t="shared" si="6"/>
        <v>0</v>
      </c>
    </row>
    <row r="61" spans="3:16" s="85" customFormat="1" ht="12.75" customHeight="1">
      <c r="C61" s="451" t="s">
        <v>176</v>
      </c>
      <c r="D61" s="129" t="s">
        <v>33</v>
      </c>
      <c r="E61" s="126" t="str">
        <f>IF(AND(E52="",E53="",E54="",E55="",E56="",E57="",E58="",E59="",E60=""),"",(SUM(E52:E55,E57,E58)))</f>
        <v/>
      </c>
      <c r="F61" s="126" t="str">
        <f t="shared" ref="F61:N61" si="14">IF(AND(F52="",F53="",F54="",F55="",F56="",F57="",F58="",F59="",F60=""),"",(SUM(F52:F55,F57,F58)))</f>
        <v/>
      </c>
      <c r="G61" s="126" t="str">
        <f t="shared" si="14"/>
        <v/>
      </c>
      <c r="H61" s="126" t="str">
        <f t="shared" si="14"/>
        <v/>
      </c>
      <c r="I61" s="126" t="str">
        <f t="shared" si="14"/>
        <v/>
      </c>
      <c r="J61" s="126" t="str">
        <f t="shared" si="14"/>
        <v/>
      </c>
      <c r="K61" s="126">
        <f t="shared" si="14"/>
        <v>45</v>
      </c>
      <c r="L61" s="126" t="str">
        <f t="shared" si="14"/>
        <v/>
      </c>
      <c r="M61" s="126" t="str">
        <f t="shared" si="14"/>
        <v/>
      </c>
      <c r="N61" s="126" t="str">
        <f t="shared" si="14"/>
        <v/>
      </c>
      <c r="O61" s="161">
        <f t="shared" si="5"/>
        <v>45</v>
      </c>
      <c r="P61" s="159">
        <f t="shared" si="6"/>
        <v>97.826086956521706</v>
      </c>
    </row>
    <row r="62" spans="3:16" s="85" customFormat="1" ht="12.75" customHeight="1">
      <c r="C62" s="452"/>
      <c r="D62" s="127" t="s">
        <v>169</v>
      </c>
      <c r="E62" s="128" t="str">
        <f>IF(E61="","",(E61/E$9*100))</f>
        <v/>
      </c>
      <c r="F62" s="131" t="str">
        <f t="shared" ref="F62:O62" si="15">IF(F61="","",(F61/F$9*100))</f>
        <v/>
      </c>
      <c r="G62" s="132" t="str">
        <f t="shared" si="15"/>
        <v/>
      </c>
      <c r="H62" s="131" t="str">
        <f t="shared" si="15"/>
        <v/>
      </c>
      <c r="I62" s="132" t="str">
        <f t="shared" si="15"/>
        <v/>
      </c>
      <c r="J62" s="131" t="str">
        <f t="shared" si="15"/>
        <v/>
      </c>
      <c r="K62" s="132">
        <f t="shared" si="15"/>
        <v>97.826086956521706</v>
      </c>
      <c r="L62" s="131" t="str">
        <f t="shared" si="15"/>
        <v/>
      </c>
      <c r="M62" s="132" t="str">
        <f t="shared" si="15"/>
        <v/>
      </c>
      <c r="N62" s="128" t="str">
        <f t="shared" si="15"/>
        <v/>
      </c>
      <c r="O62" s="131">
        <f t="shared" si="15"/>
        <v>97.826086956521706</v>
      </c>
      <c r="P62" s="131">
        <f>IF(P61="","",P61)</f>
        <v>97.826086956521706</v>
      </c>
    </row>
    <row r="63" spans="3:16" s="85" customFormat="1" ht="12.75" customHeight="1">
      <c r="C63" s="448" t="s">
        <v>13</v>
      </c>
      <c r="D63" s="112" t="s">
        <v>28</v>
      </c>
      <c r="E63" s="113" t="str">
        <f>IF(A!$M66="","",A!$M66)</f>
        <v/>
      </c>
      <c r="F63" s="114" t="str">
        <f>IF(B!$M66="","",B!$M66)</f>
        <v/>
      </c>
      <c r="G63" s="113" t="str">
        <f>IF('C'!$M66="","",'C'!$M66)</f>
        <v/>
      </c>
      <c r="H63" s="114" t="str">
        <f>IF(D!$M66="","",D!$M66)</f>
        <v/>
      </c>
      <c r="I63" s="113" t="str">
        <f>IF(E!$M66="","",E!$M66)</f>
        <v/>
      </c>
      <c r="J63" s="114" t="str">
        <f>IF(F!$M66="","",F!$M66)</f>
        <v/>
      </c>
      <c r="K63" s="113">
        <f>IF(G!$M66="","",G!$M66)</f>
        <v>21</v>
      </c>
      <c r="L63" s="114" t="str">
        <f>IF(H!$M66="","",H!$M66)</f>
        <v/>
      </c>
      <c r="M63" s="113" t="str">
        <f>IF(I!$M66="","",I!$M66)</f>
        <v/>
      </c>
      <c r="N63" s="149" t="str">
        <f>IF(J!$M66="","",J!$M66)</f>
        <v/>
      </c>
      <c r="O63" s="114">
        <f t="shared" si="5"/>
        <v>21</v>
      </c>
      <c r="P63" s="153">
        <f t="shared" si="6"/>
        <v>45.652173913043498</v>
      </c>
    </row>
    <row r="64" spans="3:16" s="85" customFormat="1" ht="12.75" customHeight="1">
      <c r="C64" s="449"/>
      <c r="D64" s="115" t="s">
        <v>29</v>
      </c>
      <c r="E64" s="102" t="str">
        <f>IF(A!$M67="","",A!$M67)</f>
        <v/>
      </c>
      <c r="F64" s="101" t="str">
        <f>IF(B!$M67="","",B!$M67)</f>
        <v/>
      </c>
      <c r="G64" s="102" t="str">
        <f>IF('C'!$M67="","",'C'!$M67)</f>
        <v/>
      </c>
      <c r="H64" s="101" t="str">
        <f>IF(D!$M67="","",D!$M67)</f>
        <v/>
      </c>
      <c r="I64" s="102" t="str">
        <f>IF(E!$M67="","",E!$M67)</f>
        <v/>
      </c>
      <c r="J64" s="101" t="str">
        <f>IF(F!$M67="","",F!$M67)</f>
        <v/>
      </c>
      <c r="K64" s="102">
        <f>IF(G!$M67="","",G!$M67)</f>
        <v>12</v>
      </c>
      <c r="L64" s="101" t="str">
        <f>IF(H!$M67="","",H!$M67)</f>
        <v/>
      </c>
      <c r="M64" s="102" t="str">
        <f>IF(I!$M67="","",I!$M67)</f>
        <v/>
      </c>
      <c r="N64" s="100" t="str">
        <f>IF(J!$M67="","",J!$M67)</f>
        <v/>
      </c>
      <c r="O64" s="101">
        <f t="shared" si="5"/>
        <v>12</v>
      </c>
      <c r="P64" s="151">
        <f t="shared" si="6"/>
        <v>26.086956521739101</v>
      </c>
    </row>
    <row r="65" spans="3:16" s="85" customFormat="1" ht="12.75" customHeight="1">
      <c r="C65" s="449"/>
      <c r="D65" s="115" t="s">
        <v>30</v>
      </c>
      <c r="E65" s="102" t="str">
        <f>IF(A!$M68="","",A!$M68)</f>
        <v/>
      </c>
      <c r="F65" s="101" t="str">
        <f>IF(B!$M68="","",B!$M68)</f>
        <v/>
      </c>
      <c r="G65" s="102" t="str">
        <f>IF('C'!$M68="","",'C'!$M68)</f>
        <v/>
      </c>
      <c r="H65" s="101" t="str">
        <f>IF(D!$M68="","",D!$M68)</f>
        <v/>
      </c>
      <c r="I65" s="102" t="str">
        <f>IF(E!$M68="","",E!$M68)</f>
        <v/>
      </c>
      <c r="J65" s="101" t="str">
        <f>IF(F!$M68="","",F!$M68)</f>
        <v/>
      </c>
      <c r="K65" s="102">
        <f>IF(G!$M68="","",G!$M68)</f>
        <v>9</v>
      </c>
      <c r="L65" s="101" t="str">
        <f>IF(H!$M68="","",H!$M68)</f>
        <v/>
      </c>
      <c r="M65" s="102" t="str">
        <f>IF(I!$M68="","",I!$M68)</f>
        <v/>
      </c>
      <c r="N65" s="100" t="str">
        <f>IF(J!$M68="","",J!$M68)</f>
        <v/>
      </c>
      <c r="O65" s="101">
        <f t="shared" si="5"/>
        <v>9</v>
      </c>
      <c r="P65" s="151">
        <f t="shared" si="6"/>
        <v>19.565217391304301</v>
      </c>
    </row>
    <row r="66" spans="3:16" s="85" customFormat="1" ht="12.75" customHeight="1">
      <c r="C66" s="449"/>
      <c r="D66" s="115" t="s">
        <v>31</v>
      </c>
      <c r="E66" s="102" t="str">
        <f>IF(A!$M69="","",A!$M69)</f>
        <v/>
      </c>
      <c r="F66" s="101" t="str">
        <f>IF(B!$M69="","",B!$M69)</f>
        <v/>
      </c>
      <c r="G66" s="102" t="str">
        <f>IF('C'!$M69="","",'C'!$M69)</f>
        <v/>
      </c>
      <c r="H66" s="101" t="str">
        <f>IF(D!$M69="","",D!$M69)</f>
        <v/>
      </c>
      <c r="I66" s="102" t="str">
        <f>IF(E!$M69="","",E!$M69)</f>
        <v/>
      </c>
      <c r="J66" s="101" t="str">
        <f>IF(F!$M69="","",F!$M69)</f>
        <v/>
      </c>
      <c r="K66" s="102">
        <f>IF(G!$M69="","",G!$M69)</f>
        <v>2</v>
      </c>
      <c r="L66" s="101" t="str">
        <f>IF(H!$M69="","",H!$M69)</f>
        <v/>
      </c>
      <c r="M66" s="102" t="str">
        <f>IF(I!$M69="","",I!$M69)</f>
        <v/>
      </c>
      <c r="N66" s="100" t="str">
        <f>IF(J!$M69="","",J!$M69)</f>
        <v/>
      </c>
      <c r="O66" s="101">
        <f t="shared" si="5"/>
        <v>2</v>
      </c>
      <c r="P66" s="151">
        <f t="shared" si="6"/>
        <v>4.3478260869565197</v>
      </c>
    </row>
    <row r="67" spans="3:16" s="85" customFormat="1" ht="12.75" customHeight="1">
      <c r="C67" s="449"/>
      <c r="D67" s="116" t="s">
        <v>32</v>
      </c>
      <c r="E67" s="95" t="str">
        <f>IF(A!$M70="","",A!$M70)</f>
        <v/>
      </c>
      <c r="F67" s="94" t="str">
        <f>IF(B!$M70="","",B!$M70)</f>
        <v/>
      </c>
      <c r="G67" s="95" t="str">
        <f>IF('C'!$M70="","",'C'!$M70)</f>
        <v/>
      </c>
      <c r="H67" s="94" t="str">
        <f>IF(D!$M70="","",D!$M70)</f>
        <v/>
      </c>
      <c r="I67" s="95" t="str">
        <f>IF(E!$M70="","",E!$M70)</f>
        <v/>
      </c>
      <c r="J67" s="94" t="str">
        <f>IF(F!$M70="","",F!$M70)</f>
        <v/>
      </c>
      <c r="K67" s="95">
        <f>IF(G!$M70="","",G!$M70)</f>
        <v>1</v>
      </c>
      <c r="L67" s="94" t="str">
        <f>IF(H!$M70="","",H!$M70)</f>
        <v/>
      </c>
      <c r="M67" s="95" t="str">
        <f>IF(I!$M70="","",I!$M70)</f>
        <v/>
      </c>
      <c r="N67" s="141" t="str">
        <f>IF(J!$M70="","",J!$M70)</f>
        <v/>
      </c>
      <c r="O67" s="94">
        <f t="shared" si="5"/>
        <v>1</v>
      </c>
      <c r="P67" s="142">
        <f t="shared" si="6"/>
        <v>2.1739130434782599</v>
      </c>
    </row>
    <row r="68" spans="3:16" s="85" customFormat="1" ht="12.75" customHeight="1">
      <c r="C68" s="449"/>
      <c r="D68" s="117" t="s">
        <v>48</v>
      </c>
      <c r="E68" s="118" t="str">
        <f>IF(A!$L74="","",A!$L74)</f>
        <v/>
      </c>
      <c r="F68" s="119" t="str">
        <f>IF(B!$L74="","",B!$L74)</f>
        <v/>
      </c>
      <c r="G68" s="118" t="str">
        <f>IF('C'!$L74="","",'C'!$L74)</f>
        <v/>
      </c>
      <c r="H68" s="119" t="str">
        <f>IF(D!$L74="","",D!$L74)</f>
        <v/>
      </c>
      <c r="I68" s="118" t="str">
        <f>IF(E!$L74="","",E!$L74)</f>
        <v/>
      </c>
      <c r="J68" s="119" t="str">
        <f>IF(F!$L74="","",F!$L74)</f>
        <v/>
      </c>
      <c r="K68" s="118">
        <f>IF(G!$L74="","",G!$L74)</f>
        <v>1</v>
      </c>
      <c r="L68" s="119" t="str">
        <f>IF(H!$L74="","",H!$L74)</f>
        <v/>
      </c>
      <c r="M68" s="118" t="str">
        <f>IF(I!$L74="","",I!$L74)</f>
        <v/>
      </c>
      <c r="N68" s="152" t="str">
        <f>IF(J!$L74="","",J!$L74)</f>
        <v/>
      </c>
      <c r="O68" s="119">
        <f t="shared" si="5"/>
        <v>1</v>
      </c>
      <c r="P68" s="153">
        <f t="shared" si="6"/>
        <v>2.1739130434782599</v>
      </c>
    </row>
    <row r="69" spans="3:16" s="85" customFormat="1" ht="12.75" customHeight="1">
      <c r="C69" s="449"/>
      <c r="D69" s="120" t="s">
        <v>51</v>
      </c>
      <c r="E69" s="102" t="str">
        <f>IF(A!$L75="","",A!$L75)</f>
        <v/>
      </c>
      <c r="F69" s="101" t="str">
        <f>IF(B!$L75="","",B!$L75)</f>
        <v/>
      </c>
      <c r="G69" s="102" t="str">
        <f>IF('C'!$L75="","",'C'!$L75)</f>
        <v/>
      </c>
      <c r="H69" s="101" t="str">
        <f>IF(D!$L75="","",D!$L75)</f>
        <v/>
      </c>
      <c r="I69" s="102" t="str">
        <f>IF(E!$L75="","",E!$L75)</f>
        <v/>
      </c>
      <c r="J69" s="101" t="str">
        <f>IF(F!$L75="","",F!$L75)</f>
        <v/>
      </c>
      <c r="K69" s="102">
        <f>IF(G!$L75="","",G!$L75)</f>
        <v>0</v>
      </c>
      <c r="L69" s="101" t="str">
        <f>IF(H!$L75="","",H!$L75)</f>
        <v/>
      </c>
      <c r="M69" s="102" t="str">
        <f>IF(I!$L75="","",I!$L75)</f>
        <v/>
      </c>
      <c r="N69" s="100" t="str">
        <f>IF(J!$L75="","",J!$L75)</f>
        <v/>
      </c>
      <c r="O69" s="101">
        <f t="shared" si="5"/>
        <v>0</v>
      </c>
      <c r="P69" s="151">
        <f t="shared" si="6"/>
        <v>0</v>
      </c>
    </row>
    <row r="70" spans="3:16" s="85" customFormat="1" ht="12.75" customHeight="1">
      <c r="C70" s="449"/>
      <c r="D70" s="121" t="s">
        <v>52</v>
      </c>
      <c r="E70" s="99" t="str">
        <f>IF(A!$L76="","",A!$L76)</f>
        <v/>
      </c>
      <c r="F70" s="98" t="str">
        <f>IF(B!$L76="","",B!$L76)</f>
        <v/>
      </c>
      <c r="G70" s="99" t="str">
        <f>IF('C'!$L76="","",'C'!$L76)</f>
        <v/>
      </c>
      <c r="H70" s="98" t="str">
        <f>IF(D!$L76="","",D!$L76)</f>
        <v/>
      </c>
      <c r="I70" s="99" t="str">
        <f>IF(E!$L76="","",E!$L76)</f>
        <v/>
      </c>
      <c r="J70" s="98" t="str">
        <f>IF(F!$L76="","",F!$L76)</f>
        <v/>
      </c>
      <c r="K70" s="99">
        <f>IF(G!$L76="","",G!$L76)</f>
        <v>0</v>
      </c>
      <c r="L70" s="98" t="str">
        <f>IF(H!$L76="","",H!$L76)</f>
        <v/>
      </c>
      <c r="M70" s="99" t="str">
        <f>IF(I!$L76="","",I!$L76)</f>
        <v/>
      </c>
      <c r="N70" s="154" t="str">
        <f>IF(J!$L76="","",J!$L76)</f>
        <v/>
      </c>
      <c r="O70" s="98">
        <f t="shared" si="5"/>
        <v>0</v>
      </c>
      <c r="P70" s="155">
        <f t="shared" si="6"/>
        <v>0</v>
      </c>
    </row>
    <row r="71" spans="3:16" s="85" customFormat="1" ht="12.75" customHeight="1">
      <c r="C71" s="450"/>
      <c r="D71" s="122" t="s">
        <v>55</v>
      </c>
      <c r="E71" s="123" t="str">
        <f>IF(A!$L77="","",A!$L77)</f>
        <v/>
      </c>
      <c r="F71" s="124" t="str">
        <f>IF(B!$L77="","",B!$L77)</f>
        <v/>
      </c>
      <c r="G71" s="123" t="str">
        <f>IF('C'!$L77="","",'C'!$L77)</f>
        <v/>
      </c>
      <c r="H71" s="124" t="str">
        <f>IF(D!$L77="","",D!$L77)</f>
        <v/>
      </c>
      <c r="I71" s="123" t="str">
        <f>IF(E!$L77="","",E!$L77)</f>
        <v/>
      </c>
      <c r="J71" s="124" t="str">
        <f>IF(F!$L77="","",F!$L77)</f>
        <v/>
      </c>
      <c r="K71" s="123">
        <f>IF(G!$L77="","",G!$L77)</f>
        <v>0</v>
      </c>
      <c r="L71" s="124" t="str">
        <f>IF(H!$L77="","",H!$L77)</f>
        <v/>
      </c>
      <c r="M71" s="123" t="str">
        <f>IF(I!$L77="","",I!$L77)</f>
        <v/>
      </c>
      <c r="N71" s="156" t="str">
        <f>IF(J!$L77="","",J!$L77)</f>
        <v/>
      </c>
      <c r="O71" s="124">
        <f t="shared" si="5"/>
        <v>0</v>
      </c>
      <c r="P71" s="157">
        <f t="shared" si="6"/>
        <v>0</v>
      </c>
    </row>
    <row r="72" spans="3:16" s="85" customFormat="1" ht="12.75" customHeight="1">
      <c r="C72" s="451" t="s">
        <v>176</v>
      </c>
      <c r="D72" s="129" t="s">
        <v>33</v>
      </c>
      <c r="E72" s="130" t="str">
        <f>IF(AND(E63="",E64="",E65="",E66="",E67="",E68="",E69="",E70="",E71=""),"",(SUM(E63:E66,E68,E69)))</f>
        <v/>
      </c>
      <c r="F72" s="130" t="str">
        <f t="shared" ref="F72:N72" si="16">IF(AND(F63="",F64="",F65="",F66="",F67="",F68="",F69="",F70="",F71=""),"",(SUM(F63:F66,F68,F69)))</f>
        <v/>
      </c>
      <c r="G72" s="130" t="str">
        <f t="shared" si="16"/>
        <v/>
      </c>
      <c r="H72" s="130" t="str">
        <f t="shared" si="16"/>
        <v/>
      </c>
      <c r="I72" s="130" t="str">
        <f t="shared" si="16"/>
        <v/>
      </c>
      <c r="J72" s="130" t="str">
        <f t="shared" si="16"/>
        <v/>
      </c>
      <c r="K72" s="130">
        <f t="shared" si="16"/>
        <v>45</v>
      </c>
      <c r="L72" s="130" t="str">
        <f t="shared" si="16"/>
        <v/>
      </c>
      <c r="M72" s="130" t="str">
        <f t="shared" si="16"/>
        <v/>
      </c>
      <c r="N72" s="130" t="str">
        <f t="shared" si="16"/>
        <v/>
      </c>
      <c r="O72" s="158">
        <f t="shared" si="5"/>
        <v>45</v>
      </c>
      <c r="P72" s="160">
        <f t="shared" si="6"/>
        <v>97.826086956521706</v>
      </c>
    </row>
    <row r="73" spans="3:16" s="85" customFormat="1" ht="12.75" customHeight="1">
      <c r="C73" s="452"/>
      <c r="D73" s="127" t="s">
        <v>169</v>
      </c>
      <c r="E73" s="128" t="str">
        <f>IF(E72="","",(E72/E$9*100))</f>
        <v/>
      </c>
      <c r="F73" s="131" t="str">
        <f t="shared" ref="F73:O73" si="17">IF(F72="","",(F72/F$9*100))</f>
        <v/>
      </c>
      <c r="G73" s="132" t="str">
        <f t="shared" si="17"/>
        <v/>
      </c>
      <c r="H73" s="131" t="str">
        <f t="shared" si="17"/>
        <v/>
      </c>
      <c r="I73" s="132" t="str">
        <f t="shared" si="17"/>
        <v/>
      </c>
      <c r="J73" s="131" t="str">
        <f t="shared" si="17"/>
        <v/>
      </c>
      <c r="K73" s="132">
        <f t="shared" si="17"/>
        <v>97.826086956521706</v>
      </c>
      <c r="L73" s="131" t="str">
        <f t="shared" si="17"/>
        <v/>
      </c>
      <c r="M73" s="132" t="str">
        <f t="shared" si="17"/>
        <v/>
      </c>
      <c r="N73" s="128" t="str">
        <f t="shared" si="17"/>
        <v/>
      </c>
      <c r="O73" s="131">
        <f t="shared" si="17"/>
        <v>97.826086956521706</v>
      </c>
      <c r="P73" s="131">
        <f>IF(P72="","",P72)</f>
        <v>97.826086956521706</v>
      </c>
    </row>
    <row r="74" spans="3:16" s="85" customFormat="1" ht="12.75" customHeight="1">
      <c r="C74" s="448" t="s">
        <v>14</v>
      </c>
      <c r="D74" s="112" t="s">
        <v>28</v>
      </c>
      <c r="E74" s="113" t="str">
        <f>IF(A!$O66="","",A!$O66)</f>
        <v/>
      </c>
      <c r="F74" s="114" t="str">
        <f>IF(B!$O66="","",B!$O66)</f>
        <v/>
      </c>
      <c r="G74" s="113" t="str">
        <f>IF('C'!$O66="","",'C'!$O66)</f>
        <v/>
      </c>
      <c r="H74" s="114" t="str">
        <f>IF(D!$O66="","",D!$O66)</f>
        <v/>
      </c>
      <c r="I74" s="113" t="str">
        <f>IF(E!$O66="","",E!$O66)</f>
        <v/>
      </c>
      <c r="J74" s="114" t="str">
        <f>IF(F!$O66="","",F!$O66)</f>
        <v/>
      </c>
      <c r="K74" s="113">
        <f>IF(G!$O66="","",G!$O66)</f>
        <v>10</v>
      </c>
      <c r="L74" s="114" t="str">
        <f>IF(H!$O66="","",H!$O66)</f>
        <v/>
      </c>
      <c r="M74" s="113" t="str">
        <f>IF(I!$O66="","",I!$O66)</f>
        <v/>
      </c>
      <c r="N74" s="149" t="str">
        <f>IF(J!$O66="","",J!$O66)</f>
        <v/>
      </c>
      <c r="O74" s="114">
        <f t="shared" si="5"/>
        <v>10</v>
      </c>
      <c r="P74" s="150">
        <f t="shared" si="6"/>
        <v>21.739130434782599</v>
      </c>
    </row>
    <row r="75" spans="3:16" s="85" customFormat="1" ht="12.75" customHeight="1">
      <c r="C75" s="449"/>
      <c r="D75" s="115" t="s">
        <v>29</v>
      </c>
      <c r="E75" s="102" t="str">
        <f>IF(A!$O67="","",A!$O67)</f>
        <v/>
      </c>
      <c r="F75" s="101" t="str">
        <f>IF(B!$O67="","",B!$O67)</f>
        <v/>
      </c>
      <c r="G75" s="102" t="str">
        <f>IF('C'!$O67="","",'C'!$O67)</f>
        <v/>
      </c>
      <c r="H75" s="101" t="str">
        <f>IF(D!$O67="","",D!$O67)</f>
        <v/>
      </c>
      <c r="I75" s="102" t="str">
        <f>IF(E!$O67="","",E!$O67)</f>
        <v/>
      </c>
      <c r="J75" s="101" t="str">
        <f>IF(F!$O67="","",F!$O67)</f>
        <v/>
      </c>
      <c r="K75" s="102">
        <f>IF(G!$O67="","",G!$O67)</f>
        <v>10</v>
      </c>
      <c r="L75" s="101" t="str">
        <f>IF(H!$O67="","",H!$O67)</f>
        <v/>
      </c>
      <c r="M75" s="102" t="str">
        <f>IF(I!$O67="","",I!$O67)</f>
        <v/>
      </c>
      <c r="N75" s="100" t="str">
        <f>IF(J!$O67="","",J!$O67)</f>
        <v/>
      </c>
      <c r="O75" s="101">
        <f t="shared" si="5"/>
        <v>10</v>
      </c>
      <c r="P75" s="151">
        <f t="shared" si="6"/>
        <v>21.739130434782599</v>
      </c>
    </row>
    <row r="76" spans="3:16" s="85" customFormat="1" ht="12.75" customHeight="1">
      <c r="C76" s="449"/>
      <c r="D76" s="115" t="s">
        <v>30</v>
      </c>
      <c r="E76" s="102" t="str">
        <f>IF(A!$O68="","",A!$O68)</f>
        <v/>
      </c>
      <c r="F76" s="101" t="str">
        <f>IF(B!$O68="","",B!$O68)</f>
        <v/>
      </c>
      <c r="G76" s="102" t="str">
        <f>IF('C'!$O68="","",'C'!$O68)</f>
        <v/>
      </c>
      <c r="H76" s="101" t="str">
        <f>IF(D!$O68="","",D!$O68)</f>
        <v/>
      </c>
      <c r="I76" s="102" t="str">
        <f>IF(E!$O68="","",E!$O68)</f>
        <v/>
      </c>
      <c r="J76" s="101" t="str">
        <f>IF(F!$O68="","",F!$O68)</f>
        <v/>
      </c>
      <c r="K76" s="102">
        <f>IF(G!$O68="","",G!$O68)</f>
        <v>15</v>
      </c>
      <c r="L76" s="101" t="str">
        <f>IF(H!$O68="","",H!$O68)</f>
        <v/>
      </c>
      <c r="M76" s="102" t="str">
        <f>IF(I!$O68="","",I!$O68)</f>
        <v/>
      </c>
      <c r="N76" s="100" t="str">
        <f>IF(J!$O68="","",J!$O68)</f>
        <v/>
      </c>
      <c r="O76" s="101">
        <f t="shared" si="5"/>
        <v>15</v>
      </c>
      <c r="P76" s="151">
        <f t="shared" si="6"/>
        <v>32.6086956521739</v>
      </c>
    </row>
    <row r="77" spans="3:16" s="85" customFormat="1" ht="12.75" customHeight="1">
      <c r="C77" s="449"/>
      <c r="D77" s="115" t="s">
        <v>31</v>
      </c>
      <c r="E77" s="102" t="str">
        <f>IF(A!$O69="","",A!$O69)</f>
        <v/>
      </c>
      <c r="F77" s="101" t="str">
        <f>IF(B!$O69="","",B!$O69)</f>
        <v/>
      </c>
      <c r="G77" s="102" t="str">
        <f>IF('C'!$O69="","",'C'!$O69)</f>
        <v/>
      </c>
      <c r="H77" s="101" t="str">
        <f>IF(D!$O69="","",D!$O69)</f>
        <v/>
      </c>
      <c r="I77" s="102" t="str">
        <f>IF(E!$O69="","",E!$O69)</f>
        <v/>
      </c>
      <c r="J77" s="101" t="str">
        <f>IF(F!$O69="","",F!$O69)</f>
        <v/>
      </c>
      <c r="K77" s="102">
        <f>IF(G!$O69="","",G!$O69)</f>
        <v>5</v>
      </c>
      <c r="L77" s="101" t="str">
        <f>IF(H!$O69="","",H!$O69)</f>
        <v/>
      </c>
      <c r="M77" s="102" t="str">
        <f>IF(I!$O69="","",I!$O69)</f>
        <v/>
      </c>
      <c r="N77" s="100" t="str">
        <f>IF(J!$O69="","",J!$O69)</f>
        <v/>
      </c>
      <c r="O77" s="101">
        <f t="shared" si="5"/>
        <v>5</v>
      </c>
      <c r="P77" s="151">
        <f t="shared" si="6"/>
        <v>10.869565217391299</v>
      </c>
    </row>
    <row r="78" spans="3:16" s="85" customFormat="1" ht="12.75" customHeight="1">
      <c r="C78" s="449"/>
      <c r="D78" s="116" t="s">
        <v>32</v>
      </c>
      <c r="E78" s="95" t="str">
        <f>IF(A!$O70="","",A!$O70)</f>
        <v/>
      </c>
      <c r="F78" s="94" t="str">
        <f>IF(B!$O70="","",B!$O70)</f>
        <v/>
      </c>
      <c r="G78" s="95" t="str">
        <f>IF('C'!$O70="","",'C'!$O70)</f>
        <v/>
      </c>
      <c r="H78" s="94" t="str">
        <f>IF(D!$O70="","",D!$O70)</f>
        <v/>
      </c>
      <c r="I78" s="95" t="str">
        <f>IF(E!$O70="","",E!$O70)</f>
        <v/>
      </c>
      <c r="J78" s="94" t="str">
        <f>IF(F!$O70="","",F!$O70)</f>
        <v/>
      </c>
      <c r="K78" s="95">
        <f>IF(G!$O70="","",G!$O70)</f>
        <v>3</v>
      </c>
      <c r="L78" s="94" t="str">
        <f>IF(H!$O70="","",H!$O70)</f>
        <v/>
      </c>
      <c r="M78" s="95" t="str">
        <f>IF(I!$O70="","",I!$O70)</f>
        <v/>
      </c>
      <c r="N78" s="141" t="str">
        <f>IF(J!$O70="","",J!$O70)</f>
        <v/>
      </c>
      <c r="O78" s="94">
        <f t="shared" si="5"/>
        <v>3</v>
      </c>
      <c r="P78" s="142">
        <f t="shared" si="6"/>
        <v>6.5217391304347796</v>
      </c>
    </row>
    <row r="79" spans="3:16" s="85" customFormat="1" ht="12.75" customHeight="1">
      <c r="C79" s="449"/>
      <c r="D79" s="117" t="s">
        <v>48</v>
      </c>
      <c r="E79" s="118" t="str">
        <f>IF(A!$N74="","",A!$N74)</f>
        <v/>
      </c>
      <c r="F79" s="119" t="str">
        <f>IF(B!$N74="","",B!$N74)</f>
        <v/>
      </c>
      <c r="G79" s="118" t="str">
        <f>IF('C'!$N74="","",'C'!$N74)</f>
        <v/>
      </c>
      <c r="H79" s="119" t="str">
        <f>IF(D!$N74="","",D!$N74)</f>
        <v/>
      </c>
      <c r="I79" s="118" t="str">
        <f>IF(E!$N74="","",E!$N74)</f>
        <v/>
      </c>
      <c r="J79" s="119" t="str">
        <f>IF(F!$N74="","",F!$N74)</f>
        <v/>
      </c>
      <c r="K79" s="118">
        <f>IF(G!$N74="","",G!$N74)</f>
        <v>3</v>
      </c>
      <c r="L79" s="119" t="str">
        <f>IF(H!$N74="","",H!$N74)</f>
        <v/>
      </c>
      <c r="M79" s="118" t="str">
        <f>IF(I!$N74="","",I!$N74)</f>
        <v/>
      </c>
      <c r="N79" s="152" t="str">
        <f>IF(J!$N74="","",J!$N74)</f>
        <v/>
      </c>
      <c r="O79" s="119">
        <f t="shared" si="5"/>
        <v>3</v>
      </c>
      <c r="P79" s="153">
        <f t="shared" si="6"/>
        <v>6.5217391304347796</v>
      </c>
    </row>
    <row r="80" spans="3:16" s="85" customFormat="1" ht="12.75" customHeight="1">
      <c r="C80" s="449"/>
      <c r="D80" s="120" t="s">
        <v>51</v>
      </c>
      <c r="E80" s="102" t="str">
        <f>IF(A!$N75="","",A!$N75)</f>
        <v/>
      </c>
      <c r="F80" s="101" t="str">
        <f>IF(B!$N75="","",B!$N75)</f>
        <v/>
      </c>
      <c r="G80" s="102" t="str">
        <f>IF('C'!$N75="","",'C'!$N75)</f>
        <v/>
      </c>
      <c r="H80" s="101" t="str">
        <f>IF(D!$N75="","",D!$N75)</f>
        <v/>
      </c>
      <c r="I80" s="102" t="str">
        <f>IF(E!$N75="","",E!$N75)</f>
        <v/>
      </c>
      <c r="J80" s="101" t="str">
        <f>IF(F!$N75="","",F!$N75)</f>
        <v/>
      </c>
      <c r="K80" s="102">
        <f>IF(G!$N75="","",G!$N75)</f>
        <v>0</v>
      </c>
      <c r="L80" s="101" t="str">
        <f>IF(H!$N75="","",H!$N75)</f>
        <v/>
      </c>
      <c r="M80" s="102" t="str">
        <f>IF(I!$N75="","",I!$N75)</f>
        <v/>
      </c>
      <c r="N80" s="100" t="str">
        <f>IF(J!$N75="","",J!$N75)</f>
        <v/>
      </c>
      <c r="O80" s="101">
        <f t="shared" si="5"/>
        <v>0</v>
      </c>
      <c r="P80" s="151">
        <f t="shared" si="6"/>
        <v>0</v>
      </c>
    </row>
    <row r="81" spans="3:16" s="85" customFormat="1" ht="12.75" customHeight="1">
      <c r="C81" s="449"/>
      <c r="D81" s="121" t="s">
        <v>52</v>
      </c>
      <c r="E81" s="99" t="str">
        <f>IF(A!$N76="","",A!$N76)</f>
        <v/>
      </c>
      <c r="F81" s="98" t="str">
        <f>IF(B!$N76="","",B!$N76)</f>
        <v/>
      </c>
      <c r="G81" s="99" t="str">
        <f>IF('C'!$N76="","",'C'!$N76)</f>
        <v/>
      </c>
      <c r="H81" s="98" t="str">
        <f>IF(D!$N76="","",D!$N76)</f>
        <v/>
      </c>
      <c r="I81" s="99" t="str">
        <f>IF(E!$N76="","",E!$N76)</f>
        <v/>
      </c>
      <c r="J81" s="98" t="str">
        <f>IF(F!$N76="","",F!$N76)</f>
        <v/>
      </c>
      <c r="K81" s="99">
        <f>IF(G!$N76="","",G!$N76)</f>
        <v>0</v>
      </c>
      <c r="L81" s="98" t="str">
        <f>IF(H!$N76="","",H!$N76)</f>
        <v/>
      </c>
      <c r="M81" s="99" t="str">
        <f>IF(I!$N76="","",I!$N76)</f>
        <v/>
      </c>
      <c r="N81" s="154" t="str">
        <f>IF(J!$N76="","",J!$N76)</f>
        <v/>
      </c>
      <c r="O81" s="98">
        <f t="shared" si="5"/>
        <v>0</v>
      </c>
      <c r="P81" s="155">
        <f t="shared" si="6"/>
        <v>0</v>
      </c>
    </row>
    <row r="82" spans="3:16" s="85" customFormat="1" ht="12.75" customHeight="1">
      <c r="C82" s="450"/>
      <c r="D82" s="133" t="s">
        <v>55</v>
      </c>
      <c r="E82" s="123" t="str">
        <f>IF(A!$N77="","",A!$N77)</f>
        <v/>
      </c>
      <c r="F82" s="124" t="str">
        <f>IF(B!$N77="","",B!$N77)</f>
        <v/>
      </c>
      <c r="G82" s="123" t="str">
        <f>IF('C'!$N77="","",'C'!$N77)</f>
        <v/>
      </c>
      <c r="H82" s="124" t="str">
        <f>IF(D!$N77="","",D!$N77)</f>
        <v/>
      </c>
      <c r="I82" s="123" t="str">
        <f>IF(E!$N77="","",E!$N77)</f>
        <v/>
      </c>
      <c r="J82" s="124" t="str">
        <f>IF(F!$N77="","",F!$N77)</f>
        <v/>
      </c>
      <c r="K82" s="123">
        <f>IF(G!$N77="","",G!$N77)</f>
        <v>0</v>
      </c>
      <c r="L82" s="124" t="str">
        <f>IF(H!$N77="","",H!$N77)</f>
        <v/>
      </c>
      <c r="M82" s="123" t="str">
        <f>IF(I!$N77="","",I!$N77)</f>
        <v/>
      </c>
      <c r="N82" s="156" t="str">
        <f>IF(J!$N77="","",J!$N77)</f>
        <v/>
      </c>
      <c r="O82" s="124">
        <f t="shared" si="5"/>
        <v>0</v>
      </c>
      <c r="P82" s="157">
        <f t="shared" si="6"/>
        <v>0</v>
      </c>
    </row>
    <row r="83" spans="3:16" s="85" customFormat="1" ht="12.75" customHeight="1">
      <c r="C83" s="451" t="s">
        <v>176</v>
      </c>
      <c r="D83" s="129" t="s">
        <v>33</v>
      </c>
      <c r="E83" s="126" t="str">
        <f>IF(AND(E74="",E75="",E76="",E77="",E78="",E79="",E80="",E81="",E82=""),"",(SUM(E74:E77,E79,E80)))</f>
        <v/>
      </c>
      <c r="F83" s="126" t="str">
        <f t="shared" ref="F83:N83" si="18">IF(AND(F74="",F75="",F76="",F77="",F78="",F79="",F80="",F81="",F82=""),"",(SUM(F74:F77,F79,F80)))</f>
        <v/>
      </c>
      <c r="G83" s="126" t="str">
        <f t="shared" si="18"/>
        <v/>
      </c>
      <c r="H83" s="126" t="str">
        <f t="shared" si="18"/>
        <v/>
      </c>
      <c r="I83" s="126" t="str">
        <f t="shared" si="18"/>
        <v/>
      </c>
      <c r="J83" s="126" t="str">
        <f t="shared" si="18"/>
        <v/>
      </c>
      <c r="K83" s="126">
        <f t="shared" si="18"/>
        <v>43</v>
      </c>
      <c r="L83" s="126" t="str">
        <f t="shared" si="18"/>
        <v/>
      </c>
      <c r="M83" s="126" t="str">
        <f t="shared" si="18"/>
        <v/>
      </c>
      <c r="N83" s="126" t="str">
        <f t="shared" si="18"/>
        <v/>
      </c>
      <c r="O83" s="161">
        <f t="shared" si="5"/>
        <v>43</v>
      </c>
      <c r="P83" s="159">
        <f t="shared" si="6"/>
        <v>93.478260869565204</v>
      </c>
    </row>
    <row r="84" spans="3:16" s="85" customFormat="1" ht="12.75" customHeight="1">
      <c r="C84" s="452"/>
      <c r="D84" s="127" t="s">
        <v>169</v>
      </c>
      <c r="E84" s="128" t="str">
        <f>IF(E83="","",(E83/E$9*100))</f>
        <v/>
      </c>
      <c r="F84" s="131" t="str">
        <f t="shared" ref="F84:O84" si="19">IF(F83="","",(F83/F$9*100))</f>
        <v/>
      </c>
      <c r="G84" s="132" t="str">
        <f t="shared" si="19"/>
        <v/>
      </c>
      <c r="H84" s="131" t="str">
        <f t="shared" si="19"/>
        <v/>
      </c>
      <c r="I84" s="132" t="str">
        <f t="shared" si="19"/>
        <v/>
      </c>
      <c r="J84" s="131" t="str">
        <f t="shared" si="19"/>
        <v/>
      </c>
      <c r="K84" s="132">
        <f t="shared" si="19"/>
        <v>93.478260869565204</v>
      </c>
      <c r="L84" s="131" t="str">
        <f t="shared" si="19"/>
        <v/>
      </c>
      <c r="M84" s="132" t="str">
        <f t="shared" si="19"/>
        <v/>
      </c>
      <c r="N84" s="128" t="str">
        <f t="shared" si="19"/>
        <v/>
      </c>
      <c r="O84" s="131">
        <f t="shared" si="19"/>
        <v>93.478260869565204</v>
      </c>
      <c r="P84" s="131">
        <f>IF(P83="","",P83)</f>
        <v>93.478260869565204</v>
      </c>
    </row>
    <row r="85" spans="3:16" s="85" customFormat="1" ht="12.75" customHeight="1">
      <c r="C85" s="453" t="s">
        <v>177</v>
      </c>
      <c r="D85" s="112" t="s">
        <v>28</v>
      </c>
      <c r="E85" s="113" t="str">
        <f>IF(A!$Q66="","",A!$Q66)</f>
        <v/>
      </c>
      <c r="F85" s="114" t="str">
        <f>IF(B!$Q66="","",B!$Q66)</f>
        <v/>
      </c>
      <c r="G85" s="113" t="str">
        <f>IF('C'!$Q66="","",'C'!$Q66)</f>
        <v/>
      </c>
      <c r="H85" s="114" t="str">
        <f>IF(D!$Q66="","",D!$Q66)</f>
        <v/>
      </c>
      <c r="I85" s="113" t="str">
        <f>IF(E!$Q66="","",E!$Q66)</f>
        <v/>
      </c>
      <c r="J85" s="114" t="str">
        <f>IF(F!$Q66="","",F!$Q66)</f>
        <v/>
      </c>
      <c r="K85" s="113">
        <f>IF(G!$Q66="","",G!$Q66)</f>
        <v>15</v>
      </c>
      <c r="L85" s="114" t="str">
        <f>IF(H!$Q66="","",H!$Q66)</f>
        <v/>
      </c>
      <c r="M85" s="113" t="str">
        <f>IF(I!$Q66="","",I!$Q66)</f>
        <v/>
      </c>
      <c r="N85" s="149" t="str">
        <f>IF(J!$Q66="","",J!$Q66)</f>
        <v/>
      </c>
      <c r="O85" s="114">
        <f t="shared" si="5"/>
        <v>15</v>
      </c>
      <c r="P85" s="150">
        <f t="shared" si="6"/>
        <v>32.6086956521739</v>
      </c>
    </row>
    <row r="86" spans="3:16" s="85" customFormat="1" ht="12.75" customHeight="1">
      <c r="C86" s="454"/>
      <c r="D86" s="115" t="s">
        <v>29</v>
      </c>
      <c r="E86" s="102" t="str">
        <f>IF(A!$Q67="","",A!$Q67)</f>
        <v/>
      </c>
      <c r="F86" s="101" t="str">
        <f>IF(B!$Q67="","",B!$Q67)</f>
        <v/>
      </c>
      <c r="G86" s="102" t="str">
        <f>IF('C'!$Q67="","",'C'!$Q67)</f>
        <v/>
      </c>
      <c r="H86" s="101" t="str">
        <f>IF(D!$Q67="","",D!$Q67)</f>
        <v/>
      </c>
      <c r="I86" s="102" t="str">
        <f>IF(E!$Q67="","",E!$Q67)</f>
        <v/>
      </c>
      <c r="J86" s="101" t="str">
        <f>IF(F!$Q67="","",F!$Q67)</f>
        <v/>
      </c>
      <c r="K86" s="102">
        <f>IF(G!$Q67="","",G!$Q67)</f>
        <v>14</v>
      </c>
      <c r="L86" s="101" t="str">
        <f>IF(H!$Q67="","",H!$Q67)</f>
        <v/>
      </c>
      <c r="M86" s="102" t="str">
        <f>IF(I!$Q67="","",I!$Q67)</f>
        <v/>
      </c>
      <c r="N86" s="100" t="str">
        <f>IF(J!$Q67="","",J!$Q67)</f>
        <v/>
      </c>
      <c r="O86" s="101">
        <f t="shared" si="5"/>
        <v>14</v>
      </c>
      <c r="P86" s="151">
        <f t="shared" si="6"/>
        <v>30.434782608695699</v>
      </c>
    </row>
    <row r="87" spans="3:16" s="85" customFormat="1" ht="12.75" customHeight="1">
      <c r="C87" s="454"/>
      <c r="D87" s="115" t="s">
        <v>30</v>
      </c>
      <c r="E87" s="102" t="str">
        <f>IF(A!$Q68="","",A!$Q68)</f>
        <v/>
      </c>
      <c r="F87" s="101" t="str">
        <f>IF(B!$Q68="","",B!$Q68)</f>
        <v/>
      </c>
      <c r="G87" s="102" t="str">
        <f>IF('C'!$Q68="","",'C'!$Q68)</f>
        <v/>
      </c>
      <c r="H87" s="101" t="str">
        <f>IF(D!$Q68="","",D!$Q68)</f>
        <v/>
      </c>
      <c r="I87" s="102" t="str">
        <f>IF(E!$Q68="","",E!$Q68)</f>
        <v/>
      </c>
      <c r="J87" s="101" t="str">
        <f>IF(F!$Q68="","",F!$Q68)</f>
        <v/>
      </c>
      <c r="K87" s="102">
        <f>IF(G!$Q68="","",G!$Q68)</f>
        <v>10</v>
      </c>
      <c r="L87" s="101" t="str">
        <f>IF(H!$Q68="","",H!$Q68)</f>
        <v/>
      </c>
      <c r="M87" s="102" t="str">
        <f>IF(I!$Q68="","",I!$Q68)</f>
        <v/>
      </c>
      <c r="N87" s="100" t="str">
        <f>IF(J!$Q68="","",J!$Q68)</f>
        <v/>
      </c>
      <c r="O87" s="101">
        <f t="shared" si="5"/>
        <v>10</v>
      </c>
      <c r="P87" s="151">
        <f t="shared" si="6"/>
        <v>21.739130434782599</v>
      </c>
    </row>
    <row r="88" spans="3:16" s="85" customFormat="1" ht="12.75" customHeight="1">
      <c r="C88" s="454"/>
      <c r="D88" s="115" t="s">
        <v>31</v>
      </c>
      <c r="E88" s="102" t="str">
        <f>IF(A!$Q69="","",A!$Q69)</f>
        <v/>
      </c>
      <c r="F88" s="101" t="str">
        <f>IF(B!$Q69="","",B!$Q69)</f>
        <v/>
      </c>
      <c r="G88" s="102" t="str">
        <f>IF('C'!$Q69="","",'C'!$Q69)</f>
        <v/>
      </c>
      <c r="H88" s="101" t="str">
        <f>IF(D!$Q69="","",D!$Q69)</f>
        <v/>
      </c>
      <c r="I88" s="102" t="str">
        <f>IF(E!$Q69="","",E!$Q69)</f>
        <v/>
      </c>
      <c r="J88" s="101" t="str">
        <f>IF(F!$Q69="","",F!$Q69)</f>
        <v/>
      </c>
      <c r="K88" s="102">
        <f>IF(G!$Q69="","",G!$Q69)</f>
        <v>4</v>
      </c>
      <c r="L88" s="101" t="str">
        <f>IF(H!$Q69="","",H!$Q69)</f>
        <v/>
      </c>
      <c r="M88" s="102" t="str">
        <f>IF(I!$Q69="","",I!$Q69)</f>
        <v/>
      </c>
      <c r="N88" s="100" t="str">
        <f>IF(J!$Q69="","",J!$Q69)</f>
        <v/>
      </c>
      <c r="O88" s="101">
        <f t="shared" si="5"/>
        <v>4</v>
      </c>
      <c r="P88" s="151">
        <f t="shared" si="6"/>
        <v>8.6956521739130395</v>
      </c>
    </row>
    <row r="89" spans="3:16" s="85" customFormat="1" ht="12.75" customHeight="1">
      <c r="C89" s="454"/>
      <c r="D89" s="116" t="s">
        <v>32</v>
      </c>
      <c r="E89" s="95" t="str">
        <f>IF(A!$Q70="","",A!$Q70)</f>
        <v/>
      </c>
      <c r="F89" s="94" t="str">
        <f>IF(B!$Q70="","",B!$Q70)</f>
        <v/>
      </c>
      <c r="G89" s="95" t="str">
        <f>IF('C'!$Q70="","",'C'!$Q70)</f>
        <v/>
      </c>
      <c r="H89" s="94" t="str">
        <f>IF(D!$Q70="","",D!$Q70)</f>
        <v/>
      </c>
      <c r="I89" s="95" t="str">
        <f>IF(E!$Q70="","",E!$Q70)</f>
        <v/>
      </c>
      <c r="J89" s="94" t="str">
        <f>IF(F!$Q70="","",F!$Q70)</f>
        <v/>
      </c>
      <c r="K89" s="95">
        <f>IF(G!$Q70="","",G!$Q70)</f>
        <v>2</v>
      </c>
      <c r="L89" s="94" t="str">
        <f>IF(H!$Q70="","",H!$Q70)</f>
        <v/>
      </c>
      <c r="M89" s="95" t="str">
        <f>IF(I!$Q70="","",I!$Q70)</f>
        <v/>
      </c>
      <c r="N89" s="141" t="str">
        <f>IF(J!$Q70="","",J!$Q70)</f>
        <v/>
      </c>
      <c r="O89" s="94">
        <f t="shared" si="5"/>
        <v>2</v>
      </c>
      <c r="P89" s="142">
        <f t="shared" si="6"/>
        <v>4.3478260869565197</v>
      </c>
    </row>
    <row r="90" spans="3:16" s="85" customFormat="1" ht="12.75" customHeight="1">
      <c r="C90" s="454"/>
      <c r="D90" s="117" t="s">
        <v>48</v>
      </c>
      <c r="E90" s="118" t="str">
        <f>IF(A!$P74="","",A!$P74)</f>
        <v/>
      </c>
      <c r="F90" s="119" t="str">
        <f>IF(B!$P74="","",B!$P74)</f>
        <v/>
      </c>
      <c r="G90" s="118" t="str">
        <f>IF('C'!$P74="","",'C'!$P74)</f>
        <v/>
      </c>
      <c r="H90" s="119" t="str">
        <f>IF(D!$P74="","",D!$P74)</f>
        <v/>
      </c>
      <c r="I90" s="118" t="str">
        <f>IF(E!$P74="","",E!$P74)</f>
        <v/>
      </c>
      <c r="J90" s="119" t="str">
        <f>IF(F!$P74="","",F!$P74)</f>
        <v/>
      </c>
      <c r="K90" s="118">
        <f>IF(G!$P74="","",G!$P74)</f>
        <v>1</v>
      </c>
      <c r="L90" s="119" t="str">
        <f>IF(H!$P74="","",H!$P74)</f>
        <v/>
      </c>
      <c r="M90" s="118" t="str">
        <f>IF(I!$P74="","",I!$P74)</f>
        <v/>
      </c>
      <c r="N90" s="152" t="str">
        <f>IF(J!$P74="","",J!$P74)</f>
        <v/>
      </c>
      <c r="O90" s="119">
        <f t="shared" si="5"/>
        <v>1</v>
      </c>
      <c r="P90" s="153">
        <f t="shared" ref="P90:P116" si="20">IF($O90="","",($O90/$O$9*100))</f>
        <v>2.1739130434782599</v>
      </c>
    </row>
    <row r="91" spans="3:16" s="85" customFormat="1" ht="12.75" customHeight="1">
      <c r="C91" s="454"/>
      <c r="D91" s="120" t="s">
        <v>51</v>
      </c>
      <c r="E91" s="102" t="str">
        <f>IF(A!$P75="","",A!$P75)</f>
        <v/>
      </c>
      <c r="F91" s="101" t="str">
        <f>IF(B!$P75="","",B!$P75)</f>
        <v/>
      </c>
      <c r="G91" s="102" t="str">
        <f>IF('C'!$P75="","",'C'!$P75)</f>
        <v/>
      </c>
      <c r="H91" s="101" t="str">
        <f>IF(D!$P75="","",D!$P75)</f>
        <v/>
      </c>
      <c r="I91" s="102" t="str">
        <f>IF(E!$P75="","",E!$P75)</f>
        <v/>
      </c>
      <c r="J91" s="101" t="str">
        <f>IF(F!$P75="","",F!$P75)</f>
        <v/>
      </c>
      <c r="K91" s="102">
        <f>IF(G!$P75="","",G!$P75)</f>
        <v>1</v>
      </c>
      <c r="L91" s="101" t="str">
        <f>IF(H!$P75="","",H!$P75)</f>
        <v/>
      </c>
      <c r="M91" s="102" t="str">
        <f>IF(I!$P75="","",I!$P75)</f>
        <v/>
      </c>
      <c r="N91" s="100" t="str">
        <f>IF(J!$P75="","",J!$P75)</f>
        <v/>
      </c>
      <c r="O91" s="101">
        <f t="shared" si="5"/>
        <v>1</v>
      </c>
      <c r="P91" s="151">
        <f t="shared" si="20"/>
        <v>2.1739130434782599</v>
      </c>
    </row>
    <row r="92" spans="3:16" s="85" customFormat="1" ht="12.75" customHeight="1">
      <c r="C92" s="454"/>
      <c r="D92" s="121" t="s">
        <v>52</v>
      </c>
      <c r="E92" s="99" t="str">
        <f>IF(A!$P76="","",A!$P76)</f>
        <v/>
      </c>
      <c r="F92" s="98" t="str">
        <f>IF(B!$P76="","",B!$P76)</f>
        <v/>
      </c>
      <c r="G92" s="99" t="str">
        <f>IF('C'!$P76="","",'C'!$P76)</f>
        <v/>
      </c>
      <c r="H92" s="98" t="str">
        <f>IF(D!$P76="","",D!$P76)</f>
        <v/>
      </c>
      <c r="I92" s="99" t="str">
        <f>IF(E!$P76="","",E!$P76)</f>
        <v/>
      </c>
      <c r="J92" s="98" t="str">
        <f>IF(F!$P76="","",F!$P76)</f>
        <v/>
      </c>
      <c r="K92" s="99">
        <f>IF(G!$P76="","",G!$P76)</f>
        <v>0</v>
      </c>
      <c r="L92" s="98" t="str">
        <f>IF(H!$P76="","",H!$P76)</f>
        <v/>
      </c>
      <c r="M92" s="99" t="str">
        <f>IF(I!$P76="","",I!$P76)</f>
        <v/>
      </c>
      <c r="N92" s="154" t="str">
        <f>IF(J!$P76="","",J!$P76)</f>
        <v/>
      </c>
      <c r="O92" s="98">
        <f t="shared" si="5"/>
        <v>0</v>
      </c>
      <c r="P92" s="155">
        <f t="shared" si="20"/>
        <v>0</v>
      </c>
    </row>
    <row r="93" spans="3:16" s="85" customFormat="1" ht="12.75" customHeight="1">
      <c r="C93" s="455"/>
      <c r="D93" s="133" t="s">
        <v>55</v>
      </c>
      <c r="E93" s="123" t="str">
        <f>IF(A!$P77="","",A!$P77)</f>
        <v/>
      </c>
      <c r="F93" s="124" t="str">
        <f>IF(B!$P77="","",B!$P77)</f>
        <v/>
      </c>
      <c r="G93" s="123" t="str">
        <f>IF('C'!$P77="","",'C'!$P77)</f>
        <v/>
      </c>
      <c r="H93" s="124" t="str">
        <f>IF(D!$P77="","",D!$P77)</f>
        <v/>
      </c>
      <c r="I93" s="123" t="str">
        <f>IF(E!$P77="","",E!$P77)</f>
        <v/>
      </c>
      <c r="J93" s="124" t="str">
        <f>IF(F!$P77="","",F!$P77)</f>
        <v/>
      </c>
      <c r="K93" s="123">
        <f>IF(G!$P77="","",G!$P77)</f>
        <v>0</v>
      </c>
      <c r="L93" s="124" t="str">
        <f>IF(H!$P77="","",H!$P77)</f>
        <v/>
      </c>
      <c r="M93" s="123" t="str">
        <f>IF(I!$P77="","",I!$P77)</f>
        <v/>
      </c>
      <c r="N93" s="156" t="str">
        <f>IF(J!$P77="","",J!$P77)</f>
        <v/>
      </c>
      <c r="O93" s="124">
        <f t="shared" si="5"/>
        <v>0</v>
      </c>
      <c r="P93" s="157">
        <f t="shared" si="20"/>
        <v>0</v>
      </c>
    </row>
    <row r="94" spans="3:16" s="85" customFormat="1" ht="12.75" customHeight="1">
      <c r="C94" s="451" t="s">
        <v>176</v>
      </c>
      <c r="D94" s="129" t="s">
        <v>33</v>
      </c>
      <c r="E94" s="126" t="str">
        <f>IF(AND(E85="",E86="",E87="",E88="",E89="",E90="",E91="",E92="",E93=""),"",(SUM(E85:E88,E90,E91)))</f>
        <v/>
      </c>
      <c r="F94" s="126" t="str">
        <f t="shared" ref="F94:N94" si="21">IF(AND(F85="",F86="",F87="",F88="",F89="",F90="",F91="",F92="",F93=""),"",(SUM(F85:F88,F90,F91)))</f>
        <v/>
      </c>
      <c r="G94" s="126" t="str">
        <f t="shared" si="21"/>
        <v/>
      </c>
      <c r="H94" s="126" t="str">
        <f t="shared" si="21"/>
        <v/>
      </c>
      <c r="I94" s="126" t="str">
        <f t="shared" si="21"/>
        <v/>
      </c>
      <c r="J94" s="126" t="str">
        <f t="shared" si="21"/>
        <v/>
      </c>
      <c r="K94" s="126">
        <f t="shared" si="21"/>
        <v>45</v>
      </c>
      <c r="L94" s="126" t="str">
        <f t="shared" si="21"/>
        <v/>
      </c>
      <c r="M94" s="126" t="str">
        <f t="shared" si="21"/>
        <v/>
      </c>
      <c r="N94" s="126" t="str">
        <f t="shared" si="21"/>
        <v/>
      </c>
      <c r="O94" s="161">
        <f t="shared" si="5"/>
        <v>45</v>
      </c>
      <c r="P94" s="159">
        <f t="shared" si="20"/>
        <v>97.826086956521706</v>
      </c>
    </row>
    <row r="95" spans="3:16" s="85" customFormat="1" ht="12.75" customHeight="1">
      <c r="C95" s="452"/>
      <c r="D95" s="127" t="s">
        <v>169</v>
      </c>
      <c r="E95" s="128" t="str">
        <f>IF(E94="","",(E94/E$9*100))</f>
        <v/>
      </c>
      <c r="F95" s="131" t="str">
        <f t="shared" ref="F95:O95" si="22">IF(F94="","",(F94/F$9*100))</f>
        <v/>
      </c>
      <c r="G95" s="132" t="str">
        <f t="shared" si="22"/>
        <v/>
      </c>
      <c r="H95" s="131" t="str">
        <f t="shared" si="22"/>
        <v/>
      </c>
      <c r="I95" s="132" t="str">
        <f t="shared" si="22"/>
        <v/>
      </c>
      <c r="J95" s="131" t="str">
        <f t="shared" si="22"/>
        <v/>
      </c>
      <c r="K95" s="132">
        <f t="shared" si="22"/>
        <v>97.826086956521706</v>
      </c>
      <c r="L95" s="131" t="str">
        <f t="shared" si="22"/>
        <v/>
      </c>
      <c r="M95" s="132" t="str">
        <f t="shared" si="22"/>
        <v/>
      </c>
      <c r="N95" s="128" t="str">
        <f t="shared" si="22"/>
        <v/>
      </c>
      <c r="O95" s="131">
        <f t="shared" si="22"/>
        <v>97.826086956521706</v>
      </c>
      <c r="P95" s="131">
        <f>IF(P94="","",P94)</f>
        <v>97.826086956521706</v>
      </c>
    </row>
    <row r="96" spans="3:16" s="85" customFormat="1" ht="12.75" customHeight="1">
      <c r="C96" s="453" t="s">
        <v>178</v>
      </c>
      <c r="D96" s="112" t="s">
        <v>28</v>
      </c>
      <c r="E96" s="113" t="str">
        <f>IF(A!$T66="","",A!$T66)</f>
        <v/>
      </c>
      <c r="F96" s="114" t="str">
        <f>IF(B!$T66="","",B!$T66)</f>
        <v/>
      </c>
      <c r="G96" s="113" t="str">
        <f>IF('C'!$T66="","",'C'!$T66)</f>
        <v/>
      </c>
      <c r="H96" s="114" t="str">
        <f>IF(D!$T66="","",D!$T66)</f>
        <v/>
      </c>
      <c r="I96" s="113" t="str">
        <f>IF(E!$T66="","",E!$T66)</f>
        <v/>
      </c>
      <c r="J96" s="114" t="str">
        <f>IF(F!$T66="","",F!$T66)</f>
        <v/>
      </c>
      <c r="K96" s="113">
        <f>IF(G!$T66="","",G!$T66)</f>
        <v>12</v>
      </c>
      <c r="L96" s="114" t="str">
        <f>IF(H!$T66="","",H!$T66)</f>
        <v/>
      </c>
      <c r="M96" s="113" t="str">
        <f>IF(I!$T66="","",I!$T66)</f>
        <v/>
      </c>
      <c r="N96" s="149" t="str">
        <f>IF(J!$T66="","",J!$T66)</f>
        <v/>
      </c>
      <c r="O96" s="114">
        <f t="shared" si="5"/>
        <v>12</v>
      </c>
      <c r="P96" s="150">
        <f t="shared" si="20"/>
        <v>26.086956521739101</v>
      </c>
    </row>
    <row r="97" spans="3:16" s="85" customFormat="1" ht="12.75" customHeight="1">
      <c r="C97" s="454"/>
      <c r="D97" s="115" t="s">
        <v>29</v>
      </c>
      <c r="E97" s="102" t="str">
        <f>IF(A!$T67="","",A!$T67)</f>
        <v/>
      </c>
      <c r="F97" s="101" t="str">
        <f>IF(B!$T67="","",B!$T67)</f>
        <v/>
      </c>
      <c r="G97" s="102" t="str">
        <f>IF('C'!$T67="","",'C'!$T67)</f>
        <v/>
      </c>
      <c r="H97" s="101" t="str">
        <f>IF(D!$T67="","",D!$T67)</f>
        <v/>
      </c>
      <c r="I97" s="102" t="str">
        <f>IF(E!$T67="","",E!$T67)</f>
        <v/>
      </c>
      <c r="J97" s="101" t="str">
        <f>IF(F!$T67="","",F!$T67)</f>
        <v/>
      </c>
      <c r="K97" s="102">
        <f>IF(G!$T67="","",G!$T67)</f>
        <v>10</v>
      </c>
      <c r="L97" s="101" t="str">
        <f>IF(H!$T67="","",H!$T67)</f>
        <v/>
      </c>
      <c r="M97" s="102" t="str">
        <f>IF(I!$T67="","",I!$T67)</f>
        <v/>
      </c>
      <c r="N97" s="100" t="str">
        <f>IF(J!$T67="","",J!$T67)</f>
        <v/>
      </c>
      <c r="O97" s="101">
        <f t="shared" si="5"/>
        <v>10</v>
      </c>
      <c r="P97" s="151">
        <f t="shared" si="20"/>
        <v>21.739130434782599</v>
      </c>
    </row>
    <row r="98" spans="3:16" s="85" customFormat="1" ht="12.75" customHeight="1">
      <c r="C98" s="454"/>
      <c r="D98" s="115" t="s">
        <v>30</v>
      </c>
      <c r="E98" s="102" t="str">
        <f>IF(A!$T68="","",A!$T68)</f>
        <v/>
      </c>
      <c r="F98" s="101" t="str">
        <f>IF(B!$T68="","",B!$T68)</f>
        <v/>
      </c>
      <c r="G98" s="102" t="str">
        <f>IF('C'!$T68="","",'C'!$T68)</f>
        <v/>
      </c>
      <c r="H98" s="101" t="str">
        <f>IF(D!$T68="","",D!$T68)</f>
        <v/>
      </c>
      <c r="I98" s="102" t="str">
        <f>IF(E!$T68="","",E!$T68)</f>
        <v/>
      </c>
      <c r="J98" s="101" t="str">
        <f>IF(F!$T68="","",F!$T68)</f>
        <v/>
      </c>
      <c r="K98" s="102">
        <f>IF(G!$T68="","",G!$T68)</f>
        <v>17</v>
      </c>
      <c r="L98" s="101" t="str">
        <f>IF(H!$T68="","",H!$T68)</f>
        <v/>
      </c>
      <c r="M98" s="102" t="str">
        <f>IF(I!$T68="","",I!$T68)</f>
        <v/>
      </c>
      <c r="N98" s="100" t="str">
        <f>IF(J!$T68="","",J!$T68)</f>
        <v/>
      </c>
      <c r="O98" s="101">
        <f t="shared" ref="O98:O116" si="23">IF(AND(E98="",F98="",G98="",H98="",I98="",J98="",K98="",L98="",M98="",N98=""),"",SUM(E98:N98))</f>
        <v>17</v>
      </c>
      <c r="P98" s="151">
        <f t="shared" si="20"/>
        <v>36.956521739130402</v>
      </c>
    </row>
    <row r="99" spans="3:16" s="85" customFormat="1" ht="12.75" customHeight="1">
      <c r="C99" s="454"/>
      <c r="D99" s="115" t="s">
        <v>31</v>
      </c>
      <c r="E99" s="102" t="str">
        <f>IF(A!$T69="","",A!$T69)</f>
        <v/>
      </c>
      <c r="F99" s="101" t="str">
        <f>IF(B!$T69="","",B!$T69)</f>
        <v/>
      </c>
      <c r="G99" s="102" t="str">
        <f>IF('C'!$T69="","",'C'!$T69)</f>
        <v/>
      </c>
      <c r="H99" s="101" t="str">
        <f>IF(D!$T69="","",D!$T69)</f>
        <v/>
      </c>
      <c r="I99" s="102" t="str">
        <f>IF(E!$T69="","",E!$T69)</f>
        <v/>
      </c>
      <c r="J99" s="101" t="str">
        <f>IF(F!$T69="","",F!$T69)</f>
        <v/>
      </c>
      <c r="K99" s="102">
        <f>IF(G!$T69="","",G!$T69)</f>
        <v>1</v>
      </c>
      <c r="L99" s="101" t="str">
        <f>IF(H!$T69="","",H!$T69)</f>
        <v/>
      </c>
      <c r="M99" s="102" t="str">
        <f>IF(I!$T69="","",I!$T69)</f>
        <v/>
      </c>
      <c r="N99" s="100" t="str">
        <f>IF(J!$T69="","",J!$T69)</f>
        <v/>
      </c>
      <c r="O99" s="101">
        <f t="shared" si="23"/>
        <v>1</v>
      </c>
      <c r="P99" s="151">
        <f t="shared" si="20"/>
        <v>2.1739130434782599</v>
      </c>
    </row>
    <row r="100" spans="3:16" s="85" customFormat="1" ht="12.75" customHeight="1">
      <c r="C100" s="454"/>
      <c r="D100" s="116" t="s">
        <v>32</v>
      </c>
      <c r="E100" s="95" t="str">
        <f>IF(A!$T70="","",A!$T70)</f>
        <v/>
      </c>
      <c r="F100" s="94" t="str">
        <f>IF(B!$T70="","",B!$T70)</f>
        <v/>
      </c>
      <c r="G100" s="95" t="str">
        <f>IF('C'!$T70="","",'C'!$T70)</f>
        <v/>
      </c>
      <c r="H100" s="94" t="str">
        <f>IF(D!$T70="","",D!$T70)</f>
        <v/>
      </c>
      <c r="I100" s="95" t="str">
        <f>IF(E!$T70="","",E!$T70)</f>
        <v/>
      </c>
      <c r="J100" s="94" t="str">
        <f>IF(F!$T70="","",F!$T70)</f>
        <v/>
      </c>
      <c r="K100" s="95">
        <f>IF(G!$T70="","",G!$T70)</f>
        <v>2</v>
      </c>
      <c r="L100" s="94" t="str">
        <f>IF(H!$T70="","",H!$T70)</f>
        <v/>
      </c>
      <c r="M100" s="95" t="str">
        <f>IF(I!$T70="","",I!$T70)</f>
        <v/>
      </c>
      <c r="N100" s="141" t="str">
        <f>IF(J!$T70="","",J!$T70)</f>
        <v/>
      </c>
      <c r="O100" s="94">
        <f t="shared" si="23"/>
        <v>2</v>
      </c>
      <c r="P100" s="142">
        <f t="shared" si="20"/>
        <v>4.3478260869565197</v>
      </c>
    </row>
    <row r="101" spans="3:16" s="85" customFormat="1" ht="12.75" customHeight="1">
      <c r="C101" s="454"/>
      <c r="D101" s="117" t="s">
        <v>48</v>
      </c>
      <c r="E101" s="118" t="str">
        <f>IF(A!$S74="","",A!$S74)</f>
        <v/>
      </c>
      <c r="F101" s="119" t="str">
        <f>IF(B!$S74="","",B!$S74)</f>
        <v/>
      </c>
      <c r="G101" s="118" t="str">
        <f>IF('C'!$S74="","",'C'!$S74)</f>
        <v/>
      </c>
      <c r="H101" s="119" t="str">
        <f>IF(D!$S74="","",D!$S74)</f>
        <v/>
      </c>
      <c r="I101" s="118" t="str">
        <f>IF(E!$S74="","",E!$S74)</f>
        <v/>
      </c>
      <c r="J101" s="119" t="str">
        <f>IF(F!$S74="","",F!$S74)</f>
        <v/>
      </c>
      <c r="K101" s="118">
        <f>IF(G!$S74="","",G!$S74)</f>
        <v>0</v>
      </c>
      <c r="L101" s="119" t="str">
        <f>IF(H!$S74="","",H!$S74)</f>
        <v/>
      </c>
      <c r="M101" s="118" t="str">
        <f>IF(I!$S74="","",I!$S74)</f>
        <v/>
      </c>
      <c r="N101" s="152" t="str">
        <f>IF(J!$S74="","",J!$S74)</f>
        <v/>
      </c>
      <c r="O101" s="119">
        <f t="shared" si="23"/>
        <v>0</v>
      </c>
      <c r="P101" s="153">
        <f t="shared" si="20"/>
        <v>0</v>
      </c>
    </row>
    <row r="102" spans="3:16" s="85" customFormat="1" ht="12.75" customHeight="1">
      <c r="C102" s="454"/>
      <c r="D102" s="120" t="s">
        <v>51</v>
      </c>
      <c r="E102" s="102" t="str">
        <f>IF(A!$S75="","",A!$S75)</f>
        <v/>
      </c>
      <c r="F102" s="101" t="str">
        <f>IF(B!$S75="","",B!$S75)</f>
        <v/>
      </c>
      <c r="G102" s="102" t="str">
        <f>IF('C'!$S75="","",'C'!$S75)</f>
        <v/>
      </c>
      <c r="H102" s="101" t="str">
        <f>IF(D!$S75="","",D!$S75)</f>
        <v/>
      </c>
      <c r="I102" s="102" t="str">
        <f>IF(E!$S75="","",E!$S75)</f>
        <v/>
      </c>
      <c r="J102" s="101" t="str">
        <f>IF(F!$S75="","",F!$S75)</f>
        <v/>
      </c>
      <c r="K102" s="102">
        <f>IF(G!$S75="","",G!$S75)</f>
        <v>1</v>
      </c>
      <c r="L102" s="101" t="str">
        <f>IF(H!$S75="","",H!$S75)</f>
        <v/>
      </c>
      <c r="M102" s="102" t="str">
        <f>IF(I!$S75="","",I!$S75)</f>
        <v/>
      </c>
      <c r="N102" s="100" t="str">
        <f>IF(J!$S75="","",J!$S75)</f>
        <v/>
      </c>
      <c r="O102" s="101">
        <f t="shared" si="23"/>
        <v>1</v>
      </c>
      <c r="P102" s="151">
        <f t="shared" si="20"/>
        <v>2.1739130434782599</v>
      </c>
    </row>
    <row r="103" spans="3:16" s="85" customFormat="1" ht="12.75" customHeight="1">
      <c r="C103" s="454"/>
      <c r="D103" s="121" t="s">
        <v>52</v>
      </c>
      <c r="E103" s="99" t="str">
        <f>IF(A!$S76="","",A!$S76)</f>
        <v/>
      </c>
      <c r="F103" s="98" t="str">
        <f>IF(B!$S76="","",B!$S76)</f>
        <v/>
      </c>
      <c r="G103" s="99" t="str">
        <f>IF('C'!$S76="","",'C'!$S76)</f>
        <v/>
      </c>
      <c r="H103" s="98" t="str">
        <f>IF(D!$S76="","",D!$S76)</f>
        <v/>
      </c>
      <c r="I103" s="99" t="str">
        <f>IF(E!$S76="","",E!$S76)</f>
        <v/>
      </c>
      <c r="J103" s="98" t="str">
        <f>IF(F!$S76="","",F!$S76)</f>
        <v/>
      </c>
      <c r="K103" s="99">
        <f>IF(G!$S76="","",G!$S76)</f>
        <v>0</v>
      </c>
      <c r="L103" s="98" t="str">
        <f>IF(H!$S76="","",H!$S76)</f>
        <v/>
      </c>
      <c r="M103" s="99" t="str">
        <f>IF(I!$S76="","",I!$S76)</f>
        <v/>
      </c>
      <c r="N103" s="154" t="str">
        <f>IF(J!$S76="","",J!$S76)</f>
        <v/>
      </c>
      <c r="O103" s="98">
        <f t="shared" si="23"/>
        <v>0</v>
      </c>
      <c r="P103" s="155">
        <f t="shared" si="20"/>
        <v>0</v>
      </c>
    </row>
    <row r="104" spans="3:16" s="85" customFormat="1" ht="12.75" customHeight="1">
      <c r="C104" s="455"/>
      <c r="D104" s="133" t="s">
        <v>55</v>
      </c>
      <c r="E104" s="123" t="str">
        <f>IF(A!$S77="","",A!$S77)</f>
        <v/>
      </c>
      <c r="F104" s="124" t="str">
        <f>IF(B!$S77="","",B!$S77)</f>
        <v/>
      </c>
      <c r="G104" s="123" t="str">
        <f>IF('C'!$S77="","",'C'!$S77)</f>
        <v/>
      </c>
      <c r="H104" s="124" t="str">
        <f>IF(D!$S77="","",D!$S77)</f>
        <v/>
      </c>
      <c r="I104" s="123" t="str">
        <f>IF(E!$S77="","",E!$S77)</f>
        <v/>
      </c>
      <c r="J104" s="124" t="str">
        <f>IF(F!$S77="","",F!$S77)</f>
        <v/>
      </c>
      <c r="K104" s="123">
        <f>IF(G!$S77="","",G!$S77)</f>
        <v>1</v>
      </c>
      <c r="L104" s="124" t="str">
        <f>IF(H!$S77="","",H!$S77)</f>
        <v/>
      </c>
      <c r="M104" s="123" t="str">
        <f>IF(I!$S77="","",I!$S77)</f>
        <v/>
      </c>
      <c r="N104" s="156" t="str">
        <f>IF(J!$S77="","",J!$S77)</f>
        <v/>
      </c>
      <c r="O104" s="124">
        <f t="shared" si="23"/>
        <v>1</v>
      </c>
      <c r="P104" s="157">
        <f t="shared" si="20"/>
        <v>2.1739130434782599</v>
      </c>
    </row>
    <row r="105" spans="3:16" s="85" customFormat="1" ht="12.75" customHeight="1">
      <c r="C105" s="451" t="s">
        <v>176</v>
      </c>
      <c r="D105" s="129" t="s">
        <v>33</v>
      </c>
      <c r="E105" s="126" t="str">
        <f>IF(AND(E96="",E97="",E98="",E99="",E100="",E101="",E102="",E103="",E104=""),"",(SUM(E96:E99,E101,E102)))</f>
        <v/>
      </c>
      <c r="F105" s="126" t="str">
        <f t="shared" ref="F105:N105" si="24">IF(AND(F96="",F97="",F98="",F99="",F100="",F101="",F102="",F103="",F104=""),"",(SUM(F96:F99,F101,F102)))</f>
        <v/>
      </c>
      <c r="G105" s="126" t="str">
        <f t="shared" si="24"/>
        <v/>
      </c>
      <c r="H105" s="126" t="str">
        <f t="shared" si="24"/>
        <v/>
      </c>
      <c r="I105" s="126" t="str">
        <f t="shared" si="24"/>
        <v/>
      </c>
      <c r="J105" s="126" t="str">
        <f t="shared" si="24"/>
        <v/>
      </c>
      <c r="K105" s="126">
        <f t="shared" si="24"/>
        <v>41</v>
      </c>
      <c r="L105" s="126" t="str">
        <f t="shared" si="24"/>
        <v/>
      </c>
      <c r="M105" s="126" t="str">
        <f t="shared" si="24"/>
        <v/>
      </c>
      <c r="N105" s="126" t="str">
        <f t="shared" si="24"/>
        <v/>
      </c>
      <c r="O105" s="161">
        <f t="shared" si="23"/>
        <v>41</v>
      </c>
      <c r="P105" s="159">
        <f t="shared" si="20"/>
        <v>89.130434782608702</v>
      </c>
    </row>
    <row r="106" spans="3:16" s="85" customFormat="1" ht="12.75" customHeight="1">
      <c r="C106" s="452"/>
      <c r="D106" s="127" t="s">
        <v>169</v>
      </c>
      <c r="E106" s="128" t="str">
        <f>IF(E105="","",(E105/E$9*100))</f>
        <v/>
      </c>
      <c r="F106" s="131" t="str">
        <f t="shared" ref="F106:O106" si="25">IF(F105="","",(F105/F$9*100))</f>
        <v/>
      </c>
      <c r="G106" s="132" t="str">
        <f t="shared" si="25"/>
        <v/>
      </c>
      <c r="H106" s="131" t="str">
        <f t="shared" si="25"/>
        <v/>
      </c>
      <c r="I106" s="132" t="str">
        <f t="shared" si="25"/>
        <v/>
      </c>
      <c r="J106" s="131" t="str">
        <f t="shared" si="25"/>
        <v/>
      </c>
      <c r="K106" s="132">
        <f t="shared" si="25"/>
        <v>89.130434782608702</v>
      </c>
      <c r="L106" s="131" t="str">
        <f t="shared" si="25"/>
        <v/>
      </c>
      <c r="M106" s="132" t="str">
        <f t="shared" si="25"/>
        <v/>
      </c>
      <c r="N106" s="128" t="str">
        <f t="shared" si="25"/>
        <v/>
      </c>
      <c r="O106" s="131">
        <f t="shared" si="25"/>
        <v>89.130434782608702</v>
      </c>
      <c r="P106" s="131">
        <f>IF(P105="","",P105)</f>
        <v>89.130434782608702</v>
      </c>
    </row>
    <row r="107" spans="3:16" s="85" customFormat="1" ht="12.75" customHeight="1">
      <c r="C107" s="453" t="s">
        <v>179</v>
      </c>
      <c r="D107" s="119" t="s">
        <v>28</v>
      </c>
      <c r="E107" s="113" t="str">
        <f>IF(A!$W66="","",A!$W66)</f>
        <v/>
      </c>
      <c r="F107" s="114" t="str">
        <f>IF(B!$W66="","",B!$W66)</f>
        <v/>
      </c>
      <c r="G107" s="113" t="str">
        <f>IF('C'!$W66="","",'C'!$W66)</f>
        <v/>
      </c>
      <c r="H107" s="114" t="str">
        <f>IF(D!$W66="","",D!$W66)</f>
        <v/>
      </c>
      <c r="I107" s="113" t="str">
        <f>IF(E!$W66="","",E!$W66)</f>
        <v/>
      </c>
      <c r="J107" s="114" t="str">
        <f>IF(F!$W66="","",F!$W66)</f>
        <v/>
      </c>
      <c r="K107" s="113">
        <f>IF(G!$W66="","",G!$W66)</f>
        <v>9</v>
      </c>
      <c r="L107" s="114" t="str">
        <f>IF(H!$W66="","",H!$W66)</f>
        <v/>
      </c>
      <c r="M107" s="113" t="str">
        <f>IF(I!$W66="","",I!$W66)</f>
        <v/>
      </c>
      <c r="N107" s="149" t="str">
        <f>IF(J!$W66="","",J!$W66)</f>
        <v/>
      </c>
      <c r="O107" s="114">
        <f t="shared" si="23"/>
        <v>9</v>
      </c>
      <c r="P107" s="150">
        <f t="shared" si="20"/>
        <v>19.565217391304301</v>
      </c>
    </row>
    <row r="108" spans="3:16" s="85" customFormat="1" ht="12.75" customHeight="1">
      <c r="C108" s="454"/>
      <c r="D108" s="101" t="s">
        <v>29</v>
      </c>
      <c r="E108" s="102" t="str">
        <f>IF(A!$W67="","",A!$W67)</f>
        <v/>
      </c>
      <c r="F108" s="101" t="str">
        <f>IF(B!$W67="","",B!$W67)</f>
        <v/>
      </c>
      <c r="G108" s="102" t="str">
        <f>IF('C'!$W67="","",'C'!$W67)</f>
        <v/>
      </c>
      <c r="H108" s="101" t="str">
        <f>IF(D!$W67="","",D!$W67)</f>
        <v/>
      </c>
      <c r="I108" s="102" t="str">
        <f>IF(E!$W67="","",E!$W67)</f>
        <v/>
      </c>
      <c r="J108" s="101" t="str">
        <f>IF(F!$W67="","",F!$W67)</f>
        <v/>
      </c>
      <c r="K108" s="102">
        <f>IF(G!$W67="","",G!$W67)</f>
        <v>13</v>
      </c>
      <c r="L108" s="101" t="str">
        <f>IF(H!$W67="","",H!$W67)</f>
        <v/>
      </c>
      <c r="M108" s="102" t="str">
        <f>IF(I!$W67="","",I!$W67)</f>
        <v/>
      </c>
      <c r="N108" s="100" t="str">
        <f>IF(J!$W67="","",J!$W67)</f>
        <v/>
      </c>
      <c r="O108" s="101">
        <f t="shared" si="23"/>
        <v>13</v>
      </c>
      <c r="P108" s="151">
        <f t="shared" si="20"/>
        <v>28.260869565217401</v>
      </c>
    </row>
    <row r="109" spans="3:16" s="85" customFormat="1" ht="12.75" customHeight="1">
      <c r="C109" s="454"/>
      <c r="D109" s="101" t="s">
        <v>30</v>
      </c>
      <c r="E109" s="102" t="str">
        <f>IF(A!$W68="","",A!$W68)</f>
        <v/>
      </c>
      <c r="F109" s="101" t="str">
        <f>IF(B!$W68="","",B!$W68)</f>
        <v/>
      </c>
      <c r="G109" s="102" t="str">
        <f>IF('C'!$W68="","",'C'!$W68)</f>
        <v/>
      </c>
      <c r="H109" s="101" t="str">
        <f>IF(D!$W68="","",D!$W68)</f>
        <v/>
      </c>
      <c r="I109" s="102" t="str">
        <f>IF(E!$W68="","",E!$W68)</f>
        <v/>
      </c>
      <c r="J109" s="101" t="str">
        <f>IF(F!$W68="","",F!$W68)</f>
        <v/>
      </c>
      <c r="K109" s="102">
        <f>IF(G!$W68="","",G!$W68)</f>
        <v>13</v>
      </c>
      <c r="L109" s="101" t="str">
        <f>IF(H!$W68="","",H!$W68)</f>
        <v/>
      </c>
      <c r="M109" s="102" t="str">
        <f>IF(I!$W68="","",I!$W68)</f>
        <v/>
      </c>
      <c r="N109" s="100" t="str">
        <f>IF(J!$W68="","",J!$W68)</f>
        <v/>
      </c>
      <c r="O109" s="101">
        <f t="shared" si="23"/>
        <v>13</v>
      </c>
      <c r="P109" s="151">
        <f t="shared" si="20"/>
        <v>28.260869565217401</v>
      </c>
    </row>
    <row r="110" spans="3:16" s="85" customFormat="1" ht="12.75" customHeight="1">
      <c r="C110" s="454"/>
      <c r="D110" s="101" t="s">
        <v>31</v>
      </c>
      <c r="E110" s="102" t="str">
        <f>IF(A!$W69="","",A!$W69)</f>
        <v/>
      </c>
      <c r="F110" s="101" t="str">
        <f>IF(B!$W69="","",B!$W69)</f>
        <v/>
      </c>
      <c r="G110" s="102" t="str">
        <f>IF('C'!$W69="","",'C'!$W69)</f>
        <v/>
      </c>
      <c r="H110" s="101" t="str">
        <f>IF(D!$W69="","",D!$W69)</f>
        <v/>
      </c>
      <c r="I110" s="102" t="str">
        <f>IF(E!$W69="","",E!$W69)</f>
        <v/>
      </c>
      <c r="J110" s="101" t="str">
        <f>IF(F!$W69="","",F!$W69)</f>
        <v/>
      </c>
      <c r="K110" s="102">
        <f>IF(G!$W69="","",G!$W69)</f>
        <v>4</v>
      </c>
      <c r="L110" s="101" t="str">
        <f>IF(H!$W69="","",H!$W69)</f>
        <v/>
      </c>
      <c r="M110" s="102" t="str">
        <f>IF(I!$W69="","",I!$W69)</f>
        <v/>
      </c>
      <c r="N110" s="100" t="str">
        <f>IF(J!$W69="","",J!$W69)</f>
        <v/>
      </c>
      <c r="O110" s="101">
        <f t="shared" si="23"/>
        <v>4</v>
      </c>
      <c r="P110" s="151">
        <f t="shared" si="20"/>
        <v>8.6956521739130395</v>
      </c>
    </row>
    <row r="111" spans="3:16" s="85" customFormat="1" ht="12.75" customHeight="1">
      <c r="C111" s="454"/>
      <c r="D111" s="94" t="s">
        <v>32</v>
      </c>
      <c r="E111" s="95" t="str">
        <f>IF(A!$W70="","",A!$W70)</f>
        <v/>
      </c>
      <c r="F111" s="94" t="str">
        <f>IF(B!$W70="","",B!$W70)</f>
        <v/>
      </c>
      <c r="G111" s="95" t="str">
        <f>IF('C'!$W70="","",'C'!$W70)</f>
        <v/>
      </c>
      <c r="H111" s="94" t="str">
        <f>IF(D!$W70="","",D!$W70)</f>
        <v/>
      </c>
      <c r="I111" s="95" t="str">
        <f>IF(E!$W70="","",E!$W70)</f>
        <v/>
      </c>
      <c r="J111" s="94" t="str">
        <f>IF(F!$W70="","",F!$W70)</f>
        <v/>
      </c>
      <c r="K111" s="95">
        <f>IF(G!$W70="","",G!$W70)</f>
        <v>2</v>
      </c>
      <c r="L111" s="94" t="str">
        <f>IF(H!$W70="","",H!$W70)</f>
        <v/>
      </c>
      <c r="M111" s="95" t="str">
        <f>IF(I!$W70="","",I!$W70)</f>
        <v/>
      </c>
      <c r="N111" s="141" t="str">
        <f>IF(J!$W70="","",J!$W70)</f>
        <v/>
      </c>
      <c r="O111" s="94">
        <f t="shared" si="23"/>
        <v>2</v>
      </c>
      <c r="P111" s="142">
        <f t="shared" si="20"/>
        <v>4.3478260869565197</v>
      </c>
    </row>
    <row r="112" spans="3:16" s="85" customFormat="1" ht="12.75" customHeight="1">
      <c r="C112" s="454"/>
      <c r="D112" s="117" t="s">
        <v>48</v>
      </c>
      <c r="E112" s="118" t="str">
        <f>IF(A!$V74="","",A!$V74)</f>
        <v/>
      </c>
      <c r="F112" s="119" t="str">
        <f>IF(B!$V74="","",B!$V74)</f>
        <v/>
      </c>
      <c r="G112" s="118" t="str">
        <f>IF('C'!$V74="","",'C'!$V74)</f>
        <v/>
      </c>
      <c r="H112" s="119" t="str">
        <f>IF(D!$V74="","",D!$V74)</f>
        <v/>
      </c>
      <c r="I112" s="118" t="str">
        <f>IF(E!$V74="","",E!$V74)</f>
        <v/>
      </c>
      <c r="J112" s="119" t="str">
        <f>IF(F!$V74="","",F!$V74)</f>
        <v/>
      </c>
      <c r="K112" s="118">
        <f>IF(G!$V74="","",G!$V74)</f>
        <v>0</v>
      </c>
      <c r="L112" s="119" t="str">
        <f>IF(H!$V74="","",H!$V74)</f>
        <v/>
      </c>
      <c r="M112" s="118" t="str">
        <f>IF(I!$V74="","",I!$V74)</f>
        <v/>
      </c>
      <c r="N112" s="152" t="str">
        <f>IF(J!$V74="","",J!$V74)</f>
        <v/>
      </c>
      <c r="O112" s="119">
        <f t="shared" si="23"/>
        <v>0</v>
      </c>
      <c r="P112" s="153">
        <f t="shared" si="20"/>
        <v>0</v>
      </c>
    </row>
    <row r="113" spans="3:22" s="85" customFormat="1" ht="12.75" customHeight="1">
      <c r="C113" s="454"/>
      <c r="D113" s="120" t="s">
        <v>51</v>
      </c>
      <c r="E113" s="102" t="str">
        <f>IF(A!$V75="","",A!$V75)</f>
        <v/>
      </c>
      <c r="F113" s="101" t="str">
        <f>IF(B!$V75="","",B!$V75)</f>
        <v/>
      </c>
      <c r="G113" s="102" t="str">
        <f>IF('C'!$V75="","",'C'!$V75)</f>
        <v/>
      </c>
      <c r="H113" s="101" t="str">
        <f>IF(D!$V75="","",D!$V75)</f>
        <v/>
      </c>
      <c r="I113" s="102" t="str">
        <f>IF(E!$V75="","",E!$V75)</f>
        <v/>
      </c>
      <c r="J113" s="101" t="str">
        <f>IF(F!$V75="","",F!$V75)</f>
        <v/>
      </c>
      <c r="K113" s="102">
        <f>IF(G!$V75="","",G!$V75)</f>
        <v>2</v>
      </c>
      <c r="L113" s="101" t="str">
        <f>IF(H!$V75="","",H!$V75)</f>
        <v/>
      </c>
      <c r="M113" s="102" t="str">
        <f>IF(I!$V75="","",I!$V75)</f>
        <v/>
      </c>
      <c r="N113" s="100" t="str">
        <f>IF(J!$V75="","",J!$V75)</f>
        <v/>
      </c>
      <c r="O113" s="101">
        <f t="shared" si="23"/>
        <v>2</v>
      </c>
      <c r="P113" s="151">
        <f t="shared" si="20"/>
        <v>4.3478260869565197</v>
      </c>
    </row>
    <row r="114" spans="3:22" s="85" customFormat="1" ht="12.75" customHeight="1">
      <c r="C114" s="454"/>
      <c r="D114" s="121" t="s">
        <v>52</v>
      </c>
      <c r="E114" s="99" t="str">
        <f>IF(A!$V76="","",A!$V76)</f>
        <v/>
      </c>
      <c r="F114" s="98" t="str">
        <f>IF(B!$V76="","",B!$V76)</f>
        <v/>
      </c>
      <c r="G114" s="99" t="str">
        <f>IF('C'!$V76="","",'C'!$V76)</f>
        <v/>
      </c>
      <c r="H114" s="98" t="str">
        <f>IF(D!$V76="","",D!$V76)</f>
        <v/>
      </c>
      <c r="I114" s="99" t="str">
        <f>IF(E!$V76="","",E!$V76)</f>
        <v/>
      </c>
      <c r="J114" s="98" t="str">
        <f>IF(F!$V76="","",F!$V76)</f>
        <v/>
      </c>
      <c r="K114" s="99">
        <f>IF(G!$V76="","",G!$V76)</f>
        <v>0</v>
      </c>
      <c r="L114" s="98" t="str">
        <f>IF(H!$V76="","",H!$V76)</f>
        <v/>
      </c>
      <c r="M114" s="99" t="str">
        <f>IF(I!$V76="","",I!$V76)</f>
        <v/>
      </c>
      <c r="N114" s="154" t="str">
        <f>IF(J!$V76="","",J!$V76)</f>
        <v/>
      </c>
      <c r="O114" s="98">
        <f t="shared" si="23"/>
        <v>0</v>
      </c>
      <c r="P114" s="155">
        <f t="shared" si="20"/>
        <v>0</v>
      </c>
    </row>
    <row r="115" spans="3:22" s="85" customFormat="1" ht="12.75" customHeight="1">
      <c r="C115" s="455"/>
      <c r="D115" s="122" t="s">
        <v>55</v>
      </c>
      <c r="E115" s="123" t="str">
        <f>IF(A!$V77="","",A!$V77)</f>
        <v/>
      </c>
      <c r="F115" s="124" t="str">
        <f>IF(B!$V77="","",B!$V77)</f>
        <v/>
      </c>
      <c r="G115" s="123" t="str">
        <f>IF('C'!$V77="","",'C'!$V77)</f>
        <v/>
      </c>
      <c r="H115" s="124" t="str">
        <f>IF(D!$V77="","",D!$V77)</f>
        <v/>
      </c>
      <c r="I115" s="123" t="str">
        <f>IF(E!$V77="","",E!$V77)</f>
        <v/>
      </c>
      <c r="J115" s="124" t="str">
        <f>IF(F!$V77="","",F!$V77)</f>
        <v/>
      </c>
      <c r="K115" s="123">
        <f>IF(G!$V77="","",G!$V77)</f>
        <v>0</v>
      </c>
      <c r="L115" s="124" t="str">
        <f>IF(H!$V77="","",H!$V77)</f>
        <v/>
      </c>
      <c r="M115" s="123" t="str">
        <f>IF(I!$V77="","",I!$V77)</f>
        <v/>
      </c>
      <c r="N115" s="156" t="str">
        <f>IF(J!$V77="","",J!$V77)</f>
        <v/>
      </c>
      <c r="O115" s="124">
        <f t="shared" si="23"/>
        <v>0</v>
      </c>
      <c r="P115" s="157">
        <f t="shared" si="20"/>
        <v>0</v>
      </c>
    </row>
    <row r="116" spans="3:22" ht="15.75" customHeight="1">
      <c r="C116" s="451" t="s">
        <v>176</v>
      </c>
      <c r="D116" s="158" t="s">
        <v>33</v>
      </c>
      <c r="E116" s="130" t="str">
        <f>IF(AND(E107="",E108="",E109="",E110="",E111="",E112="",E113="",E114="",E115=""),"",(SUM(E107:E110,E112,E113)))</f>
        <v/>
      </c>
      <c r="F116" s="130" t="str">
        <f t="shared" ref="F116:N116" si="26">IF(AND(F107="",F108="",F109="",F110="",F111="",F112="",F113="",F114="",F115=""),"",(SUM(F107:F110,F112,F113)))</f>
        <v/>
      </c>
      <c r="G116" s="130" t="str">
        <f t="shared" si="26"/>
        <v/>
      </c>
      <c r="H116" s="130" t="str">
        <f t="shared" si="26"/>
        <v/>
      </c>
      <c r="I116" s="130" t="str">
        <f t="shared" si="26"/>
        <v/>
      </c>
      <c r="J116" s="130" t="str">
        <f t="shared" si="26"/>
        <v/>
      </c>
      <c r="K116" s="130">
        <f t="shared" si="26"/>
        <v>41</v>
      </c>
      <c r="L116" s="130" t="str">
        <f t="shared" si="26"/>
        <v/>
      </c>
      <c r="M116" s="130" t="str">
        <f t="shared" si="26"/>
        <v/>
      </c>
      <c r="N116" s="130" t="str">
        <f t="shared" si="26"/>
        <v/>
      </c>
      <c r="O116" s="158">
        <f t="shared" si="23"/>
        <v>41</v>
      </c>
      <c r="P116" s="160">
        <f t="shared" si="20"/>
        <v>89.130434782608702</v>
      </c>
    </row>
    <row r="117" spans="3:22" ht="14.25" customHeight="1">
      <c r="C117" s="452"/>
      <c r="D117" s="162" t="s">
        <v>169</v>
      </c>
      <c r="E117" s="128" t="str">
        <f>IF(E116="","",(E116/E$9*100))</f>
        <v/>
      </c>
      <c r="F117" s="131" t="str">
        <f t="shared" ref="F117:O117" si="27">IF(F116="","",(F116/F$9*100))</f>
        <v/>
      </c>
      <c r="G117" s="132" t="str">
        <f t="shared" si="27"/>
        <v/>
      </c>
      <c r="H117" s="131" t="str">
        <f t="shared" si="27"/>
        <v/>
      </c>
      <c r="I117" s="132" t="str">
        <f t="shared" si="27"/>
        <v/>
      </c>
      <c r="J117" s="131" t="str">
        <f t="shared" si="27"/>
        <v/>
      </c>
      <c r="K117" s="132">
        <f t="shared" si="27"/>
        <v>89.130434782608702</v>
      </c>
      <c r="L117" s="131" t="str">
        <f t="shared" si="27"/>
        <v/>
      </c>
      <c r="M117" s="132" t="str">
        <f t="shared" si="27"/>
        <v/>
      </c>
      <c r="N117" s="128" t="str">
        <f t="shared" si="27"/>
        <v/>
      </c>
      <c r="O117" s="131">
        <f t="shared" si="27"/>
        <v>89.130434782608702</v>
      </c>
      <c r="P117" s="131">
        <f>IF(P116="","",P116)</f>
        <v>89.130434782608702</v>
      </c>
    </row>
    <row r="119" spans="3:22">
      <c r="C119" s="163" t="s">
        <v>180</v>
      </c>
      <c r="D119" s="69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</row>
    <row r="120" spans="3:22">
      <c r="C120" s="163"/>
      <c r="D120" s="69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</row>
    <row r="121" spans="3:22">
      <c r="C121" s="163"/>
      <c r="D121" s="69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</row>
    <row r="122" spans="3:22">
      <c r="C122" s="163"/>
      <c r="D122" s="69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</row>
    <row r="124" spans="3:22" ht="15.75" customHeight="1">
      <c r="C124" s="440" t="s">
        <v>181</v>
      </c>
      <c r="D124" s="440"/>
      <c r="F124" s="440" t="s">
        <v>181</v>
      </c>
      <c r="G124" s="440"/>
      <c r="H124" s="440"/>
      <c r="I124" s="440"/>
      <c r="J124" s="440"/>
      <c r="L124" s="440" t="s">
        <v>181</v>
      </c>
      <c r="M124" s="440"/>
      <c r="N124" s="440"/>
      <c r="O124" s="440"/>
      <c r="P124" s="440"/>
    </row>
    <row r="125" spans="3:22" ht="15.75" customHeight="1">
      <c r="C125" s="440" t="s">
        <v>182</v>
      </c>
      <c r="D125" s="440"/>
      <c r="F125" s="440" t="s">
        <v>183</v>
      </c>
      <c r="G125" s="440"/>
      <c r="H125" s="440"/>
      <c r="I125" s="440"/>
      <c r="J125" s="440"/>
      <c r="L125" s="441" t="s">
        <v>184</v>
      </c>
      <c r="M125" s="441"/>
      <c r="N125" s="441"/>
      <c r="O125" s="441"/>
      <c r="P125" s="441"/>
      <c r="Q125" s="164"/>
      <c r="R125" s="164"/>
      <c r="S125" s="164"/>
      <c r="T125" s="165"/>
    </row>
    <row r="128" spans="3:22">
      <c r="C128" s="75"/>
    </row>
    <row r="129" spans="3:3">
      <c r="C129" s="75"/>
    </row>
    <row r="130" spans="3:3">
      <c r="C130" s="75"/>
    </row>
    <row r="131" spans="3:3">
      <c r="C131" s="75"/>
    </row>
    <row r="132" spans="3:3">
      <c r="C132" s="75"/>
    </row>
    <row r="133" spans="3:3">
      <c r="C133" s="75"/>
    </row>
    <row r="134" spans="3:3">
      <c r="C134" s="75"/>
    </row>
    <row r="135" spans="3:3">
      <c r="C135" s="75"/>
    </row>
    <row r="136" spans="3:3">
      <c r="C136" s="75"/>
    </row>
    <row r="137" spans="3:3">
      <c r="C137" s="75"/>
    </row>
    <row r="138" spans="3:3">
      <c r="C138" s="75"/>
    </row>
    <row r="139" spans="3:3">
      <c r="C139" s="75"/>
    </row>
    <row r="140" spans="3:3">
      <c r="C140" s="75"/>
    </row>
    <row r="141" spans="3:3">
      <c r="C141" s="75"/>
    </row>
    <row r="142" spans="3:3">
      <c r="C142" s="75"/>
    </row>
    <row r="143" spans="3:3">
      <c r="C143" s="75"/>
    </row>
    <row r="144" spans="3:3">
      <c r="C144" s="75"/>
    </row>
    <row r="145" spans="3:3">
      <c r="C145" s="75"/>
    </row>
    <row r="146" spans="3:3">
      <c r="C146" s="75"/>
    </row>
    <row r="147" spans="3:3">
      <c r="C147" s="75"/>
    </row>
    <row r="148" spans="3:3">
      <c r="C148" s="75"/>
    </row>
    <row r="149" spans="3:3">
      <c r="C149" s="75"/>
    </row>
    <row r="150" spans="3:3">
      <c r="C150" s="75"/>
    </row>
    <row r="151" spans="3:3">
      <c r="C151" s="75"/>
    </row>
    <row r="152" spans="3:3">
      <c r="C152" s="75"/>
    </row>
    <row r="153" spans="3:3">
      <c r="C153" s="75"/>
    </row>
    <row r="154" spans="3:3">
      <c r="C154" s="75"/>
    </row>
    <row r="155" spans="3:3">
      <c r="C155" s="75"/>
    </row>
    <row r="156" spans="3:3">
      <c r="C156" s="75"/>
    </row>
    <row r="157" spans="3:3">
      <c r="C157" s="75"/>
    </row>
    <row r="158" spans="3:3">
      <c r="C158" s="75"/>
    </row>
    <row r="159" spans="3:3">
      <c r="C159" s="75"/>
    </row>
    <row r="160" spans="3:3">
      <c r="C160" s="75"/>
    </row>
    <row r="161" spans="3:3">
      <c r="C161" s="75"/>
    </row>
    <row r="162" spans="3:3">
      <c r="C162" s="75"/>
    </row>
    <row r="163" spans="3:3">
      <c r="C163" s="75"/>
    </row>
    <row r="164" spans="3:3">
      <c r="C164" s="75"/>
    </row>
    <row r="165" spans="3:3">
      <c r="C165" s="75"/>
    </row>
    <row r="166" spans="3:3">
      <c r="C166" s="75"/>
    </row>
    <row r="167" spans="3:3">
      <c r="C167" s="75"/>
    </row>
    <row r="168" spans="3:3">
      <c r="C168" s="75"/>
    </row>
    <row r="169" spans="3:3">
      <c r="C169" s="75"/>
    </row>
    <row r="170" spans="3:3">
      <c r="C170" s="75"/>
    </row>
    <row r="171" spans="3:3">
      <c r="C171" s="75"/>
    </row>
    <row r="172" spans="3:3">
      <c r="C172" s="75"/>
    </row>
    <row r="173" spans="3:3">
      <c r="C173" s="75"/>
    </row>
    <row r="174" spans="3:3">
      <c r="C174" s="75"/>
    </row>
    <row r="175" spans="3:3">
      <c r="C175" s="75"/>
    </row>
    <row r="176" spans="3:3">
      <c r="C176" s="75"/>
    </row>
    <row r="177" spans="3:3">
      <c r="C177" s="75"/>
    </row>
    <row r="178" spans="3:3">
      <c r="C178" s="75"/>
    </row>
    <row r="179" spans="3:3">
      <c r="C179" s="75"/>
    </row>
    <row r="180" spans="3:3">
      <c r="C180" s="75"/>
    </row>
    <row r="181" spans="3:3">
      <c r="C181" s="75"/>
    </row>
    <row r="182" spans="3:3">
      <c r="C182" s="75"/>
    </row>
    <row r="183" spans="3:3">
      <c r="C183" s="75"/>
    </row>
    <row r="184" spans="3:3">
      <c r="C184" s="75"/>
    </row>
    <row r="185" spans="3:3">
      <c r="C185" s="75"/>
    </row>
    <row r="186" spans="3:3">
      <c r="C186" s="75"/>
    </row>
    <row r="187" spans="3:3">
      <c r="C187" s="75"/>
    </row>
    <row r="188" spans="3:3">
      <c r="C188" s="75"/>
    </row>
    <row r="189" spans="3:3">
      <c r="C189" s="75"/>
    </row>
    <row r="190" spans="3:3">
      <c r="C190" s="75"/>
    </row>
    <row r="191" spans="3:3">
      <c r="C191" s="75"/>
    </row>
    <row r="192" spans="3:3">
      <c r="C192" s="75"/>
    </row>
    <row r="193" spans="3:3">
      <c r="C193" s="75"/>
    </row>
    <row r="194" spans="3:3">
      <c r="C194" s="75"/>
    </row>
    <row r="195" spans="3:3">
      <c r="C195" s="75"/>
    </row>
    <row r="196" spans="3:3">
      <c r="C196" s="75"/>
    </row>
    <row r="197" spans="3:3">
      <c r="C197" s="75"/>
    </row>
    <row r="198" spans="3:3">
      <c r="C198" s="75"/>
    </row>
    <row r="199" spans="3:3">
      <c r="C199" s="75"/>
    </row>
    <row r="200" spans="3:3">
      <c r="C200" s="75"/>
    </row>
    <row r="201" spans="3:3">
      <c r="C201" s="75"/>
    </row>
    <row r="202" spans="3:3">
      <c r="C202" s="75"/>
    </row>
    <row r="203" spans="3:3">
      <c r="C203" s="75"/>
    </row>
    <row r="204" spans="3:3">
      <c r="C204" s="75"/>
    </row>
    <row r="205" spans="3:3">
      <c r="C205" s="75"/>
    </row>
    <row r="206" spans="3:3">
      <c r="C206" s="75"/>
    </row>
    <row r="207" spans="3:3">
      <c r="C207" s="75"/>
    </row>
    <row r="208" spans="3:3">
      <c r="C208" s="75"/>
    </row>
    <row r="209" spans="3:3">
      <c r="C209" s="75"/>
    </row>
    <row r="210" spans="3:3">
      <c r="C210" s="75"/>
    </row>
    <row r="211" spans="3:3">
      <c r="C211" s="75"/>
    </row>
    <row r="212" spans="3:3">
      <c r="C212" s="75"/>
    </row>
    <row r="213" spans="3:3">
      <c r="C213" s="75"/>
    </row>
    <row r="214" spans="3:3">
      <c r="C214" s="75"/>
    </row>
    <row r="215" spans="3:3">
      <c r="C215" s="75"/>
    </row>
    <row r="216" spans="3:3">
      <c r="C216" s="75"/>
    </row>
    <row r="217" spans="3:3">
      <c r="C217" s="75"/>
    </row>
    <row r="218" spans="3:3">
      <c r="C218" s="75"/>
    </row>
    <row r="219" spans="3:3">
      <c r="C219" s="75"/>
    </row>
    <row r="220" spans="3:3">
      <c r="C220" s="75"/>
    </row>
    <row r="221" spans="3:3">
      <c r="C221" s="75"/>
    </row>
    <row r="222" spans="3:3">
      <c r="C222" s="75"/>
    </row>
    <row r="223" spans="3:3">
      <c r="C223" s="75"/>
    </row>
    <row r="224" spans="3:3">
      <c r="C224" s="75"/>
    </row>
    <row r="225" spans="3:3">
      <c r="C225" s="75"/>
    </row>
    <row r="226" spans="3:3">
      <c r="C226" s="75"/>
    </row>
    <row r="227" spans="3:3">
      <c r="C227" s="75"/>
    </row>
    <row r="228" spans="3:3">
      <c r="C228" s="75"/>
    </row>
    <row r="229" spans="3:3">
      <c r="C229" s="75"/>
    </row>
    <row r="230" spans="3:3">
      <c r="C230" s="75"/>
    </row>
    <row r="231" spans="3:3">
      <c r="C231" s="75"/>
    </row>
    <row r="232" spans="3:3">
      <c r="C232" s="75"/>
    </row>
    <row r="233" spans="3:3">
      <c r="C233" s="75"/>
    </row>
    <row r="234" spans="3:3">
      <c r="C234" s="75"/>
    </row>
    <row r="235" spans="3:3">
      <c r="C235" s="75"/>
    </row>
    <row r="236" spans="3:3">
      <c r="C236" s="75"/>
    </row>
    <row r="237" spans="3:3">
      <c r="C237" s="75"/>
    </row>
    <row r="238" spans="3:3">
      <c r="C238" s="75"/>
    </row>
    <row r="239" spans="3:3">
      <c r="C239" s="75"/>
    </row>
    <row r="240" spans="3:3">
      <c r="C240" s="75"/>
    </row>
    <row r="241" spans="3:3">
      <c r="C241" s="75"/>
    </row>
    <row r="242" spans="3:3">
      <c r="C242" s="75"/>
    </row>
    <row r="243" spans="3:3">
      <c r="C243" s="75"/>
    </row>
    <row r="244" spans="3:3">
      <c r="C244" s="75"/>
    </row>
    <row r="245" spans="3:3">
      <c r="C245" s="75"/>
    </row>
    <row r="246" spans="3:3">
      <c r="C246" s="75"/>
    </row>
    <row r="247" spans="3:3">
      <c r="C247" s="75"/>
    </row>
    <row r="248" spans="3:3">
      <c r="C248" s="75"/>
    </row>
    <row r="249" spans="3:3">
      <c r="C249" s="75"/>
    </row>
    <row r="250" spans="3:3">
      <c r="C250" s="75"/>
    </row>
    <row r="251" spans="3:3">
      <c r="C251" s="75"/>
    </row>
    <row r="252" spans="3:3">
      <c r="C252" s="75"/>
    </row>
    <row r="253" spans="3:3">
      <c r="C253" s="75"/>
    </row>
    <row r="254" spans="3:3">
      <c r="C254" s="75"/>
    </row>
    <row r="255" spans="3:3">
      <c r="C255" s="75"/>
    </row>
    <row r="256" spans="3:3">
      <c r="C256" s="75"/>
    </row>
    <row r="257" spans="3:3">
      <c r="C257" s="75"/>
    </row>
    <row r="258" spans="3:3">
      <c r="C258" s="75"/>
    </row>
    <row r="259" spans="3:3">
      <c r="C259" s="75"/>
    </row>
    <row r="260" spans="3:3">
      <c r="C260" s="75"/>
    </row>
    <row r="261" spans="3:3">
      <c r="C261" s="75"/>
    </row>
    <row r="262" spans="3:3">
      <c r="C262" s="75"/>
    </row>
    <row r="263" spans="3:3">
      <c r="C263" s="75"/>
    </row>
    <row r="264" spans="3:3">
      <c r="C264" s="75"/>
    </row>
    <row r="265" spans="3:3">
      <c r="C265" s="75"/>
    </row>
    <row r="266" spans="3:3">
      <c r="C266" s="75"/>
    </row>
    <row r="267" spans="3:3">
      <c r="C267" s="75"/>
    </row>
    <row r="268" spans="3:3">
      <c r="C268" s="75"/>
    </row>
    <row r="269" spans="3:3">
      <c r="C269" s="75"/>
    </row>
    <row r="270" spans="3:3">
      <c r="C270" s="75"/>
    </row>
    <row r="271" spans="3:3">
      <c r="C271" s="75"/>
    </row>
    <row r="272" spans="3:3">
      <c r="C272" s="75"/>
    </row>
    <row r="273" spans="3:3">
      <c r="C273" s="75"/>
    </row>
    <row r="274" spans="3:3">
      <c r="C274" s="75"/>
    </row>
    <row r="275" spans="3:3">
      <c r="C275" s="75"/>
    </row>
    <row r="276" spans="3:3">
      <c r="C276" s="75"/>
    </row>
    <row r="277" spans="3:3">
      <c r="C277" s="75"/>
    </row>
    <row r="278" spans="3:3">
      <c r="C278" s="75"/>
    </row>
    <row r="279" spans="3:3">
      <c r="C279" s="75"/>
    </row>
    <row r="280" spans="3:3">
      <c r="C280" s="75"/>
    </row>
    <row r="281" spans="3:3">
      <c r="C281" s="75"/>
    </row>
    <row r="282" spans="3:3">
      <c r="C282" s="75"/>
    </row>
    <row r="283" spans="3:3">
      <c r="C283" s="75"/>
    </row>
    <row r="284" spans="3:3">
      <c r="C284" s="75"/>
    </row>
    <row r="285" spans="3:3">
      <c r="C285" s="75"/>
    </row>
    <row r="286" spans="3:3">
      <c r="C286" s="75"/>
    </row>
    <row r="287" spans="3:3">
      <c r="C287" s="75"/>
    </row>
    <row r="288" spans="3:3">
      <c r="C288" s="75"/>
    </row>
    <row r="289" spans="3:3">
      <c r="C289" s="75"/>
    </row>
    <row r="290" spans="3:3">
      <c r="C290" s="75"/>
    </row>
    <row r="291" spans="3:3">
      <c r="C291" s="75"/>
    </row>
    <row r="292" spans="3:3">
      <c r="C292" s="75"/>
    </row>
    <row r="293" spans="3:3">
      <c r="C293" s="75"/>
    </row>
    <row r="294" spans="3:3">
      <c r="C294" s="75"/>
    </row>
    <row r="295" spans="3:3">
      <c r="C295" s="75"/>
    </row>
    <row r="296" spans="3:3">
      <c r="C296" s="75"/>
    </row>
    <row r="297" spans="3:3">
      <c r="C297" s="75"/>
    </row>
    <row r="298" spans="3:3">
      <c r="C298" s="75"/>
    </row>
    <row r="299" spans="3:3">
      <c r="C299" s="75"/>
    </row>
    <row r="300" spans="3:3">
      <c r="C300" s="75"/>
    </row>
    <row r="301" spans="3:3">
      <c r="C301" s="75"/>
    </row>
    <row r="302" spans="3:3">
      <c r="C302" s="75"/>
    </row>
    <row r="303" spans="3:3">
      <c r="C303" s="75"/>
    </row>
    <row r="304" spans="3:3">
      <c r="C304" s="75"/>
    </row>
    <row r="305" spans="3:3">
      <c r="C305" s="75"/>
    </row>
    <row r="306" spans="3:3">
      <c r="C306" s="75"/>
    </row>
    <row r="307" spans="3:3">
      <c r="C307" s="75"/>
    </row>
    <row r="308" spans="3:3">
      <c r="C308" s="75"/>
    </row>
    <row r="309" spans="3:3">
      <c r="C309" s="75"/>
    </row>
    <row r="310" spans="3:3">
      <c r="C310" s="75"/>
    </row>
    <row r="311" spans="3:3">
      <c r="C311" s="75"/>
    </row>
    <row r="312" spans="3:3">
      <c r="C312" s="75"/>
    </row>
    <row r="313" spans="3:3">
      <c r="C313" s="75"/>
    </row>
    <row r="314" spans="3:3">
      <c r="C314" s="75"/>
    </row>
    <row r="315" spans="3:3">
      <c r="C315" s="75"/>
    </row>
    <row r="316" spans="3:3">
      <c r="C316" s="75"/>
    </row>
    <row r="317" spans="3:3">
      <c r="C317" s="75"/>
    </row>
    <row r="318" spans="3:3">
      <c r="C318" s="75"/>
    </row>
    <row r="319" spans="3:3">
      <c r="C319" s="75"/>
    </row>
    <row r="320" spans="3:3">
      <c r="C320" s="75"/>
    </row>
    <row r="321" spans="3:3">
      <c r="C321" s="75"/>
    </row>
    <row r="322" spans="3:3">
      <c r="C322" s="75"/>
    </row>
    <row r="323" spans="3:3">
      <c r="C323" s="75"/>
    </row>
    <row r="324" spans="3:3">
      <c r="C324" s="75"/>
    </row>
    <row r="325" spans="3:3">
      <c r="C325" s="75"/>
    </row>
    <row r="326" spans="3:3">
      <c r="C326" s="75"/>
    </row>
    <row r="327" spans="3:3">
      <c r="C327" s="75"/>
    </row>
    <row r="328" spans="3:3">
      <c r="C328" s="75"/>
    </row>
    <row r="329" spans="3:3">
      <c r="C329" s="75"/>
    </row>
    <row r="330" spans="3:3">
      <c r="C330" s="75"/>
    </row>
    <row r="331" spans="3:3">
      <c r="C331" s="75"/>
    </row>
    <row r="332" spans="3:3">
      <c r="C332" s="75"/>
    </row>
    <row r="333" spans="3:3">
      <c r="C333" s="75"/>
    </row>
    <row r="334" spans="3:3">
      <c r="C334" s="75"/>
    </row>
    <row r="335" spans="3:3">
      <c r="C335" s="75"/>
    </row>
    <row r="336" spans="3:3">
      <c r="C336" s="75"/>
    </row>
    <row r="337" spans="3:3">
      <c r="C337" s="75"/>
    </row>
    <row r="338" spans="3:3">
      <c r="C338" s="75"/>
    </row>
    <row r="339" spans="3:3">
      <c r="C339" s="75"/>
    </row>
    <row r="340" spans="3:3">
      <c r="C340" s="75"/>
    </row>
    <row r="341" spans="3:3">
      <c r="C341" s="75"/>
    </row>
    <row r="342" spans="3:3">
      <c r="C342" s="75"/>
    </row>
    <row r="343" spans="3:3">
      <c r="C343" s="75"/>
    </row>
    <row r="344" spans="3:3">
      <c r="C344" s="75"/>
    </row>
    <row r="345" spans="3:3">
      <c r="C345" s="75"/>
    </row>
    <row r="346" spans="3:3">
      <c r="C346" s="75"/>
    </row>
    <row r="347" spans="3:3">
      <c r="C347" s="75"/>
    </row>
    <row r="348" spans="3:3">
      <c r="C348" s="75"/>
    </row>
    <row r="349" spans="3:3">
      <c r="C349" s="75"/>
    </row>
    <row r="350" spans="3:3">
      <c r="C350" s="75"/>
    </row>
    <row r="351" spans="3:3">
      <c r="C351" s="75"/>
    </row>
    <row r="352" spans="3:3">
      <c r="C352" s="75"/>
    </row>
    <row r="353" spans="3:3">
      <c r="C353" s="75"/>
    </row>
    <row r="354" spans="3:3">
      <c r="C354" s="75"/>
    </row>
    <row r="355" spans="3:3">
      <c r="C355" s="75"/>
    </row>
    <row r="356" spans="3:3">
      <c r="C356" s="75"/>
    </row>
    <row r="357" spans="3:3">
      <c r="C357" s="75"/>
    </row>
    <row r="358" spans="3:3">
      <c r="C358" s="75"/>
    </row>
    <row r="359" spans="3:3">
      <c r="C359" s="75"/>
    </row>
    <row r="360" spans="3:3">
      <c r="C360" s="75"/>
    </row>
    <row r="361" spans="3:3">
      <c r="C361" s="75"/>
    </row>
    <row r="362" spans="3:3">
      <c r="C362" s="75"/>
    </row>
    <row r="363" spans="3:3">
      <c r="C363" s="75"/>
    </row>
    <row r="364" spans="3:3">
      <c r="C364" s="75"/>
    </row>
    <row r="365" spans="3:3">
      <c r="C365" s="75"/>
    </row>
    <row r="366" spans="3:3">
      <c r="C366" s="75"/>
    </row>
    <row r="367" spans="3:3">
      <c r="C367" s="75"/>
    </row>
    <row r="368" spans="3:3">
      <c r="C368" s="75"/>
    </row>
    <row r="369" spans="3:3">
      <c r="C369" s="75"/>
    </row>
    <row r="370" spans="3:3">
      <c r="C370" s="75"/>
    </row>
    <row r="371" spans="3:3">
      <c r="C371" s="75"/>
    </row>
    <row r="372" spans="3:3">
      <c r="C372" s="75"/>
    </row>
    <row r="373" spans="3:3">
      <c r="C373" s="75"/>
    </row>
    <row r="374" spans="3:3">
      <c r="C374" s="75"/>
    </row>
    <row r="375" spans="3:3">
      <c r="C375" s="75"/>
    </row>
    <row r="376" spans="3:3">
      <c r="C376" s="75"/>
    </row>
    <row r="377" spans="3:3">
      <c r="C377" s="75"/>
    </row>
    <row r="378" spans="3:3">
      <c r="C378" s="75"/>
    </row>
    <row r="379" spans="3:3">
      <c r="C379" s="75"/>
    </row>
    <row r="380" spans="3:3">
      <c r="C380" s="75"/>
    </row>
    <row r="381" spans="3:3">
      <c r="C381" s="75"/>
    </row>
    <row r="382" spans="3:3">
      <c r="C382" s="75"/>
    </row>
    <row r="383" spans="3:3">
      <c r="C383" s="75"/>
    </row>
    <row r="384" spans="3:3">
      <c r="C384" s="75"/>
    </row>
    <row r="385" spans="3:3">
      <c r="C385" s="75"/>
    </row>
    <row r="386" spans="3:3">
      <c r="C386" s="75"/>
    </row>
    <row r="387" spans="3:3">
      <c r="C387" s="75"/>
    </row>
    <row r="388" spans="3:3">
      <c r="C388" s="75"/>
    </row>
    <row r="389" spans="3:3">
      <c r="C389" s="75"/>
    </row>
    <row r="390" spans="3:3">
      <c r="C390" s="75"/>
    </row>
    <row r="391" spans="3:3">
      <c r="C391" s="75"/>
    </row>
    <row r="392" spans="3:3">
      <c r="C392" s="75"/>
    </row>
    <row r="393" spans="3:3">
      <c r="C393" s="75"/>
    </row>
    <row r="394" spans="3:3">
      <c r="C394" s="75"/>
    </row>
    <row r="395" spans="3:3">
      <c r="C395" s="75"/>
    </row>
    <row r="396" spans="3:3">
      <c r="C396" s="75"/>
    </row>
    <row r="397" spans="3:3">
      <c r="C397" s="75"/>
    </row>
    <row r="398" spans="3:3">
      <c r="C398" s="75"/>
    </row>
    <row r="399" spans="3:3">
      <c r="C399" s="75"/>
    </row>
    <row r="400" spans="3:3">
      <c r="C400" s="75"/>
    </row>
    <row r="401" spans="3:3">
      <c r="C401" s="75"/>
    </row>
    <row r="402" spans="3:3">
      <c r="C402" s="75"/>
    </row>
    <row r="403" spans="3:3">
      <c r="C403" s="75"/>
    </row>
    <row r="404" spans="3:3">
      <c r="C404" s="75"/>
    </row>
    <row r="405" spans="3:3">
      <c r="C405" s="75"/>
    </row>
    <row r="406" spans="3:3">
      <c r="C406" s="75"/>
    </row>
    <row r="407" spans="3:3">
      <c r="C407" s="75"/>
    </row>
    <row r="408" spans="3:3">
      <c r="C408" s="75"/>
    </row>
    <row r="409" spans="3:3">
      <c r="C409" s="75"/>
    </row>
    <row r="410" spans="3:3">
      <c r="C410" s="75"/>
    </row>
    <row r="411" spans="3:3">
      <c r="C411" s="75"/>
    </row>
    <row r="412" spans="3:3">
      <c r="C412" s="75"/>
    </row>
    <row r="413" spans="3:3">
      <c r="C413" s="75"/>
    </row>
    <row r="414" spans="3:3">
      <c r="C414" s="75"/>
    </row>
    <row r="415" spans="3:3">
      <c r="C415" s="75"/>
    </row>
    <row r="416" spans="3:3">
      <c r="C416" s="75"/>
    </row>
    <row r="417" spans="3:3">
      <c r="C417" s="75"/>
    </row>
    <row r="418" spans="3:3">
      <c r="C418" s="75"/>
    </row>
    <row r="419" spans="3:3">
      <c r="C419" s="75"/>
    </row>
    <row r="420" spans="3:3">
      <c r="C420" s="75"/>
    </row>
    <row r="421" spans="3:3">
      <c r="C421" s="75"/>
    </row>
    <row r="422" spans="3:3">
      <c r="C422" s="75"/>
    </row>
    <row r="423" spans="3:3">
      <c r="C423" s="75"/>
    </row>
    <row r="424" spans="3:3">
      <c r="C424" s="75"/>
    </row>
    <row r="425" spans="3:3">
      <c r="C425" s="75"/>
    </row>
    <row r="426" spans="3:3">
      <c r="C426" s="75"/>
    </row>
    <row r="427" spans="3:3">
      <c r="C427" s="75"/>
    </row>
    <row r="428" spans="3:3">
      <c r="C428" s="75"/>
    </row>
    <row r="429" spans="3:3">
      <c r="C429" s="75"/>
    </row>
    <row r="430" spans="3:3">
      <c r="C430" s="75"/>
    </row>
    <row r="431" spans="3:3">
      <c r="C431" s="75"/>
    </row>
    <row r="432" spans="3:3">
      <c r="C432" s="75"/>
    </row>
    <row r="433" spans="3:3">
      <c r="C433" s="75"/>
    </row>
    <row r="434" spans="3:3">
      <c r="C434" s="75"/>
    </row>
    <row r="435" spans="3:3">
      <c r="C435" s="75"/>
    </row>
    <row r="436" spans="3:3">
      <c r="C436" s="75"/>
    </row>
    <row r="437" spans="3:3">
      <c r="C437" s="75"/>
    </row>
    <row r="438" spans="3:3">
      <c r="C438" s="75"/>
    </row>
    <row r="439" spans="3:3">
      <c r="C439" s="75"/>
    </row>
    <row r="440" spans="3:3">
      <c r="C440" s="75"/>
    </row>
    <row r="441" spans="3:3">
      <c r="C441" s="75"/>
    </row>
    <row r="442" spans="3:3">
      <c r="C442" s="75"/>
    </row>
    <row r="443" spans="3:3">
      <c r="C443" s="75"/>
    </row>
    <row r="444" spans="3:3">
      <c r="C444" s="75"/>
    </row>
    <row r="445" spans="3:3">
      <c r="C445" s="75"/>
    </row>
    <row r="446" spans="3:3">
      <c r="C446" s="75"/>
    </row>
    <row r="447" spans="3:3">
      <c r="C447" s="75"/>
    </row>
    <row r="448" spans="3:3">
      <c r="C448" s="75"/>
    </row>
    <row r="449" spans="3:3">
      <c r="C449" s="75"/>
    </row>
    <row r="450" spans="3:3">
      <c r="C450" s="75"/>
    </row>
    <row r="451" spans="3:3">
      <c r="C451" s="75"/>
    </row>
    <row r="452" spans="3:3">
      <c r="C452" s="75"/>
    </row>
    <row r="453" spans="3:3">
      <c r="C453" s="75"/>
    </row>
    <row r="454" spans="3:3">
      <c r="C454" s="75"/>
    </row>
    <row r="455" spans="3:3">
      <c r="C455" s="75"/>
    </row>
    <row r="456" spans="3:3">
      <c r="C456" s="75"/>
    </row>
    <row r="457" spans="3:3">
      <c r="C457" s="75"/>
    </row>
    <row r="458" spans="3:3">
      <c r="C458" s="75"/>
    </row>
    <row r="459" spans="3:3">
      <c r="C459" s="75"/>
    </row>
    <row r="460" spans="3:3">
      <c r="C460" s="75"/>
    </row>
    <row r="461" spans="3:3">
      <c r="C461" s="75"/>
    </row>
    <row r="462" spans="3:3">
      <c r="C462" s="75"/>
    </row>
    <row r="463" spans="3:3">
      <c r="C463" s="75"/>
    </row>
    <row r="464" spans="3:3">
      <c r="C464" s="75"/>
    </row>
    <row r="465" spans="3:3">
      <c r="C465" s="75"/>
    </row>
    <row r="466" spans="3:3">
      <c r="C466" s="75"/>
    </row>
    <row r="467" spans="3:3">
      <c r="C467" s="75"/>
    </row>
    <row r="468" spans="3:3">
      <c r="C468" s="75"/>
    </row>
    <row r="469" spans="3:3">
      <c r="C469" s="75"/>
    </row>
    <row r="470" spans="3:3">
      <c r="C470" s="75"/>
    </row>
    <row r="471" spans="3:3">
      <c r="C471" s="75"/>
    </row>
  </sheetData>
  <sheetProtection algorithmName="SHA-512" hashValue="EXX4OeeuAPHHuqzLPCrOiy0SAOz2d9QnCxt0k4mXEz9z3AWf0glTAjiUZXdh8t7HQjOn7cQolsaa9dL96P/wPQ==" saltValue="1lZ2J0Ex3dUnvteQGasfJQ==" spinCount="100000" sheet="1" objects="1" scenarios="1"/>
  <mergeCells count="38">
    <mergeCell ref="C116:C117"/>
    <mergeCell ref="C85:C93"/>
    <mergeCell ref="C94:C95"/>
    <mergeCell ref="C96:C104"/>
    <mergeCell ref="C105:C106"/>
    <mergeCell ref="C107:C115"/>
    <mergeCell ref="C61:C62"/>
    <mergeCell ref="C63:C71"/>
    <mergeCell ref="C72:C73"/>
    <mergeCell ref="C74:C82"/>
    <mergeCell ref="C83:C84"/>
    <mergeCell ref="C5:D5"/>
    <mergeCell ref="C124:D124"/>
    <mergeCell ref="F124:J124"/>
    <mergeCell ref="L124:P124"/>
    <mergeCell ref="C125:D125"/>
    <mergeCell ref="F125:J125"/>
    <mergeCell ref="L125:P125"/>
    <mergeCell ref="C6:C9"/>
    <mergeCell ref="C10:C16"/>
    <mergeCell ref="C19:C27"/>
    <mergeCell ref="C28:C29"/>
    <mergeCell ref="C30:C38"/>
    <mergeCell ref="C39:C40"/>
    <mergeCell ref="C41:C49"/>
    <mergeCell ref="C50:C51"/>
    <mergeCell ref="C52:C60"/>
    <mergeCell ref="C4:D4"/>
    <mergeCell ref="E4:H4"/>
    <mergeCell ref="I4:J4"/>
    <mergeCell ref="K4:L4"/>
    <mergeCell ref="N4:P4"/>
    <mergeCell ref="C2:P2"/>
    <mergeCell ref="C3:D3"/>
    <mergeCell ref="E3:H3"/>
    <mergeCell ref="I3:J3"/>
    <mergeCell ref="K3:L3"/>
    <mergeCell ref="N3:P3"/>
  </mergeCells>
  <pageMargins left="0.70866141732283505" right="0.70866141732283505" top="0.74803149606299202" bottom="0.74803149606299202" header="0.31496062992126" footer="0.31496062992126"/>
  <pageSetup paperSize="8" orientation="portrait"/>
  <headerFooter>
    <oddFooter>&amp;CCreated by : Education Development Section - Kelaniya Zonal Education Office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51"/>
  <sheetViews>
    <sheetView workbookViewId="0">
      <selection activeCell="AD6" sqref="AD6"/>
    </sheetView>
  </sheetViews>
  <sheetFormatPr defaultColWidth="9.109375" defaultRowHeight="13.8"/>
  <cols>
    <col min="1" max="1" width="6.109375" style="4" customWidth="1"/>
    <col min="2" max="2" width="5.33203125" style="4" customWidth="1"/>
    <col min="3" max="26" width="5.44140625" style="5" customWidth="1"/>
    <col min="27" max="16384" width="9.109375" style="5"/>
  </cols>
  <sheetData>
    <row r="1" spans="1:26" ht="33.75" customHeight="1"/>
    <row r="2" spans="1:26" ht="28.5" customHeight="1"/>
    <row r="3" spans="1:26" s="1" customFormat="1" ht="18.75" customHeight="1">
      <c r="A3" s="458" t="s">
        <v>161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8"/>
    </row>
    <row r="4" spans="1:26" s="1" customFormat="1" ht="18.75" customHeight="1">
      <c r="A4" s="459" t="s">
        <v>1</v>
      </c>
      <c r="B4" s="460"/>
      <c r="C4" s="460"/>
      <c r="D4" s="460"/>
      <c r="E4" s="461"/>
      <c r="F4" s="462"/>
      <c r="G4" s="463"/>
      <c r="H4" s="463"/>
      <c r="I4" s="463"/>
      <c r="J4" s="464"/>
      <c r="K4" s="459" t="s">
        <v>3</v>
      </c>
      <c r="L4" s="460"/>
      <c r="M4" s="460"/>
      <c r="N4" s="461"/>
      <c r="O4" s="465"/>
      <c r="P4" s="466"/>
      <c r="Q4" s="466"/>
      <c r="R4" s="467"/>
      <c r="S4" s="459" t="s">
        <v>2</v>
      </c>
      <c r="T4" s="460"/>
      <c r="U4" s="460"/>
      <c r="V4" s="461"/>
      <c r="W4" s="465"/>
      <c r="X4" s="466"/>
      <c r="Y4" s="466"/>
      <c r="Z4" s="467"/>
    </row>
    <row r="5" spans="1:26" s="1" customFormat="1" ht="18.75" customHeight="1">
      <c r="A5" s="459" t="s">
        <v>162</v>
      </c>
      <c r="B5" s="460"/>
      <c r="C5" s="460"/>
      <c r="D5" s="460"/>
      <c r="E5" s="461"/>
      <c r="F5" s="468"/>
      <c r="G5" s="469"/>
      <c r="H5" s="469"/>
      <c r="I5" s="469"/>
      <c r="J5" s="470"/>
      <c r="K5" s="459" t="s">
        <v>5</v>
      </c>
      <c r="L5" s="460"/>
      <c r="M5" s="460"/>
      <c r="N5" s="461"/>
      <c r="O5" s="465"/>
      <c r="P5" s="466"/>
      <c r="Q5" s="466"/>
      <c r="R5" s="467"/>
      <c r="S5" s="471" t="s">
        <v>6</v>
      </c>
      <c r="T5" s="472"/>
      <c r="U5" s="472"/>
      <c r="V5" s="473"/>
      <c r="W5" s="465"/>
      <c r="X5" s="466"/>
      <c r="Y5" s="466"/>
      <c r="Z5" s="467"/>
    </row>
    <row r="6" spans="1:26" s="2" customFormat="1" ht="24.75" customHeight="1">
      <c r="A6" s="492" t="s">
        <v>163</v>
      </c>
      <c r="B6" s="505" t="s">
        <v>185</v>
      </c>
      <c r="C6" s="474" t="s">
        <v>15</v>
      </c>
      <c r="D6" s="475"/>
      <c r="E6" s="475"/>
      <c r="F6" s="475"/>
      <c r="G6" s="475"/>
      <c r="H6" s="475"/>
      <c r="I6" s="475"/>
      <c r="J6" s="476"/>
      <c r="K6" s="474" t="s">
        <v>16</v>
      </c>
      <c r="L6" s="475"/>
      <c r="M6" s="475"/>
      <c r="N6" s="475"/>
      <c r="O6" s="475"/>
      <c r="P6" s="475"/>
      <c r="Q6" s="475"/>
      <c r="R6" s="476"/>
      <c r="S6" s="474" t="s">
        <v>17</v>
      </c>
      <c r="T6" s="475"/>
      <c r="U6" s="475"/>
      <c r="V6" s="475"/>
      <c r="W6" s="475"/>
      <c r="X6" s="475"/>
      <c r="Y6" s="475"/>
      <c r="Z6" s="476"/>
    </row>
    <row r="7" spans="1:26" s="3" customFormat="1" ht="28.5" customHeight="1">
      <c r="A7" s="493"/>
      <c r="B7" s="506"/>
      <c r="C7" s="6" t="s">
        <v>65</v>
      </c>
      <c r="D7" s="7" t="s">
        <v>73</v>
      </c>
      <c r="E7" s="7" t="s">
        <v>81</v>
      </c>
      <c r="F7" s="7" t="s">
        <v>87</v>
      </c>
      <c r="G7" s="7" t="s">
        <v>94</v>
      </c>
      <c r="H7" s="7" t="s">
        <v>99</v>
      </c>
      <c r="I7" s="7" t="s">
        <v>105</v>
      </c>
      <c r="J7" s="37" t="s">
        <v>109</v>
      </c>
      <c r="K7" s="38" t="s">
        <v>67</v>
      </c>
      <c r="L7" s="39" t="s">
        <v>75</v>
      </c>
      <c r="M7" s="39" t="s">
        <v>83</v>
      </c>
      <c r="N7" s="39" t="s">
        <v>89</v>
      </c>
      <c r="O7" s="39" t="s">
        <v>95</v>
      </c>
      <c r="P7" s="39" t="s">
        <v>100</v>
      </c>
      <c r="Q7" s="39" t="s">
        <v>106</v>
      </c>
      <c r="R7" s="47" t="s">
        <v>110</v>
      </c>
      <c r="S7" s="38" t="s">
        <v>69</v>
      </c>
      <c r="T7" s="39" t="s">
        <v>77</v>
      </c>
      <c r="U7" s="39" t="s">
        <v>85</v>
      </c>
      <c r="V7" s="39" t="s">
        <v>91</v>
      </c>
      <c r="W7" s="39" t="s">
        <v>97</v>
      </c>
      <c r="X7" s="39" t="s">
        <v>102</v>
      </c>
      <c r="Y7" s="39" t="s">
        <v>107</v>
      </c>
      <c r="Z7" s="47" t="s">
        <v>111</v>
      </c>
    </row>
    <row r="8" spans="1:26" s="2" customFormat="1" ht="13.5" customHeight="1">
      <c r="A8" s="494" t="s">
        <v>28</v>
      </c>
      <c r="B8" s="8" t="s">
        <v>28</v>
      </c>
      <c r="C8" s="9" t="str">
        <f>IF(OR((COUNTA(A!$P$8:$P$62)=0),(COUNTA(A!$R$8:$R$62)=0)),"",COUNTIFS(A!$R$8:$R$62,"X01",A!$Q$8:$Q$62,"A"))</f>
        <v/>
      </c>
      <c r="D8" s="10" t="str">
        <f>IF(OR((COUNTA(A!$P$8:$P$62)=0),(COUNTA(A!$R$8:$R$62)=0)),"",COUNTIFS(A!$R$8:$R$62,"X02",A!$Q$8:$Q$62,"A"))</f>
        <v/>
      </c>
      <c r="E8" s="11" t="str">
        <f>IF(OR((COUNTA(A!$P$8:$P$62)=0),(COUNTA(A!$R$8:$R$62)=0)),"",COUNTIFS(A!$R$8:$R$62,"X03",A!$Q$8:$Q$62,"A"))</f>
        <v/>
      </c>
      <c r="F8" s="11" t="str">
        <f>IF(OR((COUNTA(A!$P$8:$P$62)=0),(COUNTA(A!$R$8:$R$62)=0)),"",COUNTIFS(A!$R$8:$R$62,"X04",A!$Q$8:$Q$62,"A"))</f>
        <v/>
      </c>
      <c r="G8" s="11" t="str">
        <f>IF(OR((COUNTA(A!$P$8:$P$62)=0),(COUNTA(A!$R$8:$R$62)=0)),"",COUNTIFS(A!$R$8:$R$62,"X05",A!$Q$8:$Q$62,"A"))</f>
        <v/>
      </c>
      <c r="H8" s="11" t="str">
        <f>IF(OR((COUNTA(A!$P$8:$P$62)=0),(COUNTA(A!$R$8:$R$62)=0)),"",COUNTIFS(A!$R$8:$R$62,"X06",A!$Q$8:$Q$62,"A"))</f>
        <v/>
      </c>
      <c r="I8" s="11" t="str">
        <f>IF(OR((COUNTA(A!$P$8:$P$62)=0),(COUNTA(A!$R$8:$R$62)=0)),"",COUNTIFS(A!$R$8:$R$62,"X07",A!$Q$8:$Q$62,"A"))</f>
        <v/>
      </c>
      <c r="J8" s="40" t="str">
        <f>IF(OR((COUNTA(A!$P$8:$P$62)=0),(COUNTA(A!$R$8:$R$62)=0)),"",COUNTIFS(A!$R$8:$R$62,"X08",A!$Q$8:$Q$62,"A"))</f>
        <v/>
      </c>
      <c r="K8" s="41" t="str">
        <f>IF(OR((COUNTA(A!$S$8:$S$62)=0),(COUNTA(A!$U$8:$U$62)=0)),"",COUNTIFS(A!$U$8:$U$62,"X09",A!$T$8:$T$62,"A"))</f>
        <v/>
      </c>
      <c r="L8" s="11" t="str">
        <f>IF(OR((COUNTA(A!$S$8:$S$62)=0),(COUNTA(A!$U$8:$U$62)=0)),"",COUNTIFS(A!$U$8:$U$62,"X10",A!$T$8:$T$62,"A"))</f>
        <v/>
      </c>
      <c r="M8" s="11" t="str">
        <f>IF(OR((COUNTA(A!$S$8:$S$62)=0),(COUNTA(A!$U$8:$U$62)=0)),"",COUNTIFS(A!$U$8:$U$62,"X11",A!$T$8:$T$62,"A"))</f>
        <v/>
      </c>
      <c r="N8" s="11" t="str">
        <f>IF(OR((COUNTA(A!$S$8:$S$62)=0),(COUNTA(A!$U$8:$U$62)=0)),"",COUNTIFS(A!$U$8:$U$62,"X12",A!$T$8:$T$62,"A"))</f>
        <v/>
      </c>
      <c r="O8" s="11" t="str">
        <f>IF(OR((COUNTA(A!$S$8:$S$62)=0),(COUNTA(A!$U$8:$U$62)=0)),"",COUNTIFS(A!$U$8:$U$62,"X13",A!$T$8:$T$62,"A"))</f>
        <v/>
      </c>
      <c r="P8" s="11" t="str">
        <f>IF(OR((COUNTA(A!$S$8:$S$62)=0),(COUNTA(A!$U$8:$U$62)=0)),"",COUNTIFS(A!$U$8:$U$62,"X14",A!$T$8:$T$62,"A"))</f>
        <v/>
      </c>
      <c r="Q8" s="11" t="str">
        <f>IF(OR((COUNTA(A!$S$8:$S$62)=0),(COUNTA(A!$U$8:$U$62)=0)),"",COUNTIFS(A!$U$8:$U$62,"X15",A!$T$8:$T$62,"A"))</f>
        <v/>
      </c>
      <c r="R8" s="40" t="str">
        <f>IF(OR((COUNTA(A!$S$8:$S$62)=0),(COUNTA(A!$U$8:$U$62)=0)),"",COUNTIFS(A!$U$8:$U$62,"X16",A!$T$8:$T$62,"A"))</f>
        <v/>
      </c>
      <c r="S8" s="41" t="str">
        <f>IF(OR((COUNTA(A!$V$8:$V$62)=0),(COUNTA(A!$X$8:$X$62)=0)),"",COUNTIFS(A!$X$8:$X$62,"X17",A!$W$8:$W$62,"A"))</f>
        <v/>
      </c>
      <c r="T8" s="11" t="str">
        <f>IF(OR((COUNTA(A!$V$8:$V$62)=0),(COUNTA(A!$X$8:$X$62)=0)),"",COUNTIFS(A!$X$8:$X$62,"X18",A!$W$8:$W$62,"A"))</f>
        <v/>
      </c>
      <c r="U8" s="11" t="str">
        <f>IF(OR((COUNTA(A!$V$8:$V$62)=0),(COUNTA(A!$X$8:$X$62)=0)),"",COUNTIFS(A!$X$8:$X$62,"X19",A!$W$8:$W$62,"A"))</f>
        <v/>
      </c>
      <c r="V8" s="11" t="str">
        <f>IF(OR((COUNTA(A!$V$8:$V$62)=0),(COUNTA(A!$X$8:$X$62)=0)),"",COUNTIFS(A!$X$8:$X$62,"X20",A!$W$8:$W$62,"A"))</f>
        <v/>
      </c>
      <c r="W8" s="11" t="str">
        <f>IF(OR((COUNTA(A!$V$8:$V$62)=0),(COUNTA(A!$X$8:$X$62)=0)),"",COUNTIFS(A!$X$8:$X$62,"X21",A!$W$8:$W$62,"A"))</f>
        <v/>
      </c>
      <c r="X8" s="11" t="str">
        <f>IF(OR((COUNTA(A!$V$8:$V$62)=0),(COUNTA(A!$X$8:$X$62)=0)),"",COUNTIFS(A!$X$8:$X$62,"X22",A!$W$8:$W$62,"A"))</f>
        <v/>
      </c>
      <c r="Y8" s="11" t="str">
        <f>IF(OR((COUNTA(A!$V$8:$V$62)=0),(COUNTA(A!$X$8:$X$62)=0)),"",COUNTIFS(A!$X$8:$X$62,"X23",A!$W$8:$W$62,"A"))</f>
        <v/>
      </c>
      <c r="Z8" s="40" t="str">
        <f>IF(OR((COUNTA(A!$V$8:$V$62)=0),(COUNTA(A!$X$8:$X$62)=0)),"",COUNTIFS(A!$X$8:$X$62,"X24",A!$W$8:$W$62,"A"))</f>
        <v/>
      </c>
    </row>
    <row r="9" spans="1:26" s="2" customFormat="1" ht="13.5" customHeight="1">
      <c r="A9" s="495"/>
      <c r="B9" s="12" t="s">
        <v>29</v>
      </c>
      <c r="C9" s="13" t="str">
        <f>IF(OR((COUNTA(A!$P$8:$P$62)=0),(COUNTA(A!$R$8:$R$62)=0)),"",COUNTIFS(A!$R$8:$R$62,"X01",A!$Q$8:$Q$62,"B"))</f>
        <v/>
      </c>
      <c r="D9" s="14" t="str">
        <f>IF(OR((COUNTA(A!$P$8:$P$62)=0),(COUNTA(A!$R$8:$R$62)=0)),"",COUNTIFS(A!$R$8:$R$62,"X02",A!$Q$8:$Q$62,"B"))</f>
        <v/>
      </c>
      <c r="E9" s="14" t="str">
        <f>IF(OR((COUNTA(A!$P$8:$P$62)=0),(COUNTA(A!$R$8:$R$62)=0)),"",COUNTIFS(A!$R$8:$R$62,"X03",A!$Q$8:$Q$62,"B"))</f>
        <v/>
      </c>
      <c r="F9" s="14" t="str">
        <f>IF(OR((COUNTA(A!$P$8:$P$62)=0),(COUNTA(A!$R$8:$R$62)=0)),"",COUNTIFS(A!$R$8:$R$62,"X04",A!$Q$8:$Q$62,"B"))</f>
        <v/>
      </c>
      <c r="G9" s="14" t="str">
        <f>IF(OR((COUNTA(A!$P$8:$P$62)=0),(COUNTA(A!$R$8:$R$62)=0)),"",COUNTIFS(A!$R$8:$R$62,"X05",A!$Q$8:$Q$62,"B"))</f>
        <v/>
      </c>
      <c r="H9" s="14" t="str">
        <f>IF(OR((COUNTA(A!$P$8:$P$62)=0),(COUNTA(A!$R$8:$R$62)=0)),"",COUNTIFS(A!$R$8:$R$62,"X06",A!$Q$8:$Q$62,"B"))</f>
        <v/>
      </c>
      <c r="I9" s="14" t="str">
        <f>IF(OR((COUNTA(A!$P$8:$P$62)=0),(COUNTA(A!$R$8:$R$62)=0)),"",COUNTIFS(A!$R$8:$R$62,"X07",A!$Q$8:$Q$62,"B"))</f>
        <v/>
      </c>
      <c r="J9" s="42" t="str">
        <f>IF(OR((COUNTA(A!$P$8:$P$62)=0),(COUNTA(A!$R$8:$R$62)=0)),"",COUNTIFS(A!$R$8:$R$62,"X08",A!$Q$8:$Q$62,"B"))</f>
        <v/>
      </c>
      <c r="K9" s="13" t="str">
        <f>IF(OR((COUNTA(A!$S$8:$S$62)=0),(COUNTA(A!$U$8:$U$62)=0)),"",COUNTIFS(A!$U$8:$U$62,"X09",A!$T$8:$T$62,"B"))</f>
        <v/>
      </c>
      <c r="L9" s="14" t="str">
        <f>IF(OR((COUNTA(A!$S$8:$S$62)=0),(COUNTA(A!$U$8:$U$62)=0)),"",COUNTIFS(A!$U$8:$U$62,"X10",A!$T$8:$T$62,"B"))</f>
        <v/>
      </c>
      <c r="M9" s="14" t="str">
        <f>IF(OR((COUNTA(A!$S$8:$S$62)=0),(COUNTA(A!$U$8:$U$62)=0)),"",COUNTIFS(A!$U$8:$U$62,"X11",A!$T$8:$T$62,"B"))</f>
        <v/>
      </c>
      <c r="N9" s="14" t="str">
        <f>IF(OR((COUNTA(A!$S$8:$S$62)=0),(COUNTA(A!$U$8:$U$62)=0)),"",COUNTIFS(A!$U$8:$U$62,"X12",A!$T$8:$T$62,"B"))</f>
        <v/>
      </c>
      <c r="O9" s="14" t="str">
        <f>IF(OR((COUNTA(A!$S$8:$S$62)=0),(COUNTA(A!$U$8:$U$62)=0)),"",COUNTIFS(A!$U$8:$U$62,"X13",A!$T$8:$T$62,"B"))</f>
        <v/>
      </c>
      <c r="P9" s="14" t="str">
        <f>IF(OR((COUNTA(A!$S$8:$S$62)=0),(COUNTA(A!$U$8:$U$62)=0)),"",COUNTIFS(A!$U$8:$U$62,"X14",A!$T$8:$T$62,"B"))</f>
        <v/>
      </c>
      <c r="Q9" s="14" t="str">
        <f>IF(OR((COUNTA(A!$S$8:$S$62)=0),(COUNTA(A!$U$8:$U$62)=0)),"",COUNTIFS(A!$U$8:$U$62,"X15",A!$T$8:$T$62,"B"))</f>
        <v/>
      </c>
      <c r="R9" s="42" t="str">
        <f>IF(OR((COUNTA(A!$S$8:$S$62)=0),(COUNTA(A!$U$8:$U$62)=0)),"",COUNTIFS(A!$U$8:$U$62,"X16",A!$T$8:$T$62,"B"))</f>
        <v/>
      </c>
      <c r="S9" s="13" t="str">
        <f>IF(OR((COUNTA(A!$V$8:$V$62)=0),(COUNTA(A!$X$8:$X$62)=0)),"",COUNTIFS(A!$X$8:$X$62,"X17",A!$W$8:$W$62,"B"))</f>
        <v/>
      </c>
      <c r="T9" s="14" t="str">
        <f>IF(OR((COUNTA(A!$V$8:$V$62)=0),(COUNTA(A!$X$8:$X$62)=0)),"",COUNTIFS(A!$X$8:$X$62,"X18",A!$W$8:$W$62,"B"))</f>
        <v/>
      </c>
      <c r="U9" s="14" t="str">
        <f>IF(OR((COUNTA(A!$V$8:$V$62)=0),(COUNTA(A!$X$8:$X$62)=0)),"",COUNTIFS(A!$X$8:$X$62,"X19",A!$W$8:$W$62,"B"))</f>
        <v/>
      </c>
      <c r="V9" s="14" t="str">
        <f>IF(OR((COUNTA(A!$V$8:$V$62)=0),(COUNTA(A!$X$8:$X$62)=0)),"",COUNTIFS(A!$X$8:$X$62,"X20",A!$W$8:$W$62,"B"))</f>
        <v/>
      </c>
      <c r="W9" s="14" t="str">
        <f>IF(OR((COUNTA(A!$V$8:$V$62)=0),(COUNTA(A!$X$8:$X$62)=0)),"",COUNTIFS(A!$X$8:$X$62,"X21",A!$W$8:$W$62,"B"))</f>
        <v/>
      </c>
      <c r="X9" s="14" t="str">
        <f>IF(OR((COUNTA(A!$V$8:$V$62)=0),(COUNTA(A!$X$8:$X$62)=0)),"",COUNTIFS(A!$X$8:$X$62,"X22",A!$W$8:$W$62,"B"))</f>
        <v/>
      </c>
      <c r="Y9" s="14" t="str">
        <f>IF(OR((COUNTA(A!$V$8:$V$62)=0),(COUNTA(A!$X$8:$X$62)=0)),"",COUNTIFS(A!$X$8:$X$62,"X23",A!$W$8:$W$62,"B"))</f>
        <v/>
      </c>
      <c r="Z9" s="42" t="str">
        <f>IF(OR((COUNTA(A!$V$8:$V$62)=0),(COUNTA(A!$X$8:$X$62)=0)),"",COUNTIFS(A!$X$8:$X$62,"X24",A!$W$8:$W$62,"B"))</f>
        <v/>
      </c>
    </row>
    <row r="10" spans="1:26" s="2" customFormat="1" ht="13.5" customHeight="1">
      <c r="A10" s="495"/>
      <c r="B10" s="12" t="s">
        <v>30</v>
      </c>
      <c r="C10" s="13" t="str">
        <f>IF(OR((COUNTA(A!$P$8:$P$62)=0),(COUNTA(A!$R$8:$R$62)=0)),"",COUNTIFS(A!$R$8:$R$62,"X01",A!$Q$8:$Q$62,"C"))</f>
        <v/>
      </c>
      <c r="D10" s="14" t="str">
        <f>IF(OR((COUNTA(A!$P$8:$P$62)=0),(COUNTA(A!$R$8:$R$62)=0)),"",COUNTIFS(A!$R$8:$R$62,"X02",A!$Q$8:$Q$62,"C"))</f>
        <v/>
      </c>
      <c r="E10" s="14" t="str">
        <f>IF(OR((COUNTA(A!$P$8:$P$62)=0),(COUNTA(A!$R$8:$R$62)=0)),"",COUNTIFS(A!$R$8:$R$62,"X03",A!$Q$8:$Q$62,"C"))</f>
        <v/>
      </c>
      <c r="F10" s="14" t="str">
        <f>IF(OR((COUNTA(A!$P$8:$P$62)=0),(COUNTA(A!$R$8:$R$62)=0)),"",COUNTIFS(A!$R$8:$R$62,"X04",A!$Q$8:$Q$62,"C"))</f>
        <v/>
      </c>
      <c r="G10" s="14" t="str">
        <f>IF(OR((COUNTA(A!$P$8:$P$62)=0),(COUNTA(A!$R$8:$R$62)=0)),"",COUNTIFS(A!$R$8:$R$62,"X05",A!$Q$8:$Q$62,"C"))</f>
        <v/>
      </c>
      <c r="H10" s="14" t="str">
        <f>IF(OR((COUNTA(A!$P$8:$P$62)=0),(COUNTA(A!$R$8:$R$62)=0)),"",COUNTIFS(A!$R$8:$R$62,"X06",A!$Q$8:$Q$62,"C"))</f>
        <v/>
      </c>
      <c r="I10" s="14" t="str">
        <f>IF(OR((COUNTA(A!$P$8:$P$62)=0),(COUNTA(A!$R$8:$R$62)=0)),"",COUNTIFS(A!$R$8:$R$62,"X07",A!$Q$8:$Q$62,"C"))</f>
        <v/>
      </c>
      <c r="J10" s="42" t="str">
        <f>IF(OR((COUNTA(A!$P$8:$P$62)=0),(COUNTA(A!$R$8:$R$62)=0)),"",COUNTIFS(A!$R$8:$R$62,"X08",A!$Q$8:$Q$62,"C"))</f>
        <v/>
      </c>
      <c r="K10" s="13" t="str">
        <f>IF(OR((COUNTA(A!$S$8:$S$62)=0),(COUNTA(A!$U$8:$U$62)=0)),"",COUNTIFS(A!$U$8:$U$62,"X09",A!$T$8:$T$62,"C"))</f>
        <v/>
      </c>
      <c r="L10" s="14" t="str">
        <f>IF(OR((COUNTA(A!$S$8:$S$62)=0),(COUNTA(A!$U$8:$U$62)=0)),"",COUNTIFS(A!$U$8:$U$62,"X10",A!$T$8:$T$62,"C"))</f>
        <v/>
      </c>
      <c r="M10" s="14" t="str">
        <f>IF(OR((COUNTA(A!$S$8:$S$62)=0),(COUNTA(A!$U$8:$U$62)=0)),"",COUNTIFS(A!$U$8:$U$62,"X11",A!$T$8:$T$62,"C"))</f>
        <v/>
      </c>
      <c r="N10" s="14" t="str">
        <f>IF(OR((COUNTA(A!$S$8:$S$62)=0),(COUNTA(A!$U$8:$U$62)=0)),"",COUNTIFS(A!$U$8:$U$62,"X12",A!$T$8:$T$62,"C"))</f>
        <v/>
      </c>
      <c r="O10" s="14" t="str">
        <f>IF(OR((COUNTA(A!$S$8:$S$62)=0),(COUNTA(A!$U$8:$U$62)=0)),"",COUNTIFS(A!$U$8:$U$62,"X13",A!$T$8:$T$62,"C"))</f>
        <v/>
      </c>
      <c r="P10" s="14" t="str">
        <f>IF(OR((COUNTA(A!$S$8:$S$62)=0),(COUNTA(A!$U$8:$U$62)=0)),"",COUNTIFS(A!$U$8:$U$62,"X14",A!$T$8:$T$62,"C"))</f>
        <v/>
      </c>
      <c r="Q10" s="14" t="str">
        <f>IF(OR((COUNTA(A!$S$8:$S$62)=0),(COUNTA(A!$U$8:$U$62)=0)),"",COUNTIFS(A!$U$8:$U$62,"X15",A!$T$8:$T$62,"C"))</f>
        <v/>
      </c>
      <c r="R10" s="42" t="str">
        <f>IF(OR((COUNTA(A!$S$8:$S$62)=0),(COUNTA(A!$U$8:$U$62)=0)),"",COUNTIFS(A!$U$8:$U$62,"X16",A!$T$8:$T$62,"C"))</f>
        <v/>
      </c>
      <c r="S10" s="13" t="str">
        <f>IF(OR((COUNTA(A!$V$8:$V$62)=0),(COUNTA(A!$X$8:$X$62)=0)),"",COUNTIFS(A!$X$8:$X$62,"X17",A!$W$8:$W$62,"C"))</f>
        <v/>
      </c>
      <c r="T10" s="14" t="str">
        <f>IF(OR((COUNTA(A!$V$8:$V$62)=0),(COUNTA(A!$X$8:$X$62)=0)),"",COUNTIFS(A!$X$8:$X$62,"X18",A!$W$8:$W$62,"C"))</f>
        <v/>
      </c>
      <c r="U10" s="14" t="str">
        <f>IF(OR((COUNTA(A!$V$8:$V$62)=0),(COUNTA(A!$X$8:$X$62)=0)),"",COUNTIFS(A!$X$8:$X$62,"X19",A!$W$8:$W$62,"C"))</f>
        <v/>
      </c>
      <c r="V10" s="14" t="str">
        <f>IF(OR((COUNTA(A!$V$8:$V$62)=0),(COUNTA(A!$X$8:$X$62)=0)),"",COUNTIFS(A!$X$8:$X$62,"X20",A!$W$8:$W$62,"C"))</f>
        <v/>
      </c>
      <c r="W10" s="14" t="str">
        <f>IF(OR((COUNTA(A!$V$8:$V$62)=0),(COUNTA(A!$X$8:$X$62)=0)),"",COUNTIFS(A!$X$8:$X$62,"X21",A!$W$8:$W$62,"C"))</f>
        <v/>
      </c>
      <c r="X10" s="14" t="str">
        <f>IF(OR((COUNTA(A!$V$8:$V$62)=0),(COUNTA(A!$X$8:$X$62)=0)),"",COUNTIFS(A!$X$8:$X$62,"X22",A!$W$8:$W$62,"C"))</f>
        <v/>
      </c>
      <c r="Y10" s="14" t="str">
        <f>IF(OR((COUNTA(A!$V$8:$V$62)=0),(COUNTA(A!$X$8:$X$62)=0)),"",COUNTIFS(A!$X$8:$X$62,"X23",A!$W$8:$W$62,"C"))</f>
        <v/>
      </c>
      <c r="Z10" s="42" t="str">
        <f>IF(OR((COUNTA(A!$V$8:$V$62)=0),(COUNTA(A!$X$8:$X$62)=0)),"",COUNTIFS(A!$X$8:$X$62,"X24",A!$W$8:$W$62,"C"))</f>
        <v/>
      </c>
    </row>
    <row r="11" spans="1:26" s="2" customFormat="1" ht="13.5" customHeight="1">
      <c r="A11" s="495"/>
      <c r="B11" s="12" t="s">
        <v>31</v>
      </c>
      <c r="C11" s="13" t="str">
        <f>IF(OR((COUNTA(A!$P$8:$P$62)=0),(COUNTA(A!$R$8:$R$62)=0)),"",COUNTIFS(A!$R$8:$R$62,"X01",A!$Q$8:$Q$62,"S"))</f>
        <v/>
      </c>
      <c r="D11" s="14" t="str">
        <f>IF(OR((COUNTA(A!$P$8:$P$62)=0),(COUNTA(A!$R$8:$R$62)=0)),"",COUNTIFS(A!$R$8:$R$62,"X02",A!$Q$8:$Q$62,"S"))</f>
        <v/>
      </c>
      <c r="E11" s="14" t="str">
        <f>IF(OR((COUNTA(A!$P$8:$P$62)=0),(COUNTA(A!$R$8:$R$62)=0)),"",COUNTIFS(A!$R$8:$R$62,"X03",A!$Q$8:$Q$62,"S"))</f>
        <v/>
      </c>
      <c r="F11" s="14" t="str">
        <f>IF(OR((COUNTA(A!$P$8:$P$62)=0),(COUNTA(A!$R$8:$R$62)=0)),"",COUNTIFS(A!$R$8:$R$62,"X04",A!$Q$8:$Q$62,"S"))</f>
        <v/>
      </c>
      <c r="G11" s="14" t="str">
        <f>IF(OR((COUNTA(A!$P$8:$P$62)=0),(COUNTA(A!$R$8:$R$62)=0)),"",COUNTIFS(A!$R$8:$R$62,"X05",A!$Q$8:$Q$62,"S"))</f>
        <v/>
      </c>
      <c r="H11" s="14" t="str">
        <f>IF(OR((COUNTA(A!$P$8:$P$62)=0),(COUNTA(A!$R$8:$R$62)=0)),"",COUNTIFS(A!$R$8:$R$62,"X06",A!$Q$8:$Q$62,"S"))</f>
        <v/>
      </c>
      <c r="I11" s="14" t="str">
        <f>IF(OR((COUNTA(A!$P$8:$P$62)=0),(COUNTA(A!$R$8:$R$62)=0)),"",COUNTIFS(A!$R$8:$R$62,"X07",A!$Q$8:$Q$62,"S"))</f>
        <v/>
      </c>
      <c r="J11" s="42" t="str">
        <f>IF(OR((COUNTA(A!$P$8:$P$62)=0),(COUNTA(A!$R$8:$R$62)=0)),"",COUNTIFS(A!$R$8:$R$62,"X08",A!$Q$8:$Q$62,"S"))</f>
        <v/>
      </c>
      <c r="K11" s="13" t="str">
        <f>IF(OR((COUNTA(A!$S$8:$S$62)=0),(COUNTA(A!$U$8:$U$62)=0)),"",COUNTIFS(A!$U$8:$U$62,"X09",A!$T$8:$T$62,"S"))</f>
        <v/>
      </c>
      <c r="L11" s="14" t="str">
        <f>IF(OR((COUNTA(A!$S$8:$S$62)=0),(COUNTA(A!$U$8:$U$62)=0)),"",COUNTIFS(A!$U$8:$U$62,"X10",A!$T$8:$T$62,"S"))</f>
        <v/>
      </c>
      <c r="M11" s="14" t="str">
        <f>IF(OR((COUNTA(A!$S$8:$S$62)=0),(COUNTA(A!$U$8:$U$62)=0)),"",COUNTIFS(A!$U$8:$U$62,"X11",A!$T$8:$T$62,"S"))</f>
        <v/>
      </c>
      <c r="N11" s="14" t="str">
        <f>IF(OR((COUNTA(A!$S$8:$S$62)=0),(COUNTA(A!$U$8:$U$62)=0)),"",COUNTIFS(A!$U$8:$U$62,"X12",A!$T$8:$T$62,"S"))</f>
        <v/>
      </c>
      <c r="O11" s="14" t="str">
        <f>IF(OR((COUNTA(A!$S$8:$S$62)=0),(COUNTA(A!$U$8:$U$62)=0)),"",COUNTIFS(A!$U$8:$U$62,"X13",A!$T$8:$T$62,"S"))</f>
        <v/>
      </c>
      <c r="P11" s="14" t="str">
        <f>IF(OR((COUNTA(A!$S$8:$S$62)=0),(COUNTA(A!$U$8:$U$62)=0)),"",COUNTIFS(A!$U$8:$U$62,"X14",A!$T$8:$T$62,"S"))</f>
        <v/>
      </c>
      <c r="Q11" s="14" t="str">
        <f>IF(OR((COUNTA(A!$S$8:$S$62)=0),(COUNTA(A!$U$8:$U$62)=0)),"",COUNTIFS(A!$U$8:$U$62,"X15",A!$T$8:$T$62,"S"))</f>
        <v/>
      </c>
      <c r="R11" s="42" t="str">
        <f>IF(OR((COUNTA(A!$S$8:$S$62)=0),(COUNTA(A!$U$8:$U$62)=0)),"",COUNTIFS(A!$U$8:$U$62,"X16",A!$T$8:$T$62,"S"))</f>
        <v/>
      </c>
      <c r="S11" s="13" t="str">
        <f>IF(OR((COUNTA(A!$V$8:$V$62)=0),(COUNTA(A!$X$8:$X$62)=0)),"",COUNTIFS(A!$X$8:$X$62,"X17",A!$W$8:$W$62,"S"))</f>
        <v/>
      </c>
      <c r="T11" s="14" t="str">
        <f>IF(OR((COUNTA(A!$V$8:$V$62)=0),(COUNTA(A!$X$8:$X$62)=0)),"",COUNTIFS(A!$X$8:$X$62,"X18",A!$W$8:$W$62,"S"))</f>
        <v/>
      </c>
      <c r="U11" s="14" t="str">
        <f>IF(OR((COUNTA(A!$V$8:$V$62)=0),(COUNTA(A!$X$8:$X$62)=0)),"",COUNTIFS(A!$X$8:$X$62,"X19",A!$W$8:$W$62,"S"))</f>
        <v/>
      </c>
      <c r="V11" s="14" t="str">
        <f>IF(OR((COUNTA(A!$V$8:$V$62)=0),(COUNTA(A!$X$8:$X$62)=0)),"",COUNTIFS(A!$X$8:$X$62,"X20",A!$W$8:$W$62,"S"))</f>
        <v/>
      </c>
      <c r="W11" s="14" t="str">
        <f>IF(OR((COUNTA(A!$V$8:$V$62)=0),(COUNTA(A!$X$8:$X$62)=0)),"",COUNTIFS(A!$X$8:$X$62,"X21",A!$W$8:$W$62,"S"))</f>
        <v/>
      </c>
      <c r="X11" s="14" t="str">
        <f>IF(OR((COUNTA(A!$V$8:$V$62)=0),(COUNTA(A!$X$8:$X$62)=0)),"",COUNTIFS(A!$X$8:$X$62,"X22",A!$W$8:$W$62,"S"))</f>
        <v/>
      </c>
      <c r="Y11" s="14" t="str">
        <f>IF(OR((COUNTA(A!$V$8:$V$62)=0),(COUNTA(A!$X$8:$X$62)=0)),"",COUNTIFS(A!$X$8:$X$62,"X23",A!$W$8:$W$62,"S"))</f>
        <v/>
      </c>
      <c r="Z11" s="42" t="str">
        <f>IF(OR((COUNTA(A!$V$8:$V$62)=0),(COUNTA(A!$X$8:$X$62)=0)),"",COUNTIFS(A!$X$8:$X$62,"X24",A!$W$8:$W$62,"S"))</f>
        <v/>
      </c>
    </row>
    <row r="12" spans="1:26" s="2" customFormat="1" ht="13.5" customHeight="1">
      <c r="A12" s="495"/>
      <c r="B12" s="15" t="s">
        <v>32</v>
      </c>
      <c r="C12" s="16" t="str">
        <f>IF(OR((COUNTA(A!$P$8:$P$62)=0),(COUNTA(A!$R$8:$R$62)=0)),"",COUNTIFS(A!$R$8:$R$62,"X01",A!$Q$8:$Q$62,"W"))</f>
        <v/>
      </c>
      <c r="D12" s="17" t="str">
        <f>IF(OR((COUNTA(A!$P$8:$P$62)=0),(COUNTA(A!$R$8:$R$62)=0)),"",COUNTIFS(A!$R$8:$R$62,"X02",A!$Q$8:$Q$62,"W"))</f>
        <v/>
      </c>
      <c r="E12" s="17" t="str">
        <f>IF(OR((COUNTA(A!$P$8:$P$62)=0),(COUNTA(A!$R$8:$R$62)=0)),"",COUNTIFS(A!$R$8:$R$62,"X03",A!$Q$8:$Q$62,"W"))</f>
        <v/>
      </c>
      <c r="F12" s="17" t="str">
        <f>IF(OR((COUNTA(A!$P$8:$P$62)=0),(COUNTA(A!$R$8:$R$62)=0)),"",COUNTIFS(A!$R$8:$R$62,"X04",A!$Q$8:$Q$62,"W"))</f>
        <v/>
      </c>
      <c r="G12" s="17" t="str">
        <f>IF(OR((COUNTA(A!$P$8:$P$62)=0),(COUNTA(A!$R$8:$R$62)=0)),"",COUNTIFS(A!$R$8:$R$62,"X05",A!$Q$8:$Q$62,"W"))</f>
        <v/>
      </c>
      <c r="H12" s="17" t="str">
        <f>IF(OR((COUNTA(A!$P$8:$P$62)=0),(COUNTA(A!$R$8:$R$62)=0)),"",COUNTIFS(A!$R$8:$R$62,"X06",A!$Q$8:$Q$62,"W"))</f>
        <v/>
      </c>
      <c r="I12" s="17" t="str">
        <f>IF(OR((COUNTA(A!$P$8:$P$62)=0),(COUNTA(A!$R$8:$R$62)=0)),"",COUNTIFS(A!$R$8:$R$62,"X07",A!$Q$8:$Q$62,"W"))</f>
        <v/>
      </c>
      <c r="J12" s="43" t="str">
        <f>IF(OR((COUNTA(A!$P$8:$P$62)=0),(COUNTA(A!$R$8:$R$62)=0)),"",COUNTIFS(A!$R$8:$R$62,"X08",A!$Q$8:$Q$62,"W"))</f>
        <v/>
      </c>
      <c r="K12" s="16" t="str">
        <f>IF(OR((COUNTA(A!$S$8:$S$62)=0),(COUNTA(A!$U$8:$U$62)=0)),"",COUNTIFS(A!$U$8:$U$62,"X09",A!$T$8:$T$62,"W"))</f>
        <v/>
      </c>
      <c r="L12" s="17" t="str">
        <f>IF(OR((COUNTA(A!$S$8:$S$62)=0),(COUNTA(A!$U$8:$U$62)=0)),"",COUNTIFS(A!$U$8:$U$62,"X10",A!$T$8:$T$62,"W"))</f>
        <v/>
      </c>
      <c r="M12" s="17" t="str">
        <f>IF(OR((COUNTA(A!$S$8:$S$62)=0),(COUNTA(A!$U$8:$U$62)=0)),"",COUNTIFS(A!$U$8:$U$62,"X11",A!$T$8:$T$62,"W"))</f>
        <v/>
      </c>
      <c r="N12" s="17" t="str">
        <f>IF(OR((COUNTA(A!$S$8:$S$62)=0),(COUNTA(A!$U$8:$U$62)=0)),"",COUNTIFS(A!$U$8:$U$62,"X12",A!$T$8:$T$62,"W"))</f>
        <v/>
      </c>
      <c r="O12" s="17" t="str">
        <f>IF(OR((COUNTA(A!$S$8:$S$62)=0),(COUNTA(A!$U$8:$U$62)=0)),"",COUNTIFS(A!$U$8:$U$62,"X13",A!$T$8:$T$62,"W"))</f>
        <v/>
      </c>
      <c r="P12" s="17" t="str">
        <f>IF(OR((COUNTA(A!$S$8:$S$62)=0),(COUNTA(A!$U$8:$U$62)=0)),"",COUNTIFS(A!$U$8:$U$62,"X14",A!$T$8:$T$62,"W"))</f>
        <v/>
      </c>
      <c r="Q12" s="17" t="str">
        <f>IF(OR((COUNTA(A!$S$8:$S$62)=0),(COUNTA(A!$U$8:$U$62)=0)),"",COUNTIFS(A!$U$8:$U$62,"X15",A!$T$8:$T$62,"W"))</f>
        <v/>
      </c>
      <c r="R12" s="43" t="str">
        <f>IF(OR((COUNTA(A!$S$8:$S$62)=0),(COUNTA(A!$U$8:$U$62)=0)),"",COUNTIFS(A!$U$8:$U$62,"X16",A!$T$8:$T$62,"W"))</f>
        <v/>
      </c>
      <c r="S12" s="16" t="str">
        <f>IF(OR((COUNTA(A!$V$8:$V$62)=0),(COUNTA(A!$X$8:$X$62)=0)),"",COUNTIFS(A!$X$8:$X$62,"X17",A!$W$8:$W$62,"W"))</f>
        <v/>
      </c>
      <c r="T12" s="17" t="str">
        <f>IF(OR((COUNTA(A!$V$8:$V$62)=0),(COUNTA(A!$X$8:$X$62)=0)),"",COUNTIFS(A!$X$8:$X$62,"X18",A!$W$8:$W$62,"W"))</f>
        <v/>
      </c>
      <c r="U12" s="17" t="str">
        <f>IF(OR((COUNTA(A!$V$8:$V$62)=0),(COUNTA(A!$X$8:$X$62)=0)),"",COUNTIFS(A!$X$8:$X$62,"X19",A!$W$8:$W$62,"W"))</f>
        <v/>
      </c>
      <c r="V12" s="17" t="str">
        <f>IF(OR((COUNTA(A!$V$8:$V$62)=0),(COUNTA(A!$X$8:$X$62)=0)),"",COUNTIFS(A!$X$8:$X$62,"X20",A!$W$8:$W$62,"W"))</f>
        <v/>
      </c>
      <c r="W12" s="17" t="str">
        <f>IF(OR((COUNTA(A!$V$8:$V$62)=0),(COUNTA(A!$X$8:$X$62)=0)),"",COUNTIFS(A!$X$8:$X$62,"X21",A!$W$8:$W$62,"W"))</f>
        <v/>
      </c>
      <c r="X12" s="17" t="str">
        <f>IF(OR((COUNTA(A!$V$8:$V$62)=0),(COUNTA(A!$X$8:$X$62)=0)),"",COUNTIFS(A!$X$8:$X$62,"X22",A!$W$8:$W$62,"W"))</f>
        <v/>
      </c>
      <c r="Y12" s="17" t="str">
        <f>IF(OR((COUNTA(A!$V$8:$V$62)=0),(COUNTA(A!$X$8:$X$62)=0)),"",COUNTIFS(A!$X$8:$X$62,"X23",A!$W$8:$W$62,"W"))</f>
        <v/>
      </c>
      <c r="Z12" s="43" t="str">
        <f>IF(OR((COUNTA(A!$V$8:$V$62)=0),(COUNTA(A!$X$8:$X$62)=0)),"",COUNTIFS(A!$X$8:$X$62,"X24",A!$W$8:$W$62,"W"))</f>
        <v/>
      </c>
    </row>
    <row r="13" spans="1:26" s="2" customFormat="1" ht="13.5" customHeight="1">
      <c r="A13" s="495"/>
      <c r="B13" s="15" t="s">
        <v>47</v>
      </c>
      <c r="C13" s="16" t="str">
        <f>IF(OR((COUNTA(A!$P$8:$P$62)=0),(COUNTA(A!$R$8:$R$62)=0)),"",COUNTIFS(A!$R$8:$R$62,"X01",A!$Q$8:$Q$62,"AB"))</f>
        <v/>
      </c>
      <c r="D13" s="17" t="str">
        <f>IF(OR((COUNTA(A!$P$8:$P$62)=0),(COUNTA(A!$R$8:$R$62)=0)),"",COUNTIFS(A!$R$8:$R$62,"X02",A!$Q$8:$Q$62,"AB"))</f>
        <v/>
      </c>
      <c r="E13" s="17" t="str">
        <f>IF(OR((COUNTA(A!$P$8:$P$62)=0),(COUNTA(A!$R$8:$R$62)=0)),"",COUNTIFS(A!$R$8:$R$62,"X03",A!$Q$8:$Q$62,"AB"))</f>
        <v/>
      </c>
      <c r="F13" s="17" t="str">
        <f>IF(OR((COUNTA(A!$P$8:$P$62)=0),(COUNTA(A!$R$8:$R$62)=0)),"",COUNTIFS(A!$R$8:$R$62,"X04",A!$Q$8:$Q$62,"AB"))</f>
        <v/>
      </c>
      <c r="G13" s="17" t="str">
        <f>IF(OR((COUNTA(A!$P$8:$P$62)=0),(COUNTA(A!$R$8:$R$62)=0)),"",COUNTIFS(A!$R$8:$R$62,"X05",A!$Q$8:$Q$62,"AB"))</f>
        <v/>
      </c>
      <c r="H13" s="17" t="str">
        <f>IF(OR((COUNTA(A!$P$8:$P$62)=0),(COUNTA(A!$R$8:$R$62)=0)),"",COUNTIFS(A!$R$8:$R$62,"X06",A!$Q$8:$Q$62,"AB"))</f>
        <v/>
      </c>
      <c r="I13" s="17" t="str">
        <f>IF(OR((COUNTA(A!$P$8:$P$62)=0),(COUNTA(A!$R$8:$R$62)=0)),"",COUNTIFS(A!$R$8:$R$62,"X07",A!$Q$8:$Q$62,"AB"))</f>
        <v/>
      </c>
      <c r="J13" s="43" t="str">
        <f>IF(OR((COUNTA(A!$P$8:$P$62)=0),(COUNTA(A!$R$8:$R$62)=0)),"",COUNTIFS(A!$R$8:$R$62,"X08",A!$Q$8:$Q$62,"AB"))</f>
        <v/>
      </c>
      <c r="K13" s="16" t="str">
        <f>IF(OR((COUNTA(A!$S$8:$S$62)=0),(COUNTA(A!$U$8:$U$62)=0)),"",COUNTIFS(A!$U$8:$U$62,"X09",A!$T$8:$T$62,"AB"))</f>
        <v/>
      </c>
      <c r="L13" s="17" t="str">
        <f>IF(OR((COUNTA(A!$S$8:$S$62)=0),(COUNTA(A!$U$8:$U$62)=0)),"",COUNTIFS(A!$U$8:$U$62,"X10",A!$T$8:$T$62,"AB"))</f>
        <v/>
      </c>
      <c r="M13" s="17" t="str">
        <f>IF(OR((COUNTA(A!$S$8:$S$62)=0),(COUNTA(A!$U$8:$U$62)=0)),"",COUNTIFS(A!$U$8:$U$62,"X11",A!$T$8:$T$62,"AB"))</f>
        <v/>
      </c>
      <c r="N13" s="17" t="str">
        <f>IF(OR((COUNTA(A!$S$8:$S$62)=0),(COUNTA(A!$U$8:$U$62)=0)),"",COUNTIFS(A!$U$8:$U$62,"X12",A!$T$8:$T$62,"AB"))</f>
        <v/>
      </c>
      <c r="O13" s="17" t="str">
        <f>IF(OR((COUNTA(A!$S$8:$S$62)=0),(COUNTA(A!$U$8:$U$62)=0)),"",COUNTIFS(A!$U$8:$U$62,"X13",A!$T$8:$T$62,"AB"))</f>
        <v/>
      </c>
      <c r="P13" s="17" t="str">
        <f>IF(OR((COUNTA(A!$S$8:$S$62)=0),(COUNTA(A!$U$8:$U$62)=0)),"",COUNTIFS(A!$U$8:$U$62,"X14",A!$T$8:$T$62,"AB"))</f>
        <v/>
      </c>
      <c r="Q13" s="17" t="str">
        <f>IF(OR((COUNTA(A!$S$8:$S$62)=0),(COUNTA(A!$U$8:$U$62)=0)),"",COUNTIFS(A!$U$8:$U$62,"X15",A!$T$8:$T$62,"AB"))</f>
        <v/>
      </c>
      <c r="R13" s="43" t="str">
        <f>IF(OR((COUNTA(A!$S$8:$S$62)=0),(COUNTA(A!$U$8:$U$62)=0)),"",COUNTIFS(A!$U$8:$U$62,"X16",A!$T$8:$T$62,"AB"))</f>
        <v/>
      </c>
      <c r="S13" s="16" t="str">
        <f>IF(OR((COUNTA(A!$V$8:$V$62)=0),(COUNTA(A!$X$8:$X$62)=0)),"",COUNTIFS(A!$X$8:$X$62,"X17",A!$W$8:$W$62,"AB"))</f>
        <v/>
      </c>
      <c r="T13" s="17" t="str">
        <f>IF(OR((COUNTA(A!$V$8:$V$62)=0),(COUNTA(A!$X$8:$X$62)=0)),"",COUNTIFS(A!$X$8:$X$62,"X18",A!$W$8:$W$62,"AB"))</f>
        <v/>
      </c>
      <c r="U13" s="17" t="str">
        <f>IF(OR((COUNTA(A!$V$8:$V$62)=0),(COUNTA(A!$X$8:$X$62)=0)),"",COUNTIFS(A!$X$8:$X$62,"X19",A!$W$8:$W$62,"AB"))</f>
        <v/>
      </c>
      <c r="V13" s="17" t="str">
        <f>IF(OR((COUNTA(A!$V$8:$V$62)=0),(COUNTA(A!$X$8:$X$62)=0)),"",COUNTIFS(A!$X$8:$X$62,"X20",A!$W$8:$W$62,"AB"))</f>
        <v/>
      </c>
      <c r="W13" s="17" t="str">
        <f>IF(OR((COUNTA(A!$V$8:$V$62)=0),(COUNTA(A!$X$8:$X$62)=0)),"",COUNTIFS(A!$X$8:$X$62,"X21",A!$W$8:$W$62,"AB"))</f>
        <v/>
      </c>
      <c r="X13" s="17" t="str">
        <f>IF(OR((COUNTA(A!$V$8:$V$62)=0),(COUNTA(A!$X$8:$X$62)=0)),"",COUNTIFS(A!$X$8:$X$62,"X22",A!$W$8:$W$62,"AB"))</f>
        <v/>
      </c>
      <c r="Y13" s="17" t="str">
        <f>IF(OR((COUNTA(A!$V$8:$V$62)=0),(COUNTA(A!$X$8:$X$62)=0)),"",COUNTIFS(A!$X$8:$X$62,"X23",A!$W$8:$W$62,"AB"))</f>
        <v/>
      </c>
      <c r="Z13" s="43" t="str">
        <f>IF(OR((COUNTA(A!$V$8:$V$62)=0),(COUNTA(A!$X$8:$X$62)=0)),"",COUNTIFS(A!$X$8:$X$62,"X24",A!$W$8:$W$62,"AB"))</f>
        <v/>
      </c>
    </row>
    <row r="14" spans="1:26" s="2" customFormat="1" ht="13.5" customHeight="1">
      <c r="A14" s="495"/>
      <c r="B14" s="18" t="s">
        <v>48</v>
      </c>
      <c r="C14" s="13" t="str">
        <f>IF(OR((COUNTA(A!$P$8:$P$62)=0),(COUNTA(A!$R$8:$R$62)=0)),"",COUNTIFS(A!$R$8:$R$62,"X01",A!$P$8:$P$62,"&lt;=39",A!$P$8:$P$62,"&gt;=30"))</f>
        <v/>
      </c>
      <c r="D14" s="14" t="str">
        <f>IF(OR((COUNTA(A!$P$8:$P$62)=0),(COUNTA(A!$R$8:$R$62)=0)),"",COUNTIFS(A!$R$8:$R$62,"X02",A!$P$8:$P$62,"&lt;=39",A!$P$8:$P$62,"&gt;=30"))</f>
        <v/>
      </c>
      <c r="E14" s="14" t="str">
        <f>IF(OR((COUNTA(A!$P$8:$P$62)=0),(COUNTA(A!$R$8:$R$62)=0)),"",COUNTIFS(A!$R$8:$R$62,"X03",A!$P$8:$P$62,"&lt;=39",A!$P$8:$P$62,"&gt;=30"))</f>
        <v/>
      </c>
      <c r="F14" s="14" t="str">
        <f>IF(OR((COUNTA(A!$P$8:$P$62)=0),(COUNTA(A!$R$8:$R$62)=0)),"",COUNTIFS(A!$R$8:$R$62,"X04",A!$P$8:$P$62,"&lt;=39",A!$P$8:$P$62,"&gt;=30"))</f>
        <v/>
      </c>
      <c r="G14" s="14" t="str">
        <f>IF(OR((COUNTA(A!$P$8:$P$62)=0),(COUNTA(A!$R$8:$R$62)=0)),"",COUNTIFS(A!$R$8:$R$62,"X05",A!$P$8:$P$62,"&lt;=39",A!$P$8:$P$62,"&gt;=30"))</f>
        <v/>
      </c>
      <c r="H14" s="14" t="str">
        <f>IF(OR((COUNTA(A!$P$8:$P$62)=0),(COUNTA(A!$R$8:$R$62)=0)),"",COUNTIFS(A!$R$8:$R$62,"X06",A!$P$8:$P$62,"&lt;=39",A!$P$8:$P$62,"&gt;=30"))</f>
        <v/>
      </c>
      <c r="I14" s="14" t="str">
        <f>IF(OR((COUNTA(A!$P$8:$P$62)=0),(COUNTA(A!$R$8:$R$62)=0)),"",COUNTIFS(A!$R$8:$R$62,"X07",A!$P$8:$P$62,"&lt;=39",A!$P$8:$P$62,"&gt;=30"))</f>
        <v/>
      </c>
      <c r="J14" s="42" t="str">
        <f>IF(OR((COUNTA(A!$P$8:$P$62)=0),(COUNTA(A!$R$8:$R$62)=0)),"",COUNTIFS(A!$R$8:$R$62,"X08",A!$P$8:$P$62,"&lt;=39",A!$P$8:$P$62,"&gt;=30"))</f>
        <v/>
      </c>
      <c r="K14" s="13" t="str">
        <f>IF(OR((COUNTA(A!$S$8:$S$62)=0),(COUNTA(A!$U$8:$U$62)=0)),"",COUNTIFS(A!$U$8:$U$62,"X09",A!$S$8:$S$62,"&lt;=39",A!$S$8:$S$62,"&gt;=30"))</f>
        <v/>
      </c>
      <c r="L14" s="14" t="str">
        <f>IF(OR((COUNTA(A!$S$8:$S$62)=0),(COUNTA(A!$U$8:$U$62)=0)),"",COUNTIFS(A!$U$8:$U$62,"X10",A!$S$8:$S$62,"&lt;=39",A!$S$8:$S$62,"&gt;=30"))</f>
        <v/>
      </c>
      <c r="M14" s="14" t="str">
        <f>IF(OR((COUNTA(A!$S$8:$S$62)=0),(COUNTA(A!$U$8:$U$62)=0)),"",COUNTIFS(A!$U$8:$U$62,"X11",A!$S$8:$S$62,"&lt;=39",A!$S$8:$S$62,"&gt;=30"))</f>
        <v/>
      </c>
      <c r="N14" s="14" t="str">
        <f>IF(OR((COUNTA(A!$S$8:$S$62)=0),(COUNTA(A!$U$8:$U$62)=0)),"",COUNTIFS(A!$U$8:$U$62,"X12",A!$S$8:$S$62,"&lt;=39",A!$S$8:$S$62,"&gt;=30"))</f>
        <v/>
      </c>
      <c r="O14" s="14" t="str">
        <f>IF(OR((COUNTA(A!$S$8:$S$62)=0),(COUNTA(A!$U$8:$U$62)=0)),"",COUNTIFS(A!$U$8:$U$62,"X13",A!$S$8:$S$62,"&lt;=39",A!$S$8:$S$62,"&gt;=30"))</f>
        <v/>
      </c>
      <c r="P14" s="14" t="str">
        <f>IF(OR((COUNTA(A!$S$8:$S$62)=0),(COUNTA(A!$U$8:$U$62)=0)),"",COUNTIFS(A!$U$8:$U$62,"X14",A!$S$8:$S$62,"&lt;=39",A!$S$8:$S$62,"&gt;=30"))</f>
        <v/>
      </c>
      <c r="Q14" s="14" t="str">
        <f>IF(OR((COUNTA(A!$S$8:$S$62)=0),(COUNTA(A!$U$8:$U$62)=0)),"",COUNTIFS(A!$U$8:$U$62,"X15",A!$S$8:$S$62,"&lt;=39",A!$S$8:$S$62,"&gt;=30"))</f>
        <v/>
      </c>
      <c r="R14" s="42" t="str">
        <f>IF(OR((COUNTA(A!$S$8:$S$62)=0),(COUNTA(A!$U$8:$U$62)=0)),"",COUNTIFS(A!$U$8:$U$62,"X16",A!$S$8:$S$62,"&lt;=39",A!$S$8:$S$62,"&gt;=30"))</f>
        <v/>
      </c>
      <c r="S14" s="13" t="str">
        <f>IF(OR((COUNTA(A!$V$8:$V$62)=0),(COUNTA(A!$X$8:$X$62)=0)),"",COUNTIFS(A!$X$8:$X$62,"X17",A!$V$8:$V$62,"&lt;=39",A!$V$8:$V$62,"&gt;=30"))</f>
        <v/>
      </c>
      <c r="T14" s="14" t="str">
        <f>IF(OR((COUNTA(A!$V$8:$V$62)=0),(COUNTA(A!$X$8:$X$62)=0)),"",COUNTIFS(A!$X$8:$X$62,"X18",A!$V$8:$V$62,"&lt;=39",A!$V$8:$V$62,"&gt;=30"))</f>
        <v/>
      </c>
      <c r="U14" s="14" t="str">
        <f>IF(OR((COUNTA(A!$V$8:$V$62)=0),(COUNTA(A!$X$8:$X$62)=0)),"",COUNTIFS(A!$X$8:$X$62,"X19",A!$V$8:$V$62,"&lt;=39",A!$V$8:$V$62,"&gt;=30"))</f>
        <v/>
      </c>
      <c r="V14" s="14" t="str">
        <f>IF(OR((COUNTA(A!$V$8:$V$62)=0),(COUNTA(A!$X$8:$X$62)=0)),"",COUNTIFS(A!$X$8:$X$62,"X20",A!$V$8:$V$62,"&lt;=39",A!$V$8:$V$62,"&gt;=30"))</f>
        <v/>
      </c>
      <c r="W14" s="14" t="str">
        <f>IF(OR((COUNTA(A!$V$8:$V$62)=0),(COUNTA(A!$X$8:$X$62)=0)),"",COUNTIFS(A!$X$8:$X$62,"X21",A!$V$8:$V$62,"&lt;=39",A!$V$8:$V$62,"&gt;=30"))</f>
        <v/>
      </c>
      <c r="X14" s="14" t="str">
        <f>IF(OR((COUNTA(A!$V$8:$V$62)=0),(COUNTA(A!$X$8:$X$62)=0)),"",COUNTIFS(A!$X$8:$X$62,"X22",A!$V$8:$V$62,"&lt;=39",A!$V$8:$V$62,"&gt;=30"))</f>
        <v/>
      </c>
      <c r="Y14" s="14" t="str">
        <f>IF(OR((COUNTA(A!$V$8:$V$62)=0),(COUNTA(A!$X$8:$X$62)=0)),"",COUNTIFS(A!$X$8:$X$62,"X23",A!$V$8:$V$62,"&lt;=39",A!$V$8:$V$62,"&gt;=30"))</f>
        <v/>
      </c>
      <c r="Z14" s="42" t="str">
        <f>IF(OR((COUNTA(A!$V$8:$V$62)=0),(COUNTA(A!$X$8:$X$62)=0)),"",COUNTIFS(A!$X$8:$X$62,"X24",A!$V$8:$V$62,"&lt;=39",A!$V$8:$V$62,"&gt;=30"))</f>
        <v/>
      </c>
    </row>
    <row r="15" spans="1:26" s="2" customFormat="1" ht="13.5" customHeight="1">
      <c r="A15" s="495"/>
      <c r="B15" s="18" t="s">
        <v>51</v>
      </c>
      <c r="C15" s="13" t="str">
        <f>IF(OR((COUNTA(A!$P$8:$P$62)=0),(COUNTA(A!$R$8:$R$62)=0)),"",COUNTIFS(A!$R$8:$R$62,"X01",A!$P$8:$P$62,"&lt;=29",A!$P$8:$P$62,"&gt;=20"))</f>
        <v/>
      </c>
      <c r="D15" s="14" t="str">
        <f>IF(OR((COUNTA(A!$P$8:$P$62)=0),(COUNTA(A!$R$8:$R$62)=0)),"",COUNTIFS(A!$R$8:$R$62,"X02",A!$P$8:$P$62,"&lt;=29",A!$P$8:$P$62,"&gt;=20"))</f>
        <v/>
      </c>
      <c r="E15" s="14" t="str">
        <f>IF(OR((COUNTA(A!$P$8:$P$62)=0),(COUNTA(A!$R$8:$R$62)=0)),"",COUNTIFS(A!$R$8:$R$62,"X03",A!$P$8:$P$62,"&lt;=29",A!$P$8:$P$62,"&gt;=20"))</f>
        <v/>
      </c>
      <c r="F15" s="14" t="str">
        <f>IF(OR((COUNTA(A!$P$8:$P$62)=0),(COUNTA(A!$R$8:$R$62)=0)),"",COUNTIFS(A!$R$8:$R$62,"X04",A!$P$8:$P$62,"&lt;=29",A!$P$8:$P$62,"&gt;=20"))</f>
        <v/>
      </c>
      <c r="G15" s="14" t="str">
        <f>IF(OR((COUNTA(A!$P$8:$P$62)=0),(COUNTA(A!$R$8:$R$62)=0)),"",COUNTIFS(A!$R$8:$R$62,"X05",A!$P$8:$P$62,"&lt;=29",A!$P$8:$P$62,"&gt;=20"))</f>
        <v/>
      </c>
      <c r="H15" s="14" t="str">
        <f>IF(OR((COUNTA(A!$P$8:$P$62)=0),(COUNTA(A!$R$8:$R$62)=0)),"",COUNTIFS(A!$R$8:$R$62,"X06",A!$P$8:$P$62,"&lt;=29",A!$P$8:$P$62,"&gt;=20"))</f>
        <v/>
      </c>
      <c r="I15" s="14" t="str">
        <f>IF(OR((COUNTA(A!$P$8:$P$62)=0),(COUNTA(A!$R$8:$R$62)=0)),"",COUNTIFS(A!$R$8:$R$62,"X07",A!$P$8:$P$62,"&lt;=29",A!$P$8:$P$62,"&gt;=20"))</f>
        <v/>
      </c>
      <c r="J15" s="42" t="str">
        <f>IF(OR((COUNTA(A!$P$8:$P$62)=0),(COUNTA(A!$R$8:$R$62)=0)),"",COUNTIFS(A!$R$8:$R$62,"X08",A!$P$8:$P$62,"&lt;=29",A!$P$8:$P$62,"&gt;=20"))</f>
        <v/>
      </c>
      <c r="K15" s="13" t="str">
        <f>IF(OR((COUNTA(A!$S$8:$S$62)=0),(COUNTA(A!$U$8:$U$62)=0)),"",COUNTIFS(A!$U$8:$U$62,"X09",A!$S$8:$S$62,"&lt;=29",A!$S$8:$S$62,"&gt;=20"))</f>
        <v/>
      </c>
      <c r="L15" s="14" t="str">
        <f>IF(OR((COUNTA(A!$S$8:$S$62)=0),(COUNTA(A!$U$8:$U$62)=0)),"",COUNTIFS(A!$U$8:$U$62,"X10",A!$S$8:$S$62,"&lt;=29",A!$S$8:$S$62,"&gt;=20"))</f>
        <v/>
      </c>
      <c r="M15" s="14" t="str">
        <f>IF(OR((COUNTA(A!$S$8:$S$62)=0),(COUNTA(A!$U$8:$U$62)=0)),"",COUNTIFS(A!$U$8:$U$62,"X11",A!$S$8:$S$62,"&lt;=29",A!$S$8:$S$62,"&gt;=20"))</f>
        <v/>
      </c>
      <c r="N15" s="14" t="str">
        <f>IF(OR((COUNTA(A!$S$8:$S$62)=0),(COUNTA(A!$U$8:$U$62)=0)),"",COUNTIFS(A!$U$8:$U$62,"X12",A!$S$8:$S$62,"&lt;=29",A!$S$8:$S$62,"&gt;=20"))</f>
        <v/>
      </c>
      <c r="O15" s="14" t="str">
        <f>IF(OR((COUNTA(A!$S$8:$S$62)=0),(COUNTA(A!$U$8:$U$62)=0)),"",COUNTIFS(A!$U$8:$U$62,"X13",A!$S$8:$S$62,"&lt;=29",A!$S$8:$S$62,"&gt;=20"))</f>
        <v/>
      </c>
      <c r="P15" s="14" t="str">
        <f>IF(OR((COUNTA(A!$S$8:$S$62)=0),(COUNTA(A!$U$8:$U$62)=0)),"",COUNTIFS(A!$U$8:$U$62,"X14",A!$S$8:$S$62,"&lt;=29",A!$S$8:$S$62,"&gt;=20"))</f>
        <v/>
      </c>
      <c r="Q15" s="14" t="str">
        <f>IF(OR((COUNTA(A!$S$8:$S$62)=0),(COUNTA(A!$U$8:$U$62)=0)),"",COUNTIFS(A!$U$8:$U$62,"X15",A!$S$8:$S$62,"&lt;=29",A!$S$8:$S$62,"&gt;=20"))</f>
        <v/>
      </c>
      <c r="R15" s="42" t="str">
        <f>IF(OR((COUNTA(A!$S$8:$S$62)=0),(COUNTA(A!$U$8:$U$62)=0)),"",COUNTIFS(A!$U$8:$U$62,"X16",A!$S$8:$S$62,"&lt;=29",A!$S$8:$S$62,"&gt;=20"))</f>
        <v/>
      </c>
      <c r="S15" s="13" t="str">
        <f>IF(OR((COUNTA(A!$V$8:$V$62)=0),(COUNTA(A!$X$8:$X$62)=0)),"",COUNTIFS(A!$X$8:$X$62,"X17",A!$V$8:$V$62,"&lt;=29",A!$V$8:$V$62,"&gt;=20"))</f>
        <v/>
      </c>
      <c r="T15" s="14" t="str">
        <f>IF(OR((COUNTA(A!$V$8:$V$62)=0),(COUNTA(A!$X$8:$X$62)=0)),"",COUNTIFS(A!$X$8:$X$62,"X18",A!$V$8:$V$62,"&lt;=29",A!$V$8:$V$62,"&gt;=20"))</f>
        <v/>
      </c>
      <c r="U15" s="14" t="str">
        <f>IF(OR((COUNTA(A!$V$8:$V$62)=0),(COUNTA(A!$X$8:$X$62)=0)),"",COUNTIFS(A!$X$8:$X$62,"X19",A!$V$8:$V$62,"&lt;=29",A!$V$8:$V$62,"&gt;=20"))</f>
        <v/>
      </c>
      <c r="V15" s="14" t="str">
        <f>IF(OR((COUNTA(A!$V$8:$V$62)=0),(COUNTA(A!$X$8:$X$62)=0)),"",COUNTIFS(A!$X$8:$X$62,"X20",A!$V$8:$V$62,"&lt;=29",A!$V$8:$V$62,"&gt;=20"))</f>
        <v/>
      </c>
      <c r="W15" s="14" t="str">
        <f>IF(OR((COUNTA(A!$V$8:$V$62)=0),(COUNTA(A!$X$8:$X$62)=0)),"",COUNTIFS(A!$X$8:$X$62,"X21",A!$V$8:$V$62,"&lt;=29",A!$V$8:$V$62,"&gt;=20"))</f>
        <v/>
      </c>
      <c r="X15" s="14" t="str">
        <f>IF(OR((COUNTA(A!$V$8:$V$62)=0),(COUNTA(A!$X$8:$X$62)=0)),"",COUNTIFS(A!$X$8:$X$62,"X22",A!$V$8:$V$62,"&lt;=29",A!$V$8:$V$62,"&gt;=20"))</f>
        <v/>
      </c>
      <c r="Y15" s="14" t="str">
        <f>IF(OR((COUNTA(A!$V$8:$V$62)=0),(COUNTA(A!$X$8:$X$62)=0)),"",COUNTIFS(A!$X$8:$X$62,"X23",A!$V$8:$V$62,"&lt;=29",A!$V$8:$V$62,"&gt;=20"))</f>
        <v/>
      </c>
      <c r="Z15" s="42" t="str">
        <f>IF(OR((COUNTA(A!$V$8:$V$62)=0),(COUNTA(A!$X$8:$X$62)=0)),"",COUNTIFS(A!$X$8:$X$62,"X24",A!$V$8:$V$62,"&lt;=29",A!$V$8:$V$62,"&gt;=20"))</f>
        <v/>
      </c>
    </row>
    <row r="16" spans="1:26" s="2" customFormat="1" ht="13.5" customHeight="1">
      <c r="A16" s="495"/>
      <c r="B16" s="19" t="s">
        <v>52</v>
      </c>
      <c r="C16" s="16" t="str">
        <f>IF(OR((COUNTA(A!$P$8:$P$62)=0),(COUNTA(A!$R$8:$R$62)=0)),"",COUNTIFS(A!$R$8:$R$62,"X01",A!$P$8:$P$62,"&lt;=19",A!$P$8:$P$62,"&gt;=10"))</f>
        <v/>
      </c>
      <c r="D16" s="17" t="str">
        <f>IF(OR((COUNTA(A!$P$8:$P$62)=0),(COUNTA(A!$R$8:$R$62)=0)),"",COUNTIFS(A!$R$8:$R$62,"X02",A!$P$8:$P$62,"&lt;=19",A!$P$8:$P$62,"&gt;=10"))</f>
        <v/>
      </c>
      <c r="E16" s="17" t="str">
        <f>IF(OR((COUNTA(A!$P$8:$P$62)=0),(COUNTA(A!$R$8:$R$62)=0)),"",COUNTIFS(A!$R$8:$R$62,"X03",A!$P$8:$P$62,"&lt;=19",A!$P$8:$P$62,"&gt;=10"))</f>
        <v/>
      </c>
      <c r="F16" s="17" t="str">
        <f>IF(OR((COUNTA(A!$P$8:$P$62)=0),(COUNTA(A!$R$8:$R$62)=0)),"",COUNTIFS(A!$R$8:$R$62,"X04",A!$P$8:$P$62,"&lt;=19",A!$P$8:$P$62,"&gt;=10"))</f>
        <v/>
      </c>
      <c r="G16" s="17" t="str">
        <f>IF(OR((COUNTA(A!$P$8:$P$62)=0),(COUNTA(A!$R$8:$R$62)=0)),"",COUNTIFS(A!$R$8:$R$62,"X05",A!$P$8:$P$62,"&lt;=19",A!$P$8:$P$62,"&gt;=10"))</f>
        <v/>
      </c>
      <c r="H16" s="17" t="str">
        <f>IF(OR((COUNTA(A!$P$8:$P$62)=0),(COUNTA(A!$R$8:$R$62)=0)),"",COUNTIFS(A!$R$8:$R$62,"X06",A!$P$8:$P$62,"&lt;=19",A!$P$8:$P$62,"&gt;=10"))</f>
        <v/>
      </c>
      <c r="I16" s="17" t="str">
        <f>IF(OR((COUNTA(A!$P$8:$P$62)=0),(COUNTA(A!$R$8:$R$62)=0)),"",COUNTIFS(A!$R$8:$R$62,"X07",A!$P$8:$P$62,"&lt;=19",A!$P$8:$P$62,"&gt;=10"))</f>
        <v/>
      </c>
      <c r="J16" s="43" t="str">
        <f>IF(OR((COUNTA(A!$P$8:$P$62)=0),(COUNTA(A!$R$8:$R$62)=0)),"",COUNTIFS(A!$R$8:$R$62,"X08",A!$P$8:$P$62,"&lt;=19",A!$P$8:$P$62,"&gt;=10"))</f>
        <v/>
      </c>
      <c r="K16" s="16" t="str">
        <f>IF(OR((COUNTA(A!$S$8:$S$62)=0),(COUNTA(A!$U$8:$U$62)=0)),"",COUNTIFS(A!$U$8:$U$62,"X09",A!$S$8:$S$62,"&lt;=19",A!$S$8:$S$62,"&gt;=10"))</f>
        <v/>
      </c>
      <c r="L16" s="17" t="str">
        <f>IF(OR((COUNTA(A!$S$8:$S$62)=0),(COUNTA(A!$U$8:$U$62)=0)),"",COUNTIFS(A!$U$8:$U$62,"X10",A!$S$8:$S$62,"&lt;=19",A!$S$8:$S$62,"&gt;=10"))</f>
        <v/>
      </c>
      <c r="M16" s="17" t="str">
        <f>IF(OR((COUNTA(A!$S$8:$S$62)=0),(COUNTA(A!$U$8:$U$62)=0)),"",COUNTIFS(A!$U$8:$U$62,"X11",A!$S$8:$S$62,"&lt;=19",A!$S$8:$S$62,"&gt;=10"))</f>
        <v/>
      </c>
      <c r="N16" s="17" t="str">
        <f>IF(OR((COUNTA(A!$S$8:$S$62)=0),(COUNTA(A!$U$8:$U$62)=0)),"",COUNTIFS(A!$U$8:$U$62,"X12",A!$S$8:$S$62,"&lt;=19",A!$S$8:$S$62,"&gt;=10"))</f>
        <v/>
      </c>
      <c r="O16" s="17" t="str">
        <f>IF(OR((COUNTA(A!$S$8:$S$62)=0),(COUNTA(A!$U$8:$U$62)=0)),"",COUNTIFS(A!$U$8:$U$62,"X13",A!$S$8:$S$62,"&lt;=19",A!$S$8:$S$62,"&gt;=10"))</f>
        <v/>
      </c>
      <c r="P16" s="17" t="str">
        <f>IF(OR((COUNTA(A!$S$8:$S$62)=0),(COUNTA(A!$U$8:$U$62)=0)),"",COUNTIFS(A!$U$8:$U$62,"X14",A!$S$8:$S$62,"&lt;=19",A!$S$8:$S$62,"&gt;=10"))</f>
        <v/>
      </c>
      <c r="Q16" s="17" t="str">
        <f>IF(OR((COUNTA(A!$S$8:$S$62)=0),(COUNTA(A!$U$8:$U$62)=0)),"",COUNTIFS(A!$U$8:$U$62,"X15",A!$S$8:$S$62,"&lt;=19",A!$S$8:$S$62,"&gt;=10"))</f>
        <v/>
      </c>
      <c r="R16" s="43" t="str">
        <f>IF(OR((COUNTA(A!$S$8:$S$62)=0),(COUNTA(A!$U$8:$U$62)=0)),"",COUNTIFS(A!$U$8:$U$62,"X16",A!$S$8:$S$62,"&lt;=19",A!$S$8:$S$62,"&gt;=10"))</f>
        <v/>
      </c>
      <c r="S16" s="16" t="str">
        <f>IF(OR((COUNTA(A!$V$8:$V$62)=0),(COUNTA(A!$X$8:$X$62)=0)),"",COUNTIFS(A!$X$8:$X$62,"X17",A!$V$8:$V$62,"&lt;=19",A!$V$8:$V$62,"&gt;=10"))</f>
        <v/>
      </c>
      <c r="T16" s="17" t="str">
        <f>IF(OR((COUNTA(A!$V$8:$V$62)=0),(COUNTA(A!$X$8:$X$62)=0)),"",COUNTIFS(A!$X$8:$X$62,"X18",A!$V$8:$V$62,"&lt;=19",A!$V$8:$V$62,"&gt;=10"))</f>
        <v/>
      </c>
      <c r="U16" s="17" t="str">
        <f>IF(OR((COUNTA(A!$V$8:$V$62)=0),(COUNTA(A!$X$8:$X$62)=0)),"",COUNTIFS(A!$X$8:$X$62,"X19",A!$V$8:$V$62,"&lt;=19",A!$V$8:$V$62,"&gt;=10"))</f>
        <v/>
      </c>
      <c r="V16" s="17" t="str">
        <f>IF(OR((COUNTA(A!$V$8:$V$62)=0),(COUNTA(A!$X$8:$X$62)=0)),"",COUNTIFS(A!$X$8:$X$62,"X20",A!$V$8:$V$62,"&lt;=19",A!$V$8:$V$62,"&gt;=10"))</f>
        <v/>
      </c>
      <c r="W16" s="17" t="str">
        <f>IF(OR((COUNTA(A!$V$8:$V$62)=0),(COUNTA(A!$X$8:$X$62)=0)),"",COUNTIFS(A!$X$8:$X$62,"X21",A!$V$8:$V$62,"&lt;=19",A!$V$8:$V$62,"&gt;=10"))</f>
        <v/>
      </c>
      <c r="X16" s="17" t="str">
        <f>IF(OR((COUNTA(A!$V$8:$V$62)=0),(COUNTA(A!$X$8:$X$62)=0)),"",COUNTIFS(A!$X$8:$X$62,"X22",A!$V$8:$V$62,"&lt;=19",A!$V$8:$V$62,"&gt;=10"))</f>
        <v/>
      </c>
      <c r="Y16" s="17" t="str">
        <f>IF(OR((COUNTA(A!$V$8:$V$62)=0),(COUNTA(A!$X$8:$X$62)=0)),"",COUNTIFS(A!$X$8:$X$62,"X23",A!$V$8:$V$62,"&lt;=19",A!$V$8:$V$62,"&gt;=10"))</f>
        <v/>
      </c>
      <c r="Z16" s="43" t="str">
        <f>IF(OR((COUNTA(A!$V$8:$V$62)=0),(COUNTA(A!$X$8:$X$62)=0)),"",COUNTIFS(A!$X$8:$X$62,"X24",A!$V$8:$V$62,"&lt;=19",A!$V$8:$V$62,"&gt;=10"))</f>
        <v/>
      </c>
    </row>
    <row r="17" spans="1:26" s="2" customFormat="1" ht="13.5" customHeight="1">
      <c r="A17" s="496"/>
      <c r="B17" s="20" t="s">
        <v>55</v>
      </c>
      <c r="C17" s="21" t="str">
        <f>IF(OR((COUNTA(A!$P$8:$P$62)=0),(COUNTA(A!$R$8:$R$62)=0)),"",COUNTIFS(A!$R$8:$R$62,"X01",A!$P$8:$P$62,"&lt;=9"))</f>
        <v/>
      </c>
      <c r="D17" s="22" t="str">
        <f>IF(OR((COUNTA(A!$P$8:$P$62)=0),(COUNTA(A!$R$8:$R$62)=0)),"",COUNTIFS(A!$R$8:$R$62,"X02",A!$P$8:$P$62,"&lt;=9"))</f>
        <v/>
      </c>
      <c r="E17" s="22" t="str">
        <f>IF(OR((COUNTA(A!$P$8:$P$62)=0),(COUNTA(A!$R$8:$R$62)=0)),"",COUNTIFS(A!$R$8:$R$62,"X03",A!$P$8:$P$62,"&lt;=9"))</f>
        <v/>
      </c>
      <c r="F17" s="22" t="str">
        <f>IF(OR((COUNTA(A!$P$8:$P$62)=0),(COUNTA(A!$R$8:$R$62)=0)),"",COUNTIFS(A!$R$8:$R$62,"X04",A!$P$8:$P$62,"&lt;=9"))</f>
        <v/>
      </c>
      <c r="G17" s="22" t="str">
        <f>IF(OR((COUNTA(A!$P$8:$P$62)=0),(COUNTA(A!$R$8:$R$62)=0)),"",COUNTIFS(A!$R$8:$R$62,"X05",A!$P$8:$P$62,"&lt;=9"))</f>
        <v/>
      </c>
      <c r="H17" s="22" t="str">
        <f>IF(OR((COUNTA(A!$P$8:$P$62)=0),(COUNTA(A!$R$8:$R$62)=0)),"",COUNTIFS(A!$R$8:$R$62,"X06",A!$P$8:$P$62,"&lt;=9"))</f>
        <v/>
      </c>
      <c r="I17" s="22" t="str">
        <f>IF(OR((COUNTA(A!$P$8:$P$62)=0),(COUNTA(A!$R$8:$R$62)=0)),"",COUNTIFS(A!$R$8:$R$62,"X07",A!$P$8:$P$62,"&lt;=9"))</f>
        <v/>
      </c>
      <c r="J17" s="44" t="str">
        <f>IF(OR((COUNTA(A!$P$8:$P$62)=0),(COUNTA(A!$R$8:$R$62)=0)),"",COUNTIFS(A!$R$8:$R$62,"X08",A!$P$8:$P$62,"&lt;=9"))</f>
        <v/>
      </c>
      <c r="K17" s="21" t="str">
        <f>IF(OR((COUNTA(A!$S$8:$S$62)=0),(COUNTA(A!$U$8:$U$62)=0)),"",COUNTIFS(A!$U$8:$U$62,"X09",A!$S$8:$S$62,"&lt;=9"))</f>
        <v/>
      </c>
      <c r="L17" s="22" t="str">
        <f>IF(OR((COUNTA(A!$S$8:$S$62)=0),(COUNTA(A!$U$8:$U$62)=0)),"",COUNTIFS(A!$U$8:$U$62,"X10",A!$S$8:$S$62,"&lt;=9"))</f>
        <v/>
      </c>
      <c r="M17" s="22" t="str">
        <f>IF(OR((COUNTA(A!$S$8:$S$62)=0),(COUNTA(A!$U$8:$U$62)=0)),"",COUNTIFS(A!$U$8:$U$62,"X11",A!$S$8:$S$62,"&lt;=9"))</f>
        <v/>
      </c>
      <c r="N17" s="22" t="str">
        <f>IF(OR((COUNTA(A!$S$8:$S$62)=0),(COUNTA(A!$U$8:$U$62)=0)),"",COUNTIFS(A!$U$8:$U$62,"X12",A!$S$8:$S$62,"&lt;=9"))</f>
        <v/>
      </c>
      <c r="O17" s="22" t="str">
        <f>IF(OR((COUNTA(A!$S$8:$S$62)=0),(COUNTA(A!$U$8:$U$62)=0)),"",COUNTIFS(A!$U$8:$U$62,"X13",A!$S$8:$S$62,"&lt;=9"))</f>
        <v/>
      </c>
      <c r="P17" s="22" t="str">
        <f>IF(OR((COUNTA(A!$S$8:$S$62)=0),(COUNTA(A!$U$8:$U$62)=0)),"",COUNTIFS(A!$U$8:$U$62,"X14",A!$S$8:$S$62,"&lt;=9"))</f>
        <v/>
      </c>
      <c r="Q17" s="22" t="str">
        <f>IF(OR((COUNTA(A!$S$8:$S$62)=0),(COUNTA(A!$U$8:$U$62)=0)),"",COUNTIFS(A!$U$8:$U$62,"X15",A!$S$8:$S$62,"&lt;=9"))</f>
        <v/>
      </c>
      <c r="R17" s="44" t="str">
        <f>IF(OR((COUNTA(A!$S$8:$S$62)=0),(COUNTA(A!$U$8:$U$62)=0)),"",COUNTIFS(A!$U$8:$U$62,"X16",A!$S$8:$S$62,"&lt;=9"))</f>
        <v/>
      </c>
      <c r="S17" s="21" t="str">
        <f>IF(OR((COUNTA(A!$V$8:$V$62)=0),(COUNTA(A!$X$8:$X$62)=0)),"",COUNTIFS(A!$X$8:$X$62,"X17",A!$V$8:$V$62,"&lt;=9"))</f>
        <v/>
      </c>
      <c r="T17" s="22" t="str">
        <f>IF(OR((COUNTA(A!$V$8:$V$62)=0),(COUNTA(A!$X$8:$X$62)=0)),"",COUNTIFS(A!$X$8:$X$62,"X18",A!$V$8:$V$62,"&lt;=9"))</f>
        <v/>
      </c>
      <c r="U17" s="22" t="str">
        <f>IF(OR((COUNTA(A!$V$8:$V$62)=0),(COUNTA(A!$X$8:$X$62)=0)),"",COUNTIFS(A!$X$8:$X$62,"X19",A!$V$8:$V$62,"&lt;=9"))</f>
        <v/>
      </c>
      <c r="V17" s="22" t="str">
        <f>IF(OR((COUNTA(A!$V$8:$V$62)=0),(COUNTA(A!$X$8:$X$62)=0)),"",COUNTIFS(A!$X$8:$X$62,"X20",A!$V$8:$V$62,"&lt;=9"))</f>
        <v/>
      </c>
      <c r="W17" s="22" t="str">
        <f>IF(OR((COUNTA(A!$V$8:$V$62)=0),(COUNTA(A!$X$8:$X$62)=0)),"",COUNTIFS(A!$X$8:$X$62,"X21",A!$V$8:$V$62,"&lt;=9"))</f>
        <v/>
      </c>
      <c r="X17" s="22" t="str">
        <f>IF(OR((COUNTA(A!$V$8:$V$62)=0),(COUNTA(A!$X$8:$X$62)=0)),"",COUNTIFS(A!$X$8:$X$62,"X22",A!$V$8:$V$62,"&lt;=9"))</f>
        <v/>
      </c>
      <c r="Y17" s="22" t="str">
        <f>IF(OR((COUNTA(A!$V$8:$V$62)=0),(COUNTA(A!$X$8:$X$62)=0)),"",COUNTIFS(A!$X$8:$X$62,"X23",A!$V$8:$V$62,"&lt;=9"))</f>
        <v/>
      </c>
      <c r="Z17" s="44" t="str">
        <f>IF(OR((COUNTA(A!$V$8:$V$62)=0),(COUNTA(A!$X$8:$X$62)=0)),"",COUNTIFS(A!$X$8:$X$62,"X24",A!$V$8:$V$62,"&lt;=9"))</f>
        <v/>
      </c>
    </row>
    <row r="18" spans="1:26" s="2" customFormat="1" ht="13.5" customHeight="1">
      <c r="A18" s="497" t="s">
        <v>174</v>
      </c>
      <c r="B18" s="23" t="s">
        <v>33</v>
      </c>
      <c r="C18" s="24" t="str">
        <f>IF(AND(C8="",C9="",C10="",C11="",C12="",C13="",C14="",C15="",C16="",C17=""),"",(SUM(C8:C11,C14,C15)))</f>
        <v/>
      </c>
      <c r="D18" s="25" t="str">
        <f t="shared" ref="D18:Z18" si="0">IF(AND(D8="",D9="",D10="",D11="",D12="",D13="",D14="",D15="",D16="",D17=""),"",(SUM(D8:D11,D14,D15)))</f>
        <v/>
      </c>
      <c r="E18" s="25" t="str">
        <f t="shared" si="0"/>
        <v/>
      </c>
      <c r="F18" s="25" t="str">
        <f t="shared" si="0"/>
        <v/>
      </c>
      <c r="G18" s="25" t="str">
        <f t="shared" si="0"/>
        <v/>
      </c>
      <c r="H18" s="25" t="str">
        <f t="shared" si="0"/>
        <v/>
      </c>
      <c r="I18" s="25" t="str">
        <f t="shared" si="0"/>
        <v/>
      </c>
      <c r="J18" s="45" t="str">
        <f t="shared" si="0"/>
        <v/>
      </c>
      <c r="K18" s="24" t="str">
        <f t="shared" si="0"/>
        <v/>
      </c>
      <c r="L18" s="25" t="str">
        <f t="shared" si="0"/>
        <v/>
      </c>
      <c r="M18" s="25" t="str">
        <f t="shared" si="0"/>
        <v/>
      </c>
      <c r="N18" s="25" t="str">
        <f t="shared" si="0"/>
        <v/>
      </c>
      <c r="O18" s="25" t="str">
        <f t="shared" si="0"/>
        <v/>
      </c>
      <c r="P18" s="25" t="str">
        <f t="shared" si="0"/>
        <v/>
      </c>
      <c r="Q18" s="25" t="str">
        <f t="shared" si="0"/>
        <v/>
      </c>
      <c r="R18" s="48" t="str">
        <f t="shared" si="0"/>
        <v/>
      </c>
      <c r="S18" s="49" t="str">
        <f t="shared" si="0"/>
        <v/>
      </c>
      <c r="T18" s="25" t="str">
        <f t="shared" si="0"/>
        <v/>
      </c>
      <c r="U18" s="25" t="str">
        <f t="shared" si="0"/>
        <v/>
      </c>
      <c r="V18" s="25" t="str">
        <f t="shared" si="0"/>
        <v/>
      </c>
      <c r="W18" s="25" t="str">
        <f t="shared" si="0"/>
        <v/>
      </c>
      <c r="X18" s="25" t="str">
        <f t="shared" si="0"/>
        <v/>
      </c>
      <c r="Y18" s="25" t="str">
        <f t="shared" si="0"/>
        <v/>
      </c>
      <c r="Z18" s="48" t="str">
        <f t="shared" si="0"/>
        <v/>
      </c>
    </row>
    <row r="19" spans="1:26" s="2" customFormat="1" ht="13.5" customHeight="1">
      <c r="A19" s="498"/>
      <c r="B19" s="26" t="s">
        <v>169</v>
      </c>
      <c r="C19" s="27" t="str">
        <f>IF(C18="","",IF(C18=0,0,((C18/(SUM(C8:C13))*100))))</f>
        <v/>
      </c>
      <c r="D19" s="28" t="str">
        <f t="shared" ref="D19:Z19" si="1">IF(D18="","",IF(D18=0,0,((D18/(SUM(D8:D13))*100))))</f>
        <v/>
      </c>
      <c r="E19" s="28" t="str">
        <f t="shared" si="1"/>
        <v/>
      </c>
      <c r="F19" s="28" t="str">
        <f t="shared" si="1"/>
        <v/>
      </c>
      <c r="G19" s="28" t="str">
        <f t="shared" si="1"/>
        <v/>
      </c>
      <c r="H19" s="28" t="str">
        <f t="shared" si="1"/>
        <v/>
      </c>
      <c r="I19" s="28" t="str">
        <f t="shared" si="1"/>
        <v/>
      </c>
      <c r="J19" s="46" t="str">
        <f t="shared" si="1"/>
        <v/>
      </c>
      <c r="K19" s="27" t="str">
        <f t="shared" si="1"/>
        <v/>
      </c>
      <c r="L19" s="28" t="str">
        <f t="shared" si="1"/>
        <v/>
      </c>
      <c r="M19" s="28" t="str">
        <f t="shared" si="1"/>
        <v/>
      </c>
      <c r="N19" s="28" t="str">
        <f t="shared" si="1"/>
        <v/>
      </c>
      <c r="O19" s="28" t="str">
        <f t="shared" si="1"/>
        <v/>
      </c>
      <c r="P19" s="28" t="str">
        <f t="shared" si="1"/>
        <v/>
      </c>
      <c r="Q19" s="28" t="str">
        <f t="shared" si="1"/>
        <v/>
      </c>
      <c r="R19" s="50" t="str">
        <f t="shared" si="1"/>
        <v/>
      </c>
      <c r="S19" s="51" t="str">
        <f t="shared" si="1"/>
        <v/>
      </c>
      <c r="T19" s="28" t="str">
        <f t="shared" si="1"/>
        <v/>
      </c>
      <c r="U19" s="28" t="str">
        <f t="shared" si="1"/>
        <v/>
      </c>
      <c r="V19" s="28" t="str">
        <f t="shared" si="1"/>
        <v/>
      </c>
      <c r="W19" s="28" t="str">
        <f t="shared" si="1"/>
        <v/>
      </c>
      <c r="X19" s="28" t="str">
        <f t="shared" si="1"/>
        <v/>
      </c>
      <c r="Y19" s="28" t="str">
        <f t="shared" si="1"/>
        <v/>
      </c>
      <c r="Z19" s="50" t="str">
        <f t="shared" si="1"/>
        <v/>
      </c>
    </row>
    <row r="20" spans="1:26" s="2" customFormat="1" ht="13.5" customHeight="1">
      <c r="A20" s="499" t="s">
        <v>29</v>
      </c>
      <c r="B20" s="29" t="s">
        <v>28</v>
      </c>
      <c r="C20" s="9" t="str">
        <f>IF(OR((COUNTA(B!$P$8:$P$62)=0),(COUNTA(B!$R$8:$R$62)=0)),"",COUNTIFS(B!$R$8:$R$62,"X01",B!$Q$8:$Q$62,"A"))</f>
        <v/>
      </c>
      <c r="D20" s="10" t="str">
        <f>IF(OR((COUNTA(B!$P$8:$P$62)=0),(COUNTA(B!$R$8:$R$62)=0)),"",COUNTIFS(B!$R$8:$R$62,"X02",B!$Q$8:$Q$62,"A"))</f>
        <v/>
      </c>
      <c r="E20" s="11" t="str">
        <f>IF(OR((COUNTA(B!$P$8:$P$62)=0),(COUNTA(B!$R$8:$R$62)=0)),"",COUNTIFS(B!$R$8:$R$62,"X03",B!$Q$8:$Q$62,"A"))</f>
        <v/>
      </c>
      <c r="F20" s="11" t="str">
        <f>IF(OR((COUNTA(B!$P$8:$P$62)=0),(COUNTA(B!$R$8:$R$62)=0)),"",COUNTIFS(B!$R$8:$R$62,"X04",B!$Q$8:$Q$62,"A"))</f>
        <v/>
      </c>
      <c r="G20" s="11" t="str">
        <f>IF(OR((COUNTA(B!$P$8:$P$62)=0),(COUNTA(B!$R$8:$R$62)=0)),"",COUNTIFS(B!$R$8:$R$62,"X05",B!$Q$8:$Q$62,"A"))</f>
        <v/>
      </c>
      <c r="H20" s="11" t="str">
        <f>IF(OR((COUNTA(B!$P$8:$P$62)=0),(COUNTA(B!$R$8:$R$62)=0)),"",COUNTIFS(B!$R$8:$R$62,"X06",B!$Q$8:$Q$62,"A"))</f>
        <v/>
      </c>
      <c r="I20" s="11" t="str">
        <f>IF(OR((COUNTA(B!$P$8:$P$62)=0),(COUNTA(B!$R$8:$R$62)=0)),"",COUNTIFS(B!$R$8:$R$62,"X07",B!$Q$8:$Q$62,"A"))</f>
        <v/>
      </c>
      <c r="J20" s="40" t="str">
        <f>IF(OR((COUNTA(B!$P$8:$P$62)=0),(COUNTA(B!$R$8:$R$62)=0)),"",COUNTIFS(B!$R$8:$R$62,"X08",B!$Q$8:$Q$62,"A"))</f>
        <v/>
      </c>
      <c r="K20" s="41" t="str">
        <f>IF(OR((COUNTA(B!$S$8:$S$62)=0),(COUNTA(B!$U$8:$U$62)=0)),"",COUNTIFS(B!$U$8:$U$62,"X09",B!$T$8:$T$62,"A"))</f>
        <v/>
      </c>
      <c r="L20" s="11" t="str">
        <f>IF(OR((COUNTA(B!$S$8:$S$62)=0),(COUNTA(B!$U$8:$U$62)=0)),"",COUNTIFS(B!$U$8:$U$62,"X10",B!$T$8:$T$62,"A"))</f>
        <v/>
      </c>
      <c r="M20" s="11" t="str">
        <f>IF(OR((COUNTA(B!$S$8:$S$62)=0),(COUNTA(B!$U$8:$U$62)=0)),"",COUNTIFS(B!$U$8:$U$62,"X11",B!$T$8:$T$62,"A"))</f>
        <v/>
      </c>
      <c r="N20" s="11" t="str">
        <f>IF(OR((COUNTA(B!$S$8:$S$62)=0),(COUNTA(B!$U$8:$U$62)=0)),"",COUNTIFS(B!$U$8:$U$62,"X12",B!$T$8:$T$62,"A"))</f>
        <v/>
      </c>
      <c r="O20" s="11" t="str">
        <f>IF(OR((COUNTA(B!$S$8:$S$62)=0),(COUNTA(B!$U$8:$U$62)=0)),"",COUNTIFS(B!$U$8:$U$62,"X13",B!$T$8:$T$62,"A"))</f>
        <v/>
      </c>
      <c r="P20" s="11" t="str">
        <f>IF(OR((COUNTA(B!$S$8:$S$62)=0),(COUNTA(B!$U$8:$U$62)=0)),"",COUNTIFS(B!$U$8:$U$62,"X14",B!$T$8:$T$62,"A"))</f>
        <v/>
      </c>
      <c r="Q20" s="11" t="str">
        <f>IF(OR((COUNTA(B!$S$8:$S$62)=0),(COUNTA(B!$U$8:$U$62)=0)),"",COUNTIFS(B!$U$8:$U$62,"X15",B!$T$8:$T$62,"A"))</f>
        <v/>
      </c>
      <c r="R20" s="40" t="str">
        <f>IF(OR((COUNTA(B!$S$8:$S$62)=0),(COUNTA(B!$U$8:$U$62)=0)),"",COUNTIFS(B!$U$8:$U$62,"X16",B!$T$8:$T$62,"A"))</f>
        <v/>
      </c>
      <c r="S20" s="41" t="str">
        <f>IF(OR((COUNTA(B!$V$8:$V$62)=0),(COUNTA(B!$X$8:$X$62)=0)),"",COUNTIFS(B!$X$8:$X$62,"X17",B!$W$8:$W$62,"A"))</f>
        <v/>
      </c>
      <c r="T20" s="11" t="str">
        <f>IF(OR((COUNTA(B!$V$8:$V$62)=0),(COUNTA(B!$X$8:$X$62)=0)),"",COUNTIFS(B!$X$8:$X$62,"X18",B!$W$8:$W$62,"A"))</f>
        <v/>
      </c>
      <c r="U20" s="11" t="str">
        <f>IF(OR((COUNTA(B!$V$8:$V$62)=0),(COUNTA(B!$X$8:$X$62)=0)),"",COUNTIFS(B!$X$8:$X$62,"X19",B!$W$8:$W$62,"A"))</f>
        <v/>
      </c>
      <c r="V20" s="11" t="str">
        <f>IF(OR((COUNTA(B!$V$8:$V$62)=0),(COUNTA(B!$X$8:$X$62)=0)),"",COUNTIFS(B!$X$8:$X$62,"X20",B!$W$8:$W$62,"A"))</f>
        <v/>
      </c>
      <c r="W20" s="11" t="str">
        <f>IF(OR((COUNTA(B!$V$8:$V$62)=0),(COUNTA(B!$X$8:$X$62)=0)),"",COUNTIFS(B!$X$8:$X$62,"X21",B!$W$8:$W$62,"A"))</f>
        <v/>
      </c>
      <c r="X20" s="11" t="str">
        <f>IF(OR((COUNTA(B!$V$8:$V$62)=0),(COUNTA(B!$X$8:$X$62)=0)),"",COUNTIFS(B!$X$8:$X$62,"X22",B!$W$8:$W$62,"A"))</f>
        <v/>
      </c>
      <c r="Y20" s="11" t="str">
        <f>IF(OR((COUNTA(B!$V$8:$V$62)=0),(COUNTA(B!$X$8:$X$62)=0)),"",COUNTIFS(B!$X$8:$X$62,"X23",B!$W$8:$W$62,"A"))</f>
        <v/>
      </c>
      <c r="Z20" s="40" t="str">
        <f>IF(OR((COUNTA(B!$V$8:$V$62)=0),(COUNTA(B!$X$8:$X$62)=0)),"",COUNTIFS(B!$X$8:$X$62,"X24",B!$W$8:$W$62,"A"))</f>
        <v/>
      </c>
    </row>
    <row r="21" spans="1:26" s="2" customFormat="1" ht="13.5" customHeight="1">
      <c r="A21" s="500"/>
      <c r="B21" s="30" t="s">
        <v>29</v>
      </c>
      <c r="C21" s="13" t="str">
        <f>IF(OR((COUNTA(B!$P$8:$P$62)=0),(COUNTA(B!$R$8:$R$62)=0)),"",COUNTIFS(B!$R$8:$R$62,"X01",B!$Q$8:$Q$62,"B"))</f>
        <v/>
      </c>
      <c r="D21" s="14" t="str">
        <f>IF(OR((COUNTA(B!$P$8:$P$62)=0),(COUNTA(B!$R$8:$R$62)=0)),"",COUNTIFS(B!$R$8:$R$62,"X02",B!$Q$8:$Q$62,"B"))</f>
        <v/>
      </c>
      <c r="E21" s="14" t="str">
        <f>IF(OR((COUNTA(B!$P$8:$P$62)=0),(COUNTA(B!$R$8:$R$62)=0)),"",COUNTIFS(B!$R$8:$R$62,"X03",B!$Q$8:$Q$62,"B"))</f>
        <v/>
      </c>
      <c r="F21" s="14" t="str">
        <f>IF(OR((COUNTA(B!$P$8:$P$62)=0),(COUNTA(B!$R$8:$R$62)=0)),"",COUNTIFS(B!$R$8:$R$62,"X04",B!$Q$8:$Q$62,"B"))</f>
        <v/>
      </c>
      <c r="G21" s="14" t="str">
        <f>IF(OR((COUNTA(B!$P$8:$P$62)=0),(COUNTA(B!$R$8:$R$62)=0)),"",COUNTIFS(B!$R$8:$R$62,"X05",B!$Q$8:$Q$62,"B"))</f>
        <v/>
      </c>
      <c r="H21" s="14" t="str">
        <f>IF(OR((COUNTA(B!$P$8:$P$62)=0),(COUNTA(B!$R$8:$R$62)=0)),"",COUNTIFS(B!$R$8:$R$62,"X06",B!$Q$8:$Q$62,"B"))</f>
        <v/>
      </c>
      <c r="I21" s="14" t="str">
        <f>IF(OR((COUNTA(B!$P$8:$P$62)=0),(COUNTA(B!$R$8:$R$62)=0)),"",COUNTIFS(B!$R$8:$R$62,"X07",B!$Q$8:$Q$62,"B"))</f>
        <v/>
      </c>
      <c r="J21" s="42" t="str">
        <f>IF(OR((COUNTA(B!$P$8:$P$62)=0),(COUNTA(B!$R$8:$R$62)=0)),"",COUNTIFS(B!$R$8:$R$62,"X08",B!$Q$8:$Q$62,"B"))</f>
        <v/>
      </c>
      <c r="K21" s="13" t="str">
        <f>IF(OR((COUNTA(B!$S$8:$S$62)=0),(COUNTA(B!$U$8:$U$62)=0)),"",COUNTIFS(B!$U$8:$U$62,"X09",B!$T$8:$T$62,"B"))</f>
        <v/>
      </c>
      <c r="L21" s="14" t="str">
        <f>IF(OR((COUNTA(B!$S$8:$S$62)=0),(COUNTA(B!$U$8:$U$62)=0)),"",COUNTIFS(B!$U$8:$U$62,"X10",B!$T$8:$T$62,"B"))</f>
        <v/>
      </c>
      <c r="M21" s="14" t="str">
        <f>IF(OR((COUNTA(B!$S$8:$S$62)=0),(COUNTA(B!$U$8:$U$62)=0)),"",COUNTIFS(B!$U$8:$U$62,"X11",B!$T$8:$T$62,"B"))</f>
        <v/>
      </c>
      <c r="N21" s="14" t="str">
        <f>IF(OR((COUNTA(B!$S$8:$S$62)=0),(COUNTA(B!$U$8:$U$62)=0)),"",COUNTIFS(B!$U$8:$U$62,"X12",B!$T$8:$T$62,"B"))</f>
        <v/>
      </c>
      <c r="O21" s="14" t="str">
        <f>IF(OR((COUNTA(B!$S$8:$S$62)=0),(COUNTA(B!$U$8:$U$62)=0)),"",COUNTIFS(B!$U$8:$U$62,"X13",B!$T$8:$T$62,"B"))</f>
        <v/>
      </c>
      <c r="P21" s="14" t="str">
        <f>IF(OR((COUNTA(B!$S$8:$S$62)=0),(COUNTA(B!$U$8:$U$62)=0)),"",COUNTIFS(B!$U$8:$U$62,"X14",B!$T$8:$T$62,"B"))</f>
        <v/>
      </c>
      <c r="Q21" s="14" t="str">
        <f>IF(OR((COUNTA(B!$S$8:$S$62)=0),(COUNTA(B!$U$8:$U$62)=0)),"",COUNTIFS(B!$U$8:$U$62,"X15",B!$T$8:$T$62,"B"))</f>
        <v/>
      </c>
      <c r="R21" s="42" t="str">
        <f>IF(OR((COUNTA(B!$S$8:$S$62)=0),(COUNTA(B!$U$8:$U$62)=0)),"",COUNTIFS(B!$U$8:$U$62,"X16",B!$T$8:$T$62,"B"))</f>
        <v/>
      </c>
      <c r="S21" s="13" t="str">
        <f>IF(OR((COUNTA(B!$V$8:$V$62)=0),(COUNTA(B!$X$8:$X$62)=0)),"",COUNTIFS(B!$X$8:$X$62,"X17",B!$W$8:$W$62,"B"))</f>
        <v/>
      </c>
      <c r="T21" s="14" t="str">
        <f>IF(OR((COUNTA(B!$V$8:$V$62)=0),(COUNTA(B!$X$8:$X$62)=0)),"",COUNTIFS(B!$X$8:$X$62,"X18",B!$W$8:$W$62,"B"))</f>
        <v/>
      </c>
      <c r="U21" s="14" t="str">
        <f>IF(OR((COUNTA(B!$V$8:$V$62)=0),(COUNTA(B!$X$8:$X$62)=0)),"",COUNTIFS(B!$X$8:$X$62,"X19",B!$W$8:$W$62,"B"))</f>
        <v/>
      </c>
      <c r="V21" s="14" t="str">
        <f>IF(OR((COUNTA(B!$V$8:$V$62)=0),(COUNTA(B!$X$8:$X$62)=0)),"",COUNTIFS(B!$X$8:$X$62,"X20",B!$W$8:$W$62,"B"))</f>
        <v/>
      </c>
      <c r="W21" s="14" t="str">
        <f>IF(OR((COUNTA(B!$V$8:$V$62)=0),(COUNTA(B!$X$8:$X$62)=0)),"",COUNTIFS(B!$X$8:$X$62,"X21",B!$W$8:$W$62,"B"))</f>
        <v/>
      </c>
      <c r="X21" s="14" t="str">
        <f>IF(OR((COUNTA(B!$V$8:$V$62)=0),(COUNTA(B!$X$8:$X$62)=0)),"",COUNTIFS(B!$X$8:$X$62,"X22",B!$W$8:$W$62,"B"))</f>
        <v/>
      </c>
      <c r="Y21" s="14" t="str">
        <f>IF(OR((COUNTA(B!$V$8:$V$62)=0),(COUNTA(B!$X$8:$X$62)=0)),"",COUNTIFS(B!$X$8:$X$62,"X23",B!$W$8:$W$62,"B"))</f>
        <v/>
      </c>
      <c r="Z21" s="42" t="str">
        <f>IF(OR((COUNTA(B!$V$8:$V$62)=0),(COUNTA(B!$X$8:$X$62)=0)),"",COUNTIFS(B!$X$8:$X$62,"X24",B!$W$8:$W$62,"B"))</f>
        <v/>
      </c>
    </row>
    <row r="22" spans="1:26" s="2" customFormat="1" ht="13.5" customHeight="1">
      <c r="A22" s="500"/>
      <c r="B22" s="30" t="s">
        <v>30</v>
      </c>
      <c r="C22" s="13" t="str">
        <f>IF(OR((COUNTA(B!$P$8:$P$62)=0),(COUNTA(B!$R$8:$R$62)=0)),"",COUNTIFS(B!$R$8:$R$62,"X01",B!$Q$8:$Q$62,"C"))</f>
        <v/>
      </c>
      <c r="D22" s="14" t="str">
        <f>IF(OR((COUNTA(B!$P$8:$P$62)=0),(COUNTA(B!$R$8:$R$62)=0)),"",COUNTIFS(B!$R$8:$R$62,"X02",B!$Q$8:$Q$62,"C"))</f>
        <v/>
      </c>
      <c r="E22" s="14" t="str">
        <f>IF(OR((COUNTA(B!$P$8:$P$62)=0),(COUNTA(B!$R$8:$R$62)=0)),"",COUNTIFS(B!$R$8:$R$62,"X03",B!$Q$8:$Q$62,"C"))</f>
        <v/>
      </c>
      <c r="F22" s="14" t="str">
        <f>IF(OR((COUNTA(B!$P$8:$P$62)=0),(COUNTA(B!$R$8:$R$62)=0)),"",COUNTIFS(B!$R$8:$R$62,"X04",B!$Q$8:$Q$62,"C"))</f>
        <v/>
      </c>
      <c r="G22" s="14" t="str">
        <f>IF(OR((COUNTA(B!$P$8:$P$62)=0),(COUNTA(B!$R$8:$R$62)=0)),"",COUNTIFS(B!$R$8:$R$62,"X05",B!$Q$8:$Q$62,"C"))</f>
        <v/>
      </c>
      <c r="H22" s="14" t="str">
        <f>IF(OR((COUNTA(B!$P$8:$P$62)=0),(COUNTA(B!$R$8:$R$62)=0)),"",COUNTIFS(B!$R$8:$R$62,"X06",B!$Q$8:$Q$62,"C"))</f>
        <v/>
      </c>
      <c r="I22" s="14" t="str">
        <f>IF(OR((COUNTA(B!$P$8:$P$62)=0),(COUNTA(B!$R$8:$R$62)=0)),"",COUNTIFS(B!$R$8:$R$62,"X07",B!$Q$8:$Q$62,"C"))</f>
        <v/>
      </c>
      <c r="J22" s="42" t="str">
        <f>IF(OR((COUNTA(B!$P$8:$P$62)=0),(COUNTA(B!$R$8:$R$62)=0)),"",COUNTIFS(B!$R$8:$R$62,"X08",B!$Q$8:$Q$62,"C"))</f>
        <v/>
      </c>
      <c r="K22" s="13" t="str">
        <f>IF(OR((COUNTA(B!$S$8:$S$62)=0),(COUNTA(B!$U$8:$U$62)=0)),"",COUNTIFS(B!$U$8:$U$62,"X09",B!$T$8:$T$62,"C"))</f>
        <v/>
      </c>
      <c r="L22" s="14" t="str">
        <f>IF(OR((COUNTA(B!$S$8:$S$62)=0),(COUNTA(B!$U$8:$U$62)=0)),"",COUNTIFS(B!$U$8:$U$62,"X10",B!$T$8:$T$62,"C"))</f>
        <v/>
      </c>
      <c r="M22" s="14" t="str">
        <f>IF(OR((COUNTA(B!$S$8:$S$62)=0),(COUNTA(B!$U$8:$U$62)=0)),"",COUNTIFS(B!$U$8:$U$62,"X11",B!$T$8:$T$62,"C"))</f>
        <v/>
      </c>
      <c r="N22" s="14" t="str">
        <f>IF(OR((COUNTA(B!$S$8:$S$62)=0),(COUNTA(B!$U$8:$U$62)=0)),"",COUNTIFS(B!$U$8:$U$62,"X12",B!$T$8:$T$62,"C"))</f>
        <v/>
      </c>
      <c r="O22" s="14" t="str">
        <f>IF(OR((COUNTA(B!$S$8:$S$62)=0),(COUNTA(B!$U$8:$U$62)=0)),"",COUNTIFS(B!$U$8:$U$62,"X13",B!$T$8:$T$62,"C"))</f>
        <v/>
      </c>
      <c r="P22" s="14" t="str">
        <f>IF(OR((COUNTA(B!$S$8:$S$62)=0),(COUNTA(B!$U$8:$U$62)=0)),"",COUNTIFS(B!$U$8:$U$62,"X14",B!$T$8:$T$62,"C"))</f>
        <v/>
      </c>
      <c r="Q22" s="14" t="str">
        <f>IF(OR((COUNTA(B!$S$8:$S$62)=0),(COUNTA(B!$U$8:$U$62)=0)),"",COUNTIFS(B!$U$8:$U$62,"X15",B!$T$8:$T$62,"C"))</f>
        <v/>
      </c>
      <c r="R22" s="42" t="str">
        <f>IF(OR((COUNTA(B!$S$8:$S$62)=0),(COUNTA(B!$U$8:$U$62)=0)),"",COUNTIFS(B!$U$8:$U$62,"X16",B!$T$8:$T$62,"C"))</f>
        <v/>
      </c>
      <c r="S22" s="13" t="str">
        <f>IF(OR((COUNTA(B!$V$8:$V$62)=0),(COUNTA(B!$X$8:$X$62)=0)),"",COUNTIFS(B!$X$8:$X$62,"X17",B!$W$8:$W$62,"C"))</f>
        <v/>
      </c>
      <c r="T22" s="14" t="str">
        <f>IF(OR((COUNTA(B!$V$8:$V$62)=0),(COUNTA(B!$X$8:$X$62)=0)),"",COUNTIFS(B!$X$8:$X$62,"X18",B!$W$8:$W$62,"C"))</f>
        <v/>
      </c>
      <c r="U22" s="14" t="str">
        <f>IF(OR((COUNTA(B!$V$8:$V$62)=0),(COUNTA(B!$X$8:$X$62)=0)),"",COUNTIFS(B!$X$8:$X$62,"X19",B!$W$8:$W$62,"C"))</f>
        <v/>
      </c>
      <c r="V22" s="14" t="str">
        <f>IF(OR((COUNTA(B!$V$8:$V$62)=0),(COUNTA(B!$X$8:$X$62)=0)),"",COUNTIFS(B!$X$8:$X$62,"X20",B!$W$8:$W$62,"C"))</f>
        <v/>
      </c>
      <c r="W22" s="14" t="str">
        <f>IF(OR((COUNTA(B!$V$8:$V$62)=0),(COUNTA(B!$X$8:$X$62)=0)),"",COUNTIFS(B!$X$8:$X$62,"X21",B!$W$8:$W$62,"C"))</f>
        <v/>
      </c>
      <c r="X22" s="14" t="str">
        <f>IF(OR((COUNTA(B!$V$8:$V$62)=0),(COUNTA(B!$X$8:$X$62)=0)),"",COUNTIFS(B!$X$8:$X$62,"X22",B!$W$8:$W$62,"C"))</f>
        <v/>
      </c>
      <c r="Y22" s="14" t="str">
        <f>IF(OR((COUNTA(B!$V$8:$V$62)=0),(COUNTA(B!$X$8:$X$62)=0)),"",COUNTIFS(B!$X$8:$X$62,"X23",B!$W$8:$W$62,"C"))</f>
        <v/>
      </c>
      <c r="Z22" s="42" t="str">
        <f>IF(OR((COUNTA(B!$V$8:$V$62)=0),(COUNTA(B!$X$8:$X$62)=0)),"",COUNTIFS(B!$X$8:$X$62,"X24",B!$W$8:$W$62,"C"))</f>
        <v/>
      </c>
    </row>
    <row r="23" spans="1:26" s="2" customFormat="1" ht="13.5" customHeight="1">
      <c r="A23" s="500"/>
      <c r="B23" s="30" t="s">
        <v>31</v>
      </c>
      <c r="C23" s="13" t="str">
        <f>IF(OR((COUNTA(B!$P$8:$P$62)=0),(COUNTA(B!$R$8:$R$62)=0)),"",COUNTIFS(B!$R$8:$R$62,"X01",B!$Q$8:$Q$62,"S"))</f>
        <v/>
      </c>
      <c r="D23" s="14" t="str">
        <f>IF(OR((COUNTA(B!$P$8:$P$62)=0),(COUNTA(B!$R$8:$R$62)=0)),"",COUNTIFS(B!$R$8:$R$62,"X02",B!$Q$8:$Q$62,"S"))</f>
        <v/>
      </c>
      <c r="E23" s="14" t="str">
        <f>IF(OR((COUNTA(B!$P$8:$P$62)=0),(COUNTA(B!$R$8:$R$62)=0)),"",COUNTIFS(B!$R$8:$R$62,"X03",B!$Q$8:$Q$62,"S"))</f>
        <v/>
      </c>
      <c r="F23" s="14" t="str">
        <f>IF(OR((COUNTA(B!$P$8:$P$62)=0),(COUNTA(B!$R$8:$R$62)=0)),"",COUNTIFS(B!$R$8:$R$62,"X04",B!$Q$8:$Q$62,"S"))</f>
        <v/>
      </c>
      <c r="G23" s="14" t="str">
        <f>IF(OR((COUNTA(B!$P$8:$P$62)=0),(COUNTA(B!$R$8:$R$62)=0)),"",COUNTIFS(B!$R$8:$R$62,"X05",B!$Q$8:$Q$62,"S"))</f>
        <v/>
      </c>
      <c r="H23" s="14" t="str">
        <f>IF(OR((COUNTA(B!$P$8:$P$62)=0),(COUNTA(B!$R$8:$R$62)=0)),"",COUNTIFS(B!$R$8:$R$62,"X06",B!$Q$8:$Q$62,"S"))</f>
        <v/>
      </c>
      <c r="I23" s="14" t="str">
        <f>IF(OR((COUNTA(B!$P$8:$P$62)=0),(COUNTA(B!$R$8:$R$62)=0)),"",COUNTIFS(B!$R$8:$R$62,"X07",B!$Q$8:$Q$62,"S"))</f>
        <v/>
      </c>
      <c r="J23" s="42" t="str">
        <f>IF(OR((COUNTA(B!$P$8:$P$62)=0),(COUNTA(B!$R$8:$R$62)=0)),"",COUNTIFS(B!$R$8:$R$62,"X08",B!$Q$8:$Q$62,"S"))</f>
        <v/>
      </c>
      <c r="K23" s="13" t="str">
        <f>IF(OR((COUNTA(B!$S$8:$S$62)=0),(COUNTA(B!$U$8:$U$62)=0)),"",COUNTIFS(B!$U$8:$U$62,"X09",B!$T$8:$T$62,"S"))</f>
        <v/>
      </c>
      <c r="L23" s="14" t="str">
        <f>IF(OR((COUNTA(B!$S$8:$S$62)=0),(COUNTA(B!$U$8:$U$62)=0)),"",COUNTIFS(B!$U$8:$U$62,"X10",B!$T$8:$T$62,"S"))</f>
        <v/>
      </c>
      <c r="M23" s="14" t="str">
        <f>IF(OR((COUNTA(B!$S$8:$S$62)=0),(COUNTA(B!$U$8:$U$62)=0)),"",COUNTIFS(B!$U$8:$U$62,"X11",B!$T$8:$T$62,"S"))</f>
        <v/>
      </c>
      <c r="N23" s="14" t="str">
        <f>IF(OR((COUNTA(B!$S$8:$S$62)=0),(COUNTA(B!$U$8:$U$62)=0)),"",COUNTIFS(B!$U$8:$U$62,"X12",B!$T$8:$T$62,"S"))</f>
        <v/>
      </c>
      <c r="O23" s="14" t="str">
        <f>IF(OR((COUNTA(B!$S$8:$S$62)=0),(COUNTA(B!$U$8:$U$62)=0)),"",COUNTIFS(B!$U$8:$U$62,"X13",B!$T$8:$T$62,"S"))</f>
        <v/>
      </c>
      <c r="P23" s="14" t="str">
        <f>IF(OR((COUNTA(B!$S$8:$S$62)=0),(COUNTA(B!$U$8:$U$62)=0)),"",COUNTIFS(B!$U$8:$U$62,"X14",B!$T$8:$T$62,"S"))</f>
        <v/>
      </c>
      <c r="Q23" s="14" t="str">
        <f>IF(OR((COUNTA(B!$S$8:$S$62)=0),(COUNTA(B!$U$8:$U$62)=0)),"",COUNTIFS(B!$U$8:$U$62,"X15",B!$T$8:$T$62,"S"))</f>
        <v/>
      </c>
      <c r="R23" s="42" t="str">
        <f>IF(OR((COUNTA(B!$S$8:$S$62)=0),(COUNTA(B!$U$8:$U$62)=0)),"",COUNTIFS(B!$U$8:$U$62,"X16",B!$T$8:$T$62,"S"))</f>
        <v/>
      </c>
      <c r="S23" s="13" t="str">
        <f>IF(OR((COUNTA(B!$V$8:$V$62)=0),(COUNTA(B!$X$8:$X$62)=0)),"",COUNTIFS(B!$X$8:$X$62,"X17",B!$W$8:$W$62,"S"))</f>
        <v/>
      </c>
      <c r="T23" s="14" t="str">
        <f>IF(OR((COUNTA(B!$V$8:$V$62)=0),(COUNTA(B!$X$8:$X$62)=0)),"",COUNTIFS(B!$X$8:$X$62,"X18",B!$W$8:$W$62,"S"))</f>
        <v/>
      </c>
      <c r="U23" s="14" t="str">
        <f>IF(OR((COUNTA(B!$V$8:$V$62)=0),(COUNTA(B!$X$8:$X$62)=0)),"",COUNTIFS(B!$X$8:$X$62,"X19",B!$W$8:$W$62,"S"))</f>
        <v/>
      </c>
      <c r="V23" s="14" t="str">
        <f>IF(OR((COUNTA(B!$V$8:$V$62)=0),(COUNTA(B!$X$8:$X$62)=0)),"",COUNTIFS(B!$X$8:$X$62,"X20",B!$W$8:$W$62,"S"))</f>
        <v/>
      </c>
      <c r="W23" s="14" t="str">
        <f>IF(OR((COUNTA(B!$V$8:$V$62)=0),(COUNTA(B!$X$8:$X$62)=0)),"",COUNTIFS(B!$X$8:$X$62,"X21",B!$W$8:$W$62,"S"))</f>
        <v/>
      </c>
      <c r="X23" s="14" t="str">
        <f>IF(OR((COUNTA(B!$V$8:$V$62)=0),(COUNTA(B!$X$8:$X$62)=0)),"",COUNTIFS(B!$X$8:$X$62,"X22",B!$W$8:$W$62,"S"))</f>
        <v/>
      </c>
      <c r="Y23" s="14" t="str">
        <f>IF(OR((COUNTA(B!$V$8:$V$62)=0),(COUNTA(B!$X$8:$X$62)=0)),"",COUNTIFS(B!$X$8:$X$62,"X23",B!$W$8:$W$62,"S"))</f>
        <v/>
      </c>
      <c r="Z23" s="42" t="str">
        <f>IF(OR((COUNTA(B!$V$8:$V$62)=0),(COUNTA(B!$X$8:$X$62)=0)),"",COUNTIFS(B!$X$8:$X$62,"X24",B!$W$8:$W$62,"S"))</f>
        <v/>
      </c>
    </row>
    <row r="24" spans="1:26" s="2" customFormat="1" ht="13.5" customHeight="1">
      <c r="A24" s="500"/>
      <c r="B24" s="31" t="s">
        <v>32</v>
      </c>
      <c r="C24" s="16" t="str">
        <f>IF(OR((COUNTA(B!$P$8:$P$62)=0),(COUNTA(B!$R$8:$R$62)=0)),"",COUNTIFS(B!$R$8:$R$62,"X01",B!$Q$8:$Q$62,"W"))</f>
        <v/>
      </c>
      <c r="D24" s="17" t="str">
        <f>IF(OR((COUNTA(B!$P$8:$P$62)=0),(COUNTA(B!$R$8:$R$62)=0)),"",COUNTIFS(B!$R$8:$R$62,"X02",B!$Q$8:$Q$62,"W"))</f>
        <v/>
      </c>
      <c r="E24" s="17" t="str">
        <f>IF(OR((COUNTA(B!$P$8:$P$62)=0),(COUNTA(B!$R$8:$R$62)=0)),"",COUNTIFS(B!$R$8:$R$62,"X03",B!$Q$8:$Q$62,"W"))</f>
        <v/>
      </c>
      <c r="F24" s="17" t="str">
        <f>IF(OR((COUNTA(B!$P$8:$P$62)=0),(COUNTA(B!$R$8:$R$62)=0)),"",COUNTIFS(B!$R$8:$R$62,"X04",B!$Q$8:$Q$62,"W"))</f>
        <v/>
      </c>
      <c r="G24" s="17" t="str">
        <f>IF(OR((COUNTA(B!$P$8:$P$62)=0),(COUNTA(B!$R$8:$R$62)=0)),"",COUNTIFS(B!$R$8:$R$62,"X05",B!$Q$8:$Q$62,"W"))</f>
        <v/>
      </c>
      <c r="H24" s="17" t="str">
        <f>IF(OR((COUNTA(B!$P$8:$P$62)=0),(COUNTA(B!$R$8:$R$62)=0)),"",COUNTIFS(B!$R$8:$R$62,"X06",B!$Q$8:$Q$62,"W"))</f>
        <v/>
      </c>
      <c r="I24" s="17" t="str">
        <f>IF(OR((COUNTA(B!$P$8:$P$62)=0),(COUNTA(B!$R$8:$R$62)=0)),"",COUNTIFS(B!$R$8:$R$62,"X07",B!$Q$8:$Q$62,"W"))</f>
        <v/>
      </c>
      <c r="J24" s="43" t="str">
        <f>IF(OR((COUNTA(B!$P$8:$P$62)=0),(COUNTA(B!$R$8:$R$62)=0)),"",COUNTIFS(B!$R$8:$R$62,"X08",B!$Q$8:$Q$62,"W"))</f>
        <v/>
      </c>
      <c r="K24" s="16" t="str">
        <f>IF(OR((COUNTA(B!$S$8:$S$62)=0),(COUNTA(B!$U$8:$U$62)=0)),"",COUNTIFS(B!$U$8:$U$62,"X09",B!$T$8:$T$62,"W"))</f>
        <v/>
      </c>
      <c r="L24" s="17" t="str">
        <f>IF(OR((COUNTA(B!$S$8:$S$62)=0),(COUNTA(B!$U$8:$U$62)=0)),"",COUNTIFS(B!$U$8:$U$62,"X10",B!$T$8:$T$62,"W"))</f>
        <v/>
      </c>
      <c r="M24" s="17" t="str">
        <f>IF(OR((COUNTA(B!$S$8:$S$62)=0),(COUNTA(B!$U$8:$U$62)=0)),"",COUNTIFS(B!$U$8:$U$62,"X11",B!$T$8:$T$62,"W"))</f>
        <v/>
      </c>
      <c r="N24" s="17" t="str">
        <f>IF(OR((COUNTA(B!$S$8:$S$62)=0),(COUNTA(B!$U$8:$U$62)=0)),"",COUNTIFS(B!$U$8:$U$62,"X12",B!$T$8:$T$62,"W"))</f>
        <v/>
      </c>
      <c r="O24" s="17" t="str">
        <f>IF(OR((COUNTA(B!$S$8:$S$62)=0),(COUNTA(B!$U$8:$U$62)=0)),"",COUNTIFS(B!$U$8:$U$62,"X13",B!$T$8:$T$62,"W"))</f>
        <v/>
      </c>
      <c r="P24" s="17" t="str">
        <f>IF(OR((COUNTA(B!$S$8:$S$62)=0),(COUNTA(B!$U$8:$U$62)=0)),"",COUNTIFS(B!$U$8:$U$62,"X14",B!$T$8:$T$62,"W"))</f>
        <v/>
      </c>
      <c r="Q24" s="17" t="str">
        <f>IF(OR((COUNTA(B!$S$8:$S$62)=0),(COUNTA(B!$U$8:$U$62)=0)),"",COUNTIFS(B!$U$8:$U$62,"X15",B!$T$8:$T$62,"W"))</f>
        <v/>
      </c>
      <c r="R24" s="43" t="str">
        <f>IF(OR((COUNTA(B!$S$8:$S$62)=0),(COUNTA(B!$U$8:$U$62)=0)),"",COUNTIFS(B!$U$8:$U$62,"X16",B!$T$8:$T$62,"W"))</f>
        <v/>
      </c>
      <c r="S24" s="16" t="str">
        <f>IF(OR((COUNTA(B!$V$8:$V$62)=0),(COUNTA(B!$X$8:$X$62)=0)),"",COUNTIFS(B!$X$8:$X$62,"X17",B!$W$8:$W$62,"W"))</f>
        <v/>
      </c>
      <c r="T24" s="17" t="str">
        <f>IF(OR((COUNTA(B!$V$8:$V$62)=0),(COUNTA(B!$X$8:$X$62)=0)),"",COUNTIFS(B!$X$8:$X$62,"X18",B!$W$8:$W$62,"W"))</f>
        <v/>
      </c>
      <c r="U24" s="17" t="str">
        <f>IF(OR((COUNTA(B!$V$8:$V$62)=0),(COUNTA(B!$X$8:$X$62)=0)),"",COUNTIFS(B!$X$8:$X$62,"X19",B!$W$8:$W$62,"W"))</f>
        <v/>
      </c>
      <c r="V24" s="17" t="str">
        <f>IF(OR((COUNTA(B!$V$8:$V$62)=0),(COUNTA(B!$X$8:$X$62)=0)),"",COUNTIFS(B!$X$8:$X$62,"X20",B!$W$8:$W$62,"W"))</f>
        <v/>
      </c>
      <c r="W24" s="17" t="str">
        <f>IF(OR((COUNTA(B!$V$8:$V$62)=0),(COUNTA(B!$X$8:$X$62)=0)),"",COUNTIFS(B!$X$8:$X$62,"X21",B!$W$8:$W$62,"W"))</f>
        <v/>
      </c>
      <c r="X24" s="17" t="str">
        <f>IF(OR((COUNTA(B!$V$8:$V$62)=0),(COUNTA(B!$X$8:$X$62)=0)),"",COUNTIFS(B!$X$8:$X$62,"X22",B!$W$8:$W$62,"W"))</f>
        <v/>
      </c>
      <c r="Y24" s="17" t="str">
        <f>IF(OR((COUNTA(B!$V$8:$V$62)=0),(COUNTA(B!$X$8:$X$62)=0)),"",COUNTIFS(B!$X$8:$X$62,"X23",B!$W$8:$W$62,"W"))</f>
        <v/>
      </c>
      <c r="Z24" s="43" t="str">
        <f>IF(OR((COUNTA(B!$V$8:$V$62)=0),(COUNTA(B!$X$8:$X$62)=0)),"",COUNTIFS(B!$X$8:$X$62,"X24",B!$W$8:$W$62,"W"))</f>
        <v/>
      </c>
    </row>
    <row r="25" spans="1:26" s="2" customFormat="1" ht="13.5" customHeight="1">
      <c r="A25" s="500"/>
      <c r="B25" s="31" t="s">
        <v>47</v>
      </c>
      <c r="C25" s="16" t="str">
        <f>IF(OR((COUNTA(B!$P$8:$P$62)=0),(COUNTA(B!$R$8:$R$62)=0)),"",COUNTIFS(B!$R$8:$R$62,"X01",B!$Q$8:$Q$62,"AB"))</f>
        <v/>
      </c>
      <c r="D25" s="17" t="str">
        <f>IF(OR((COUNTA(B!$P$8:$P$62)=0),(COUNTA(B!$R$8:$R$62)=0)),"",COUNTIFS(B!$R$8:$R$62,"X02",B!$Q$8:$Q$62,"AB"))</f>
        <v/>
      </c>
      <c r="E25" s="17" t="str">
        <f>IF(OR((COUNTA(B!$P$8:$P$62)=0),(COUNTA(B!$R$8:$R$62)=0)),"",COUNTIFS(B!$R$8:$R$62,"X03",B!$Q$8:$Q$62,"AB"))</f>
        <v/>
      </c>
      <c r="F25" s="17" t="str">
        <f>IF(OR((COUNTA(B!$P$8:$P$62)=0),(COUNTA(B!$R$8:$R$62)=0)),"",COUNTIFS(B!$R$8:$R$62,"X04",B!$Q$8:$Q$62,"AB"))</f>
        <v/>
      </c>
      <c r="G25" s="17" t="str">
        <f>IF(OR((COUNTA(B!$P$8:$P$62)=0),(COUNTA(B!$R$8:$R$62)=0)),"",COUNTIFS(B!$R$8:$R$62,"X05",B!$Q$8:$Q$62,"AB"))</f>
        <v/>
      </c>
      <c r="H25" s="17" t="str">
        <f>IF(OR((COUNTA(B!$P$8:$P$62)=0),(COUNTA(B!$R$8:$R$62)=0)),"",COUNTIFS(B!$R$8:$R$62,"X06",B!$Q$8:$Q$62,"AB"))</f>
        <v/>
      </c>
      <c r="I25" s="17" t="str">
        <f>IF(OR((COUNTA(B!$P$8:$P$62)=0),(COUNTA(B!$R$8:$R$62)=0)),"",COUNTIFS(B!$R$8:$R$62,"X07",B!$Q$8:$Q$62,"AB"))</f>
        <v/>
      </c>
      <c r="J25" s="43" t="str">
        <f>IF(OR((COUNTA(B!$P$8:$P$62)=0),(COUNTA(B!$R$8:$R$62)=0)),"",COUNTIFS(B!$R$8:$R$62,"X08",B!$Q$8:$Q$62,"AB"))</f>
        <v/>
      </c>
      <c r="K25" s="16" t="str">
        <f>IF(OR((COUNTA(B!$S$8:$S$62)=0),(COUNTA(B!$U$8:$U$62)=0)),"",COUNTIFS(B!$U$8:$U$62,"X09",B!$T$8:$T$62,"AB"))</f>
        <v/>
      </c>
      <c r="L25" s="17" t="str">
        <f>IF(OR((COUNTA(B!$S$8:$S$62)=0),(COUNTA(B!$U$8:$U$62)=0)),"",COUNTIFS(B!$U$8:$U$62,"X10",B!$T$8:$T$62,"AB"))</f>
        <v/>
      </c>
      <c r="M25" s="17" t="str">
        <f>IF(OR((COUNTA(B!$S$8:$S$62)=0),(COUNTA(B!$U$8:$U$62)=0)),"",COUNTIFS(B!$U$8:$U$62,"X11",B!$T$8:$T$62,"AB"))</f>
        <v/>
      </c>
      <c r="N25" s="17" t="str">
        <f>IF(OR((COUNTA(B!$S$8:$S$62)=0),(COUNTA(B!$U$8:$U$62)=0)),"",COUNTIFS(B!$U$8:$U$62,"X12",B!$T$8:$T$62,"AB"))</f>
        <v/>
      </c>
      <c r="O25" s="17" t="str">
        <f>IF(OR((COUNTA(B!$S$8:$S$62)=0),(COUNTA(B!$U$8:$U$62)=0)),"",COUNTIFS(B!$U$8:$U$62,"X13",B!$T$8:$T$62,"AB"))</f>
        <v/>
      </c>
      <c r="P25" s="17" t="str">
        <f>IF(OR((COUNTA(B!$S$8:$S$62)=0),(COUNTA(B!$U$8:$U$62)=0)),"",COUNTIFS(B!$U$8:$U$62,"X14",B!$T$8:$T$62,"AB"))</f>
        <v/>
      </c>
      <c r="Q25" s="17" t="str">
        <f>IF(OR((COUNTA(B!$S$8:$S$62)=0),(COUNTA(B!$U$8:$U$62)=0)),"",COUNTIFS(B!$U$8:$U$62,"X15",B!$T$8:$T$62,"AB"))</f>
        <v/>
      </c>
      <c r="R25" s="43" t="str">
        <f>IF(OR((COUNTA(B!$S$8:$S$62)=0),(COUNTA(B!$U$8:$U$62)=0)),"",COUNTIFS(B!$U$8:$U$62,"X16",B!$T$8:$T$62,"AB"))</f>
        <v/>
      </c>
      <c r="S25" s="16" t="str">
        <f>IF(OR((COUNTA(B!$V$8:$V$62)=0),(COUNTA(B!$X$8:$X$62)=0)),"",COUNTIFS(B!$X$8:$X$62,"X17",B!$W$8:$W$62,"AB"))</f>
        <v/>
      </c>
      <c r="T25" s="17" t="str">
        <f>IF(OR((COUNTA(B!$V$8:$V$62)=0),(COUNTA(B!$X$8:$X$62)=0)),"",COUNTIFS(B!$X$8:$X$62,"X18",B!$W$8:$W$62,"AB"))</f>
        <v/>
      </c>
      <c r="U25" s="17" t="str">
        <f>IF(OR((COUNTA(B!$V$8:$V$62)=0),(COUNTA(B!$X$8:$X$62)=0)),"",COUNTIFS(B!$X$8:$X$62,"X19",B!$W$8:$W$62,"AB"))</f>
        <v/>
      </c>
      <c r="V25" s="17" t="str">
        <f>IF(OR((COUNTA(B!$V$8:$V$62)=0),(COUNTA(B!$X$8:$X$62)=0)),"",COUNTIFS(B!$X$8:$X$62,"X20",B!$W$8:$W$62,"AB"))</f>
        <v/>
      </c>
      <c r="W25" s="17" t="str">
        <f>IF(OR((COUNTA(B!$V$8:$V$62)=0),(COUNTA(B!$X$8:$X$62)=0)),"",COUNTIFS(B!$X$8:$X$62,"X21",B!$W$8:$W$62,"AB"))</f>
        <v/>
      </c>
      <c r="X25" s="17" t="str">
        <f>IF(OR((COUNTA(B!$V$8:$V$62)=0),(COUNTA(B!$X$8:$X$62)=0)),"",COUNTIFS(B!$X$8:$X$62,"X22",B!$W$8:$W$62,"AB"))</f>
        <v/>
      </c>
      <c r="Y25" s="17" t="str">
        <f>IF(OR((COUNTA(B!$V$8:$V$62)=0),(COUNTA(B!$X$8:$X$62)=0)),"",COUNTIFS(B!$X$8:$X$62,"X23",B!$W$8:$W$62,"AB"))</f>
        <v/>
      </c>
      <c r="Z25" s="43" t="str">
        <f>IF(OR((COUNTA(B!$V$8:$V$62)=0),(COUNTA(B!$X$8:$X$62)=0)),"",COUNTIFS(B!$X$8:$X$62,"X24",B!$W$8:$W$62,"AB"))</f>
        <v/>
      </c>
    </row>
    <row r="26" spans="1:26" s="2" customFormat="1" ht="13.5" customHeight="1">
      <c r="A26" s="500"/>
      <c r="B26" s="32" t="s">
        <v>48</v>
      </c>
      <c r="C26" s="13" t="str">
        <f>IF(OR((COUNTA(B!$P$8:$P$62)=0),(COUNTA(B!$R$8:$R$62)=0)),"",COUNTIFS(B!$R$8:$R$62,"X01",B!$P$8:$P$62,"&lt;=39",B!$P$8:$P$62,"&gt;=30"))</f>
        <v/>
      </c>
      <c r="D26" s="14" t="str">
        <f>IF(OR((COUNTA(B!$P$8:$P$62)=0),(COUNTA(B!$R$8:$R$62)=0)),"",COUNTIFS(B!$R$8:$R$62,"X02",B!$P$8:$P$62,"&lt;=39",B!$P$8:$P$62,"&gt;=30"))</f>
        <v/>
      </c>
      <c r="E26" s="14" t="str">
        <f>IF(OR((COUNTA(B!$P$8:$P$62)=0),(COUNTA(B!$R$8:$R$62)=0)),"",COUNTIFS(B!$R$8:$R$62,"X03",B!$P$8:$P$62,"&lt;=39",B!$P$8:$P$62,"&gt;=30"))</f>
        <v/>
      </c>
      <c r="F26" s="14" t="str">
        <f>IF(OR((COUNTA(B!$P$8:$P$62)=0),(COUNTA(B!$R$8:$R$62)=0)),"",COUNTIFS(B!$R$8:$R$62,"X04",B!$P$8:$P$62,"&lt;=39",B!$P$8:$P$62,"&gt;=30"))</f>
        <v/>
      </c>
      <c r="G26" s="14" t="str">
        <f>IF(OR((COUNTA(B!$P$8:$P$62)=0),(COUNTA(B!$R$8:$R$62)=0)),"",COUNTIFS(B!$R$8:$R$62,"X05",B!$P$8:$P$62,"&lt;=39",B!$P$8:$P$62,"&gt;=30"))</f>
        <v/>
      </c>
      <c r="H26" s="14" t="str">
        <f>IF(OR((COUNTA(B!$P$8:$P$62)=0),(COUNTA(B!$R$8:$R$62)=0)),"",COUNTIFS(B!$R$8:$R$62,"X06",B!$P$8:$P$62,"&lt;=39",B!$P$8:$P$62,"&gt;=30"))</f>
        <v/>
      </c>
      <c r="I26" s="14" t="str">
        <f>IF(OR((COUNTA(B!$P$8:$P$62)=0),(COUNTA(B!$R$8:$R$62)=0)),"",COUNTIFS(B!$R$8:$R$62,"X07",B!$P$8:$P$62,"&lt;=39",B!$P$8:$P$62,"&gt;=30"))</f>
        <v/>
      </c>
      <c r="J26" s="42" t="str">
        <f>IF(OR((COUNTA(B!$P$8:$P$62)=0),(COUNTA(B!$R$8:$R$62)=0)),"",COUNTIFS(B!$R$8:$R$62,"X08",B!$P$8:$P$62,"&lt;=39",B!$P$8:$P$62,"&gt;=30"))</f>
        <v/>
      </c>
      <c r="K26" s="13" t="str">
        <f>IF(OR((COUNTA(B!$S$8:$S$62)=0),(COUNTA(B!$U$8:$U$62)=0)),"",COUNTIFS(B!$U$8:$U$62,"X09",B!$S$8:$S$62,"&lt;=39",B!$S$8:$S$62,"&gt;=30"))</f>
        <v/>
      </c>
      <c r="L26" s="14" t="str">
        <f>IF(OR((COUNTA(B!$S$8:$S$62)=0),(COUNTA(B!$U$8:$U$62)=0)),"",COUNTIFS(B!$U$8:$U$62,"X10",B!$S$8:$S$62,"&lt;=39",B!$S$8:$S$62,"&gt;=30"))</f>
        <v/>
      </c>
      <c r="M26" s="14" t="str">
        <f>IF(OR((COUNTA(B!$S$8:$S$62)=0),(COUNTA(B!$U$8:$U$62)=0)),"",COUNTIFS(B!$U$8:$U$62,"X11",B!$S$8:$S$62,"&lt;=39",B!$S$8:$S$62,"&gt;=30"))</f>
        <v/>
      </c>
      <c r="N26" s="14" t="str">
        <f>IF(OR((COUNTA(B!$S$8:$S$62)=0),(COUNTA(B!$U$8:$U$62)=0)),"",COUNTIFS(B!$U$8:$U$62,"X12",B!$S$8:$S$62,"&lt;=39",B!$S$8:$S$62,"&gt;=30"))</f>
        <v/>
      </c>
      <c r="O26" s="14" t="str">
        <f>IF(OR((COUNTA(B!$S$8:$S$62)=0),(COUNTA(B!$U$8:$U$62)=0)),"",COUNTIFS(B!$U$8:$U$62,"X13",B!$S$8:$S$62,"&lt;=39",B!$S$8:$S$62,"&gt;=30"))</f>
        <v/>
      </c>
      <c r="P26" s="14" t="str">
        <f>IF(OR((COUNTA(B!$S$8:$S$62)=0),(COUNTA(B!$U$8:$U$62)=0)),"",COUNTIFS(B!$U$8:$U$62,"X14",B!$S$8:$S$62,"&lt;=39",B!$S$8:$S$62,"&gt;=30"))</f>
        <v/>
      </c>
      <c r="Q26" s="14" t="str">
        <f>IF(OR((COUNTA(B!$S$8:$S$62)=0),(COUNTA(B!$U$8:$U$62)=0)),"",COUNTIFS(B!$U$8:$U$62,"X15",B!$S$8:$S$62,"&lt;=39",B!$S$8:$S$62,"&gt;=30"))</f>
        <v/>
      </c>
      <c r="R26" s="42" t="str">
        <f>IF(OR((COUNTA(B!$S$8:$S$62)=0),(COUNTA(B!$U$8:$U$62)=0)),"",COUNTIFS(B!$U$8:$U$62,"X16",B!$S$8:$S$62,"&lt;=39",B!$S$8:$S$62,"&gt;=30"))</f>
        <v/>
      </c>
      <c r="S26" s="13" t="str">
        <f>IF(OR((COUNTA(B!$V$8:$V$62)=0),(COUNTA(B!$X$8:$X$62)=0)),"",COUNTIFS(B!$X$8:$X$62,"X17",B!$V$8:$V$62,"&lt;=39",B!$V$8:$V$62,"&gt;=30"))</f>
        <v/>
      </c>
      <c r="T26" s="14" t="str">
        <f>IF(OR((COUNTA(B!$V$8:$V$62)=0),(COUNTA(B!$X$8:$X$62)=0)),"",COUNTIFS(B!$X$8:$X$62,"X18",B!$V$8:$V$62,"&lt;=39",B!$V$8:$V$62,"&gt;=30"))</f>
        <v/>
      </c>
      <c r="U26" s="14" t="str">
        <f>IF(OR((COUNTA(B!$V$8:$V$62)=0),(COUNTA(B!$X$8:$X$62)=0)),"",COUNTIFS(B!$X$8:$X$62,"X19",B!$V$8:$V$62,"&lt;=39",B!$V$8:$V$62,"&gt;=30"))</f>
        <v/>
      </c>
      <c r="V26" s="14" t="str">
        <f>IF(OR((COUNTA(B!$V$8:$V$62)=0),(COUNTA(B!$X$8:$X$62)=0)),"",COUNTIFS(B!$X$8:$X$62,"X20",B!$V$8:$V$62,"&lt;=39",B!$V$8:$V$62,"&gt;=30"))</f>
        <v/>
      </c>
      <c r="W26" s="14" t="str">
        <f>IF(OR((COUNTA(B!$V$8:$V$62)=0),(COUNTA(B!$X$8:$X$62)=0)),"",COUNTIFS(B!$X$8:$X$62,"X21",B!$V$8:$V$62,"&lt;=39",B!$V$8:$V$62,"&gt;=30"))</f>
        <v/>
      </c>
      <c r="X26" s="14" t="str">
        <f>IF(OR((COUNTA(B!$V$8:$V$62)=0),(COUNTA(B!$X$8:$X$62)=0)),"",COUNTIFS(B!$X$8:$X$62,"X22",B!$V$8:$V$62,"&lt;=39",B!$V$8:$V$62,"&gt;=30"))</f>
        <v/>
      </c>
      <c r="Y26" s="14" t="str">
        <f>IF(OR((COUNTA(B!$V$8:$V$62)=0),(COUNTA(B!$X$8:$X$62)=0)),"",COUNTIFS(B!$X$8:$X$62,"X23",B!$V$8:$V$62,"&lt;=39",B!$V$8:$V$62,"&gt;=30"))</f>
        <v/>
      </c>
      <c r="Z26" s="42" t="str">
        <f>IF(OR((COUNTA(B!$V$8:$V$62)=0),(COUNTA(B!$X$8:$X$62)=0)),"",COUNTIFS(B!$X$8:$X$62,"X24",B!$V$8:$V$62,"&lt;=39",B!$V$8:$V$62,"&gt;=30"))</f>
        <v/>
      </c>
    </row>
    <row r="27" spans="1:26" s="2" customFormat="1" ht="13.5" customHeight="1">
      <c r="A27" s="500"/>
      <c r="B27" s="32" t="s">
        <v>51</v>
      </c>
      <c r="C27" s="13" t="str">
        <f>IF(OR((COUNTA(B!$P$8:$P$62)=0),(COUNTA(B!$R$8:$R$62)=0)),"",COUNTIFS(B!$R$8:$R$62,"X01",B!$P$8:$P$62,"&lt;=29",B!$P$8:$P$62,"&gt;=20"))</f>
        <v/>
      </c>
      <c r="D27" s="14" t="str">
        <f>IF(OR((COUNTA(B!$P$8:$P$62)=0),(COUNTA(B!$R$8:$R$62)=0)),"",COUNTIFS(B!$R$8:$R$62,"X02",B!$P$8:$P$62,"&lt;=29",B!$P$8:$P$62,"&gt;=20"))</f>
        <v/>
      </c>
      <c r="E27" s="14" t="str">
        <f>IF(OR((COUNTA(B!$P$8:$P$62)=0),(COUNTA(B!$R$8:$R$62)=0)),"",COUNTIFS(B!$R$8:$R$62,"X03",B!$P$8:$P$62,"&lt;=29",B!$P$8:$P$62,"&gt;=20"))</f>
        <v/>
      </c>
      <c r="F27" s="14" t="str">
        <f>IF(OR((COUNTA(B!$P$8:$P$62)=0),(COUNTA(B!$R$8:$R$62)=0)),"",COUNTIFS(B!$R$8:$R$62,"X04",B!$P$8:$P$62,"&lt;=29",B!$P$8:$P$62,"&gt;=20"))</f>
        <v/>
      </c>
      <c r="G27" s="14" t="str">
        <f>IF(OR((COUNTA(B!$P$8:$P$62)=0),(COUNTA(B!$R$8:$R$62)=0)),"",COUNTIFS(B!$R$8:$R$62,"X05",B!$P$8:$P$62,"&lt;=29",B!$P$8:$P$62,"&gt;=20"))</f>
        <v/>
      </c>
      <c r="H27" s="14" t="str">
        <f>IF(OR((COUNTA(B!$P$8:$P$62)=0),(COUNTA(B!$R$8:$R$62)=0)),"",COUNTIFS(B!$R$8:$R$62,"X06",B!$P$8:$P$62,"&lt;=29",B!$P$8:$P$62,"&gt;=20"))</f>
        <v/>
      </c>
      <c r="I27" s="14" t="str">
        <f>IF(OR((COUNTA(B!$P$8:$P$62)=0),(COUNTA(B!$R$8:$R$62)=0)),"",COUNTIFS(B!$R$8:$R$62,"X07",B!$P$8:$P$62,"&lt;=29",B!$P$8:$P$62,"&gt;=20"))</f>
        <v/>
      </c>
      <c r="J27" s="42" t="str">
        <f>IF(OR((COUNTA(B!$P$8:$P$62)=0),(COUNTA(B!$R$8:$R$62)=0)),"",COUNTIFS(B!$R$8:$R$62,"X08",B!$P$8:$P$62,"&lt;=29",B!$P$8:$P$62,"&gt;=20"))</f>
        <v/>
      </c>
      <c r="K27" s="13" t="str">
        <f>IF(OR((COUNTA(B!$S$8:$S$62)=0),(COUNTA(B!$U$8:$U$62)=0)),"",COUNTIFS(B!$U$8:$U$62,"X09",B!$S$8:$S$62,"&lt;=29",B!$S$8:$S$62,"&gt;=20"))</f>
        <v/>
      </c>
      <c r="L27" s="14" t="str">
        <f>IF(OR((COUNTA(B!$S$8:$S$62)=0),(COUNTA(B!$U$8:$U$62)=0)),"",COUNTIFS(B!$U$8:$U$62,"X10",B!$S$8:$S$62,"&lt;=29",B!$S$8:$S$62,"&gt;=20"))</f>
        <v/>
      </c>
      <c r="M27" s="14" t="str">
        <f>IF(OR((COUNTA(B!$S$8:$S$62)=0),(COUNTA(B!$U$8:$U$62)=0)),"",COUNTIFS(B!$U$8:$U$62,"X11",B!$S$8:$S$62,"&lt;=29",B!$S$8:$S$62,"&gt;=20"))</f>
        <v/>
      </c>
      <c r="N27" s="14" t="str">
        <f>IF(OR((COUNTA(B!$S$8:$S$62)=0),(COUNTA(B!$U$8:$U$62)=0)),"",COUNTIFS(B!$U$8:$U$62,"X12",B!$S$8:$S$62,"&lt;=29",B!$S$8:$S$62,"&gt;=20"))</f>
        <v/>
      </c>
      <c r="O27" s="14" t="str">
        <f>IF(OR((COUNTA(B!$S$8:$S$62)=0),(COUNTA(B!$U$8:$U$62)=0)),"",COUNTIFS(B!$U$8:$U$62,"X13",B!$S$8:$S$62,"&lt;=29",B!$S$8:$S$62,"&gt;=20"))</f>
        <v/>
      </c>
      <c r="P27" s="14" t="str">
        <f>IF(OR((COUNTA(B!$S$8:$S$62)=0),(COUNTA(B!$U$8:$U$62)=0)),"",COUNTIFS(B!$U$8:$U$62,"X14",B!$S$8:$S$62,"&lt;=29",B!$S$8:$S$62,"&gt;=20"))</f>
        <v/>
      </c>
      <c r="Q27" s="14" t="str">
        <f>IF(OR((COUNTA(B!$S$8:$S$62)=0),(COUNTA(B!$U$8:$U$62)=0)),"",COUNTIFS(B!$U$8:$U$62,"X15",B!$S$8:$S$62,"&lt;=29",B!$S$8:$S$62,"&gt;=20"))</f>
        <v/>
      </c>
      <c r="R27" s="42" t="str">
        <f>IF(OR((COUNTA(B!$S$8:$S$62)=0),(COUNTA(B!$U$8:$U$62)=0)),"",COUNTIFS(B!$U$8:$U$62,"X16",B!$S$8:$S$62,"&lt;=29",B!$S$8:$S$62,"&gt;=20"))</f>
        <v/>
      </c>
      <c r="S27" s="13" t="str">
        <f>IF(OR((COUNTA(B!$V$8:$V$62)=0),(COUNTA(B!$X$8:$X$62)=0)),"",COUNTIFS(B!$X$8:$X$62,"X17",B!$V$8:$V$62,"&lt;=29",B!$V$8:$V$62,"&gt;=20"))</f>
        <v/>
      </c>
      <c r="T27" s="14" t="str">
        <f>IF(OR((COUNTA(B!$V$8:$V$62)=0),(COUNTA(B!$X$8:$X$62)=0)),"",COUNTIFS(B!$X$8:$X$62,"X18",B!$V$8:$V$62,"&lt;=29",B!$V$8:$V$62,"&gt;=20"))</f>
        <v/>
      </c>
      <c r="U27" s="14" t="str">
        <f>IF(OR((COUNTA(B!$V$8:$V$62)=0),(COUNTA(B!$X$8:$X$62)=0)),"",COUNTIFS(B!$X$8:$X$62,"X19",B!$V$8:$V$62,"&lt;=29",B!$V$8:$V$62,"&gt;=20"))</f>
        <v/>
      </c>
      <c r="V27" s="14" t="str">
        <f>IF(OR((COUNTA(B!$V$8:$V$62)=0),(COUNTA(B!$X$8:$X$62)=0)),"",COUNTIFS(B!$X$8:$X$62,"X20",B!$V$8:$V$62,"&lt;=29",B!$V$8:$V$62,"&gt;=20"))</f>
        <v/>
      </c>
      <c r="W27" s="14" t="str">
        <f>IF(OR((COUNTA(B!$V$8:$V$62)=0),(COUNTA(B!$X$8:$X$62)=0)),"",COUNTIFS(B!$X$8:$X$62,"X21",B!$V$8:$V$62,"&lt;=29",B!$V$8:$V$62,"&gt;=20"))</f>
        <v/>
      </c>
      <c r="X27" s="14" t="str">
        <f>IF(OR((COUNTA(B!$V$8:$V$62)=0),(COUNTA(B!$X$8:$X$62)=0)),"",COUNTIFS(B!$X$8:$X$62,"X22",B!$V$8:$V$62,"&lt;=29",B!$V$8:$V$62,"&gt;=20"))</f>
        <v/>
      </c>
      <c r="Y27" s="14" t="str">
        <f>IF(OR((COUNTA(B!$V$8:$V$62)=0),(COUNTA(B!$X$8:$X$62)=0)),"",COUNTIFS(B!$X$8:$X$62,"X23",B!$V$8:$V$62,"&lt;=29",B!$V$8:$V$62,"&gt;=20"))</f>
        <v/>
      </c>
      <c r="Z27" s="42" t="str">
        <f>IF(OR((COUNTA(B!$V$8:$V$62)=0),(COUNTA(B!$X$8:$X$62)=0)),"",COUNTIFS(B!$X$8:$X$62,"X24",B!$V$8:$V$62,"&lt;=29",B!$V$8:$V$62,"&gt;=20"))</f>
        <v/>
      </c>
    </row>
    <row r="28" spans="1:26" s="2" customFormat="1" ht="13.5" customHeight="1">
      <c r="A28" s="500"/>
      <c r="B28" s="33" t="s">
        <v>52</v>
      </c>
      <c r="C28" s="16" t="str">
        <f>IF(OR((COUNTA(B!$P$8:$P$62)=0),(COUNTA(B!$R$8:$R$62)=0)),"",COUNTIFS(B!$R$8:$R$62,"X01",B!$P$8:$P$62,"&lt;=19",B!$P$8:$P$62,"&gt;=10"))</f>
        <v/>
      </c>
      <c r="D28" s="17" t="str">
        <f>IF(OR((COUNTA(B!$P$8:$P$62)=0),(COUNTA(B!$R$8:$R$62)=0)),"",COUNTIFS(B!$R$8:$R$62,"X02",B!$P$8:$P$62,"&lt;=19",B!$P$8:$P$62,"&gt;=10"))</f>
        <v/>
      </c>
      <c r="E28" s="17" t="str">
        <f>IF(OR((COUNTA(B!$P$8:$P$62)=0),(COUNTA(B!$R$8:$R$62)=0)),"",COUNTIFS(B!$R$8:$R$62,"X03",B!$P$8:$P$62,"&lt;=19",B!$P$8:$P$62,"&gt;=10"))</f>
        <v/>
      </c>
      <c r="F28" s="17" t="str">
        <f>IF(OR((COUNTA(B!$P$8:$P$62)=0),(COUNTA(B!$R$8:$R$62)=0)),"",COUNTIFS(B!$R$8:$R$62,"X04",B!$P$8:$P$62,"&lt;=19",B!$P$8:$P$62,"&gt;=10"))</f>
        <v/>
      </c>
      <c r="G28" s="17" t="str">
        <f>IF(OR((COUNTA(B!$P$8:$P$62)=0),(COUNTA(B!$R$8:$R$62)=0)),"",COUNTIFS(B!$R$8:$R$62,"X05",B!$P$8:$P$62,"&lt;=19",B!$P$8:$P$62,"&gt;=10"))</f>
        <v/>
      </c>
      <c r="H28" s="17" t="str">
        <f>IF(OR((COUNTA(B!$P$8:$P$62)=0),(COUNTA(B!$R$8:$R$62)=0)),"",COUNTIFS(B!$R$8:$R$62,"X06",B!$P$8:$P$62,"&lt;=19",B!$P$8:$P$62,"&gt;=10"))</f>
        <v/>
      </c>
      <c r="I28" s="17" t="str">
        <f>IF(OR((COUNTA(B!$P$8:$P$62)=0),(COUNTA(B!$R$8:$R$62)=0)),"",COUNTIFS(B!$R$8:$R$62,"X07",B!$P$8:$P$62,"&lt;=19",B!$P$8:$P$62,"&gt;=10"))</f>
        <v/>
      </c>
      <c r="J28" s="43" t="str">
        <f>IF(OR((COUNTA(B!$P$8:$P$62)=0),(COUNTA(B!$R$8:$R$62)=0)),"",COUNTIFS(B!$R$8:$R$62,"X08",B!$P$8:$P$62,"&lt;=19",B!$P$8:$P$62,"&gt;=10"))</f>
        <v/>
      </c>
      <c r="K28" s="16" t="str">
        <f>IF(OR((COUNTA(B!$S$8:$S$62)=0),(COUNTA(B!$U$8:$U$62)=0)),"",COUNTIFS(B!$U$8:$U$62,"X09",B!$S$8:$S$62,"&lt;=19",B!$S$8:$S$62,"&gt;=10"))</f>
        <v/>
      </c>
      <c r="L28" s="17" t="str">
        <f>IF(OR((COUNTA(B!$S$8:$S$62)=0),(COUNTA(B!$U$8:$U$62)=0)),"",COUNTIFS(B!$U$8:$U$62,"X10",B!$S$8:$S$62,"&lt;=19",B!$S$8:$S$62,"&gt;=10"))</f>
        <v/>
      </c>
      <c r="M28" s="17" t="str">
        <f>IF(OR((COUNTA(B!$S$8:$S$62)=0),(COUNTA(B!$U$8:$U$62)=0)),"",COUNTIFS(B!$U$8:$U$62,"X11",B!$S$8:$S$62,"&lt;=19",B!$S$8:$S$62,"&gt;=10"))</f>
        <v/>
      </c>
      <c r="N28" s="17" t="str">
        <f>IF(OR((COUNTA(B!$S$8:$S$62)=0),(COUNTA(B!$U$8:$U$62)=0)),"",COUNTIFS(B!$U$8:$U$62,"X12",B!$S$8:$S$62,"&lt;=19",B!$S$8:$S$62,"&gt;=10"))</f>
        <v/>
      </c>
      <c r="O28" s="17" t="str">
        <f>IF(OR((COUNTA(B!$S$8:$S$62)=0),(COUNTA(B!$U$8:$U$62)=0)),"",COUNTIFS(B!$U$8:$U$62,"X13",B!$S$8:$S$62,"&lt;=19",B!$S$8:$S$62,"&gt;=10"))</f>
        <v/>
      </c>
      <c r="P28" s="17" t="str">
        <f>IF(OR((COUNTA(B!$S$8:$S$62)=0),(COUNTA(B!$U$8:$U$62)=0)),"",COUNTIFS(B!$U$8:$U$62,"X14",B!$S$8:$S$62,"&lt;=19",B!$S$8:$S$62,"&gt;=10"))</f>
        <v/>
      </c>
      <c r="Q28" s="17" t="str">
        <f>IF(OR((COUNTA(B!$S$8:$S$62)=0),(COUNTA(B!$U$8:$U$62)=0)),"",COUNTIFS(B!$U$8:$U$62,"X15",B!$S$8:$S$62,"&lt;=19",B!$S$8:$S$62,"&gt;=10"))</f>
        <v/>
      </c>
      <c r="R28" s="43" t="str">
        <f>IF(OR((COUNTA(B!$S$8:$S$62)=0),(COUNTA(B!$U$8:$U$62)=0)),"",COUNTIFS(B!$U$8:$U$62,"X16",B!$S$8:$S$62,"&lt;=19",B!$S$8:$S$62,"&gt;=10"))</f>
        <v/>
      </c>
      <c r="S28" s="16" t="str">
        <f>IF(OR((COUNTA(B!$V$8:$V$62)=0),(COUNTA(B!$X$8:$X$62)=0)),"",COUNTIFS(B!$X$8:$X$62,"X17",B!$V$8:$V$62,"&lt;=19",B!$V$8:$V$62,"&gt;=10"))</f>
        <v/>
      </c>
      <c r="T28" s="17" t="str">
        <f>IF(OR((COUNTA(B!$V$8:$V$62)=0),(COUNTA(B!$X$8:$X$62)=0)),"",COUNTIFS(B!$X$8:$X$62,"X18",B!$V$8:$V$62,"&lt;=19",B!$V$8:$V$62,"&gt;=10"))</f>
        <v/>
      </c>
      <c r="U28" s="17" t="str">
        <f>IF(OR((COUNTA(B!$V$8:$V$62)=0),(COUNTA(B!$X$8:$X$62)=0)),"",COUNTIFS(B!$X$8:$X$62,"X19",B!$V$8:$V$62,"&lt;=19",B!$V$8:$V$62,"&gt;=10"))</f>
        <v/>
      </c>
      <c r="V28" s="17" t="str">
        <f>IF(OR((COUNTA(B!$V$8:$V$62)=0),(COUNTA(B!$X$8:$X$62)=0)),"",COUNTIFS(B!$X$8:$X$62,"X20",B!$V$8:$V$62,"&lt;=19",B!$V$8:$V$62,"&gt;=10"))</f>
        <v/>
      </c>
      <c r="W28" s="17" t="str">
        <f>IF(OR((COUNTA(B!$V$8:$V$62)=0),(COUNTA(B!$X$8:$X$62)=0)),"",COUNTIFS(B!$X$8:$X$62,"X21",B!$V$8:$V$62,"&lt;=19",B!$V$8:$V$62,"&gt;=10"))</f>
        <v/>
      </c>
      <c r="X28" s="17" t="str">
        <f>IF(OR((COUNTA(B!$V$8:$V$62)=0),(COUNTA(B!$X$8:$X$62)=0)),"",COUNTIFS(B!$X$8:$X$62,"X22",B!$V$8:$V$62,"&lt;=19",B!$V$8:$V$62,"&gt;=10"))</f>
        <v/>
      </c>
      <c r="Y28" s="17" t="str">
        <f>IF(OR((COUNTA(B!$V$8:$V$62)=0),(COUNTA(B!$X$8:$X$62)=0)),"",COUNTIFS(B!$X$8:$X$62,"X23",B!$V$8:$V$62,"&lt;=19",B!$V$8:$V$62,"&gt;=10"))</f>
        <v/>
      </c>
      <c r="Z28" s="43" t="str">
        <f>IF(OR((COUNTA(B!$V$8:$V$62)=0),(COUNTA(B!$X$8:$X$62)=0)),"",COUNTIFS(B!$X$8:$X$62,"X24",B!$V$8:$V$62,"&lt;=19",B!$V$8:$V$62,"&gt;=10"))</f>
        <v/>
      </c>
    </row>
    <row r="29" spans="1:26" s="2" customFormat="1" ht="13.5" customHeight="1">
      <c r="A29" s="501"/>
      <c r="B29" s="34" t="s">
        <v>55</v>
      </c>
      <c r="C29" s="21" t="str">
        <f>IF(OR((COUNTA(B!$P$8:$P$62)=0),(COUNTA(B!$R$8:$R$62)=0)),"",COUNTIFS(B!$R$8:$R$62,"X01",B!$P$8:$P$62,"&lt;=9"))</f>
        <v/>
      </c>
      <c r="D29" s="22" t="str">
        <f>IF(OR((COUNTA(B!$P$8:$P$62)=0),(COUNTA(B!$R$8:$R$62)=0)),"",COUNTIFS(B!$R$8:$R$62,"X02",B!$P$8:$P$62,"&lt;=9"))</f>
        <v/>
      </c>
      <c r="E29" s="22" t="str">
        <f>IF(OR((COUNTA(B!$P$8:$P$62)=0),(COUNTA(B!$R$8:$R$62)=0)),"",COUNTIFS(B!$R$8:$R$62,"X03",B!$P$8:$P$62,"&lt;=9"))</f>
        <v/>
      </c>
      <c r="F29" s="22" t="str">
        <f>IF(OR((COUNTA(B!$P$8:$P$62)=0),(COUNTA(B!$R$8:$R$62)=0)),"",COUNTIFS(B!$R$8:$R$62,"X04",B!$P$8:$P$62,"&lt;=9"))</f>
        <v/>
      </c>
      <c r="G29" s="22" t="str">
        <f>IF(OR((COUNTA(B!$P$8:$P$62)=0),(COUNTA(B!$R$8:$R$62)=0)),"",COUNTIFS(B!$R$8:$R$62,"X05",B!$P$8:$P$62,"&lt;=9"))</f>
        <v/>
      </c>
      <c r="H29" s="22" t="str">
        <f>IF(OR((COUNTA(B!$P$8:$P$62)=0),(COUNTA(B!$R$8:$R$62)=0)),"",COUNTIFS(B!$R$8:$R$62,"X06",B!$P$8:$P$62,"&lt;=9"))</f>
        <v/>
      </c>
      <c r="I29" s="22" t="str">
        <f>IF(OR((COUNTA(B!$P$8:$P$62)=0),(COUNTA(B!$R$8:$R$62)=0)),"",COUNTIFS(B!$R$8:$R$62,"X07",B!$P$8:$P$62,"&lt;=9"))</f>
        <v/>
      </c>
      <c r="J29" s="44" t="str">
        <f>IF(OR((COUNTA(B!$P$8:$P$62)=0),(COUNTA(B!$R$8:$R$62)=0)),"",COUNTIFS(B!$R$8:$R$62,"X08",B!$P$8:$P$62,"&lt;=9"))</f>
        <v/>
      </c>
      <c r="K29" s="21" t="str">
        <f>IF(OR((COUNTA(B!$S$8:$S$62)=0),(COUNTA(B!$U$8:$U$62)=0)),"",COUNTIFS(B!$U$8:$U$62,"X09",B!$S$8:$S$62,"&lt;=9"))</f>
        <v/>
      </c>
      <c r="L29" s="22" t="str">
        <f>IF(OR((COUNTA(B!$S$8:$S$62)=0),(COUNTA(B!$U$8:$U$62)=0)),"",COUNTIFS(B!$U$8:$U$62,"X10",B!$S$8:$S$62,"&lt;=9"))</f>
        <v/>
      </c>
      <c r="M29" s="22" t="str">
        <f>IF(OR((COUNTA(B!$S$8:$S$62)=0),(COUNTA(B!$U$8:$U$62)=0)),"",COUNTIFS(B!$U$8:$U$62,"X11",B!$S$8:$S$62,"&lt;=9"))</f>
        <v/>
      </c>
      <c r="N29" s="22" t="str">
        <f>IF(OR((COUNTA(B!$S$8:$S$62)=0),(COUNTA(B!$U$8:$U$62)=0)),"",COUNTIFS(B!$U$8:$U$62,"X12",B!$S$8:$S$62,"&lt;=9"))</f>
        <v/>
      </c>
      <c r="O29" s="22" t="str">
        <f>IF(OR((COUNTA(B!$S$8:$S$62)=0),(COUNTA(B!$U$8:$U$62)=0)),"",COUNTIFS(B!$U$8:$U$62,"X13",B!$S$8:$S$62,"&lt;=9"))</f>
        <v/>
      </c>
      <c r="P29" s="22" t="str">
        <f>IF(OR((COUNTA(B!$S$8:$S$62)=0),(COUNTA(B!$U$8:$U$62)=0)),"",COUNTIFS(B!$U$8:$U$62,"X14",B!$S$8:$S$62,"&lt;=9"))</f>
        <v/>
      </c>
      <c r="Q29" s="22" t="str">
        <f>IF(OR((COUNTA(B!$S$8:$S$62)=0),(COUNTA(B!$U$8:$U$62)=0)),"",COUNTIFS(B!$U$8:$U$62,"X15",B!$S$8:$S$62,"&lt;=9"))</f>
        <v/>
      </c>
      <c r="R29" s="44" t="str">
        <f>IF(OR((COUNTA(B!$S$8:$S$62)=0),(COUNTA(B!$U$8:$U$62)=0)),"",COUNTIFS(B!$U$8:$U$62,"X16",B!$S$8:$S$62,"&lt;=9"))</f>
        <v/>
      </c>
      <c r="S29" s="21" t="str">
        <f>IF(OR((COUNTA(B!$V$8:$V$62)=0),(COUNTA(B!$X$8:$X$62)=0)),"",COUNTIFS(B!$X$8:$X$62,"X17",B!$V$8:$V$62,"&lt;=9"))</f>
        <v/>
      </c>
      <c r="T29" s="22" t="str">
        <f>IF(OR((COUNTA(B!$V$8:$V$62)=0),(COUNTA(B!$X$8:$X$62)=0)),"",COUNTIFS(B!$X$8:$X$62,"X18",B!$V$8:$V$62,"&lt;=9"))</f>
        <v/>
      </c>
      <c r="U29" s="22" t="str">
        <f>IF(OR((COUNTA(B!$V$8:$V$62)=0),(COUNTA(B!$X$8:$X$62)=0)),"",COUNTIFS(B!$X$8:$X$62,"X19",B!$V$8:$V$62,"&lt;=9"))</f>
        <v/>
      </c>
      <c r="V29" s="22" t="str">
        <f>IF(OR((COUNTA(B!$V$8:$V$62)=0),(COUNTA(B!$X$8:$X$62)=0)),"",COUNTIFS(B!$X$8:$X$62,"X20",B!$V$8:$V$62,"&lt;=9"))</f>
        <v/>
      </c>
      <c r="W29" s="22" t="str">
        <f>IF(OR((COUNTA(B!$V$8:$V$62)=0),(COUNTA(B!$X$8:$X$62)=0)),"",COUNTIFS(B!$X$8:$X$62,"X21",B!$V$8:$V$62,"&lt;=9"))</f>
        <v/>
      </c>
      <c r="X29" s="22" t="str">
        <f>IF(OR((COUNTA(B!$V$8:$V$62)=0),(COUNTA(B!$X$8:$X$62)=0)),"",COUNTIFS(B!$X$8:$X$62,"X22",B!$V$8:$V$62,"&lt;=9"))</f>
        <v/>
      </c>
      <c r="Y29" s="22" t="str">
        <f>IF(OR((COUNTA(B!$V$8:$V$62)=0),(COUNTA(B!$X$8:$X$62)=0)),"",COUNTIFS(B!$X$8:$X$62,"X23",B!$V$8:$V$62,"&lt;=9"))</f>
        <v/>
      </c>
      <c r="Z29" s="44" t="str">
        <f>IF(OR((COUNTA(B!$V$8:$V$62)=0),(COUNTA(B!$X$8:$X$62)=0)),"",COUNTIFS(B!$X$8:$X$62,"X24",B!$V$8:$V$62,"&lt;=9"))</f>
        <v/>
      </c>
    </row>
    <row r="30" spans="1:26" s="2" customFormat="1" ht="13.5" customHeight="1">
      <c r="A30" s="497" t="s">
        <v>174</v>
      </c>
      <c r="B30" s="35" t="s">
        <v>33</v>
      </c>
      <c r="C30" s="24" t="str">
        <f>IF(AND(C20="",C21="",C22="",C23="",C24="",C25="",C26="",C27="",C28="",C29=""),"",(SUM(C20:C23,C26,C27)))</f>
        <v/>
      </c>
      <c r="D30" s="25" t="str">
        <f t="shared" ref="D30" si="2">IF(AND(D20="",D21="",D22="",D23="",D24="",D25="",D26="",D27="",D28="",D29=""),"",(SUM(D20:D23,D26,D27)))</f>
        <v/>
      </c>
      <c r="E30" s="25" t="str">
        <f t="shared" ref="E30" si="3">IF(AND(E20="",E21="",E22="",E23="",E24="",E25="",E26="",E27="",E28="",E29=""),"",(SUM(E20:E23,E26,E27)))</f>
        <v/>
      </c>
      <c r="F30" s="25" t="str">
        <f t="shared" ref="F30" si="4">IF(AND(F20="",F21="",F22="",F23="",F24="",F25="",F26="",F27="",F28="",F29=""),"",(SUM(F20:F23,F26,F27)))</f>
        <v/>
      </c>
      <c r="G30" s="25" t="str">
        <f t="shared" ref="G30" si="5">IF(AND(G20="",G21="",G22="",G23="",G24="",G25="",G26="",G27="",G28="",G29=""),"",(SUM(G20:G23,G26,G27)))</f>
        <v/>
      </c>
      <c r="H30" s="25" t="str">
        <f t="shared" ref="H30" si="6">IF(AND(H20="",H21="",H22="",H23="",H24="",H25="",H26="",H27="",H28="",H29=""),"",(SUM(H20:H23,H26,H27)))</f>
        <v/>
      </c>
      <c r="I30" s="25" t="str">
        <f t="shared" ref="I30" si="7">IF(AND(I20="",I21="",I22="",I23="",I24="",I25="",I26="",I27="",I28="",I29=""),"",(SUM(I20:I23,I26,I27)))</f>
        <v/>
      </c>
      <c r="J30" s="45" t="str">
        <f t="shared" ref="J30" si="8">IF(AND(J20="",J21="",J22="",J23="",J24="",J25="",J26="",J27="",J28="",J29=""),"",(SUM(J20:J23,J26,J27)))</f>
        <v/>
      </c>
      <c r="K30" s="24" t="str">
        <f t="shared" ref="K30" si="9">IF(AND(K20="",K21="",K22="",K23="",K24="",K25="",K26="",K27="",K28="",K29=""),"",(SUM(K20:K23,K26,K27)))</f>
        <v/>
      </c>
      <c r="L30" s="25" t="str">
        <f t="shared" ref="L30" si="10">IF(AND(L20="",L21="",L22="",L23="",L24="",L25="",L26="",L27="",L28="",L29=""),"",(SUM(L20:L23,L26,L27)))</f>
        <v/>
      </c>
      <c r="M30" s="25" t="str">
        <f t="shared" ref="M30" si="11">IF(AND(M20="",M21="",M22="",M23="",M24="",M25="",M26="",M27="",M28="",M29=""),"",(SUM(M20:M23,M26,M27)))</f>
        <v/>
      </c>
      <c r="N30" s="25" t="str">
        <f t="shared" ref="N30" si="12">IF(AND(N20="",N21="",N22="",N23="",N24="",N25="",N26="",N27="",N28="",N29=""),"",(SUM(N20:N23,N26,N27)))</f>
        <v/>
      </c>
      <c r="O30" s="25" t="str">
        <f t="shared" ref="O30" si="13">IF(AND(O20="",O21="",O22="",O23="",O24="",O25="",O26="",O27="",O28="",O29=""),"",(SUM(O20:O23,O26,O27)))</f>
        <v/>
      </c>
      <c r="P30" s="25" t="str">
        <f t="shared" ref="P30" si="14">IF(AND(P20="",P21="",P22="",P23="",P24="",P25="",P26="",P27="",P28="",P29=""),"",(SUM(P20:P23,P26,P27)))</f>
        <v/>
      </c>
      <c r="Q30" s="25" t="str">
        <f t="shared" ref="Q30" si="15">IF(AND(Q20="",Q21="",Q22="",Q23="",Q24="",Q25="",Q26="",Q27="",Q28="",Q29=""),"",(SUM(Q20:Q23,Q26,Q27)))</f>
        <v/>
      </c>
      <c r="R30" s="48" t="str">
        <f t="shared" ref="R30" si="16">IF(AND(R20="",R21="",R22="",R23="",R24="",R25="",R26="",R27="",R28="",R29=""),"",(SUM(R20:R23,R26,R27)))</f>
        <v/>
      </c>
      <c r="S30" s="49" t="str">
        <f t="shared" ref="S30" si="17">IF(AND(S20="",S21="",S22="",S23="",S24="",S25="",S26="",S27="",S28="",S29=""),"",(SUM(S20:S23,S26,S27)))</f>
        <v/>
      </c>
      <c r="T30" s="25" t="str">
        <f t="shared" ref="T30" si="18">IF(AND(T20="",T21="",T22="",T23="",T24="",T25="",T26="",T27="",T28="",T29=""),"",(SUM(T20:T23,T26,T27)))</f>
        <v/>
      </c>
      <c r="U30" s="25" t="str">
        <f t="shared" ref="U30" si="19">IF(AND(U20="",U21="",U22="",U23="",U24="",U25="",U26="",U27="",U28="",U29=""),"",(SUM(U20:U23,U26,U27)))</f>
        <v/>
      </c>
      <c r="V30" s="25" t="str">
        <f t="shared" ref="V30" si="20">IF(AND(V20="",V21="",V22="",V23="",V24="",V25="",V26="",V27="",V28="",V29=""),"",(SUM(V20:V23,V26,V27)))</f>
        <v/>
      </c>
      <c r="W30" s="25" t="str">
        <f t="shared" ref="W30" si="21">IF(AND(W20="",W21="",W22="",W23="",W24="",W25="",W26="",W27="",W28="",W29=""),"",(SUM(W20:W23,W26,W27)))</f>
        <v/>
      </c>
      <c r="X30" s="25" t="str">
        <f t="shared" ref="X30" si="22">IF(AND(X20="",X21="",X22="",X23="",X24="",X25="",X26="",X27="",X28="",X29=""),"",(SUM(X20:X23,X26,X27)))</f>
        <v/>
      </c>
      <c r="Y30" s="25" t="str">
        <f t="shared" ref="Y30" si="23">IF(AND(Y20="",Y21="",Y22="",Y23="",Y24="",Y25="",Y26="",Y27="",Y28="",Y29=""),"",(SUM(Y20:Y23,Y26,Y27)))</f>
        <v/>
      </c>
      <c r="Z30" s="48" t="str">
        <f t="shared" ref="Z30" si="24">IF(AND(Z20="",Z21="",Z22="",Z23="",Z24="",Z25="",Z26="",Z27="",Z28="",Z29=""),"",(SUM(Z20:Z23,Z26,Z27)))</f>
        <v/>
      </c>
    </row>
    <row r="31" spans="1:26" s="2" customFormat="1" ht="13.5" customHeight="1">
      <c r="A31" s="498"/>
      <c r="B31" s="36" t="s">
        <v>169</v>
      </c>
      <c r="C31" s="27" t="str">
        <f>IF(C30="","",IF(C30=0,0,((C30/(SUM(C20:C25))*100))))</f>
        <v/>
      </c>
      <c r="D31" s="28" t="str">
        <f t="shared" ref="D31" si="25">IF(D30="","",IF(D30=0,0,((D30/(SUM(D20:D25))*100))))</f>
        <v/>
      </c>
      <c r="E31" s="28" t="str">
        <f t="shared" ref="E31" si="26">IF(E30="","",IF(E30=0,0,((E30/(SUM(E20:E25))*100))))</f>
        <v/>
      </c>
      <c r="F31" s="28" t="str">
        <f t="shared" ref="F31" si="27">IF(F30="","",IF(F30=0,0,((F30/(SUM(F20:F25))*100))))</f>
        <v/>
      </c>
      <c r="G31" s="28" t="str">
        <f t="shared" ref="G31" si="28">IF(G30="","",IF(G30=0,0,((G30/(SUM(G20:G25))*100))))</f>
        <v/>
      </c>
      <c r="H31" s="28" t="str">
        <f t="shared" ref="H31" si="29">IF(H30="","",IF(H30=0,0,((H30/(SUM(H20:H25))*100))))</f>
        <v/>
      </c>
      <c r="I31" s="28" t="str">
        <f t="shared" ref="I31" si="30">IF(I30="","",IF(I30=0,0,((I30/(SUM(I20:I25))*100))))</f>
        <v/>
      </c>
      <c r="J31" s="46" t="str">
        <f t="shared" ref="J31" si="31">IF(J30="","",IF(J30=0,0,((J30/(SUM(J20:J25))*100))))</f>
        <v/>
      </c>
      <c r="K31" s="27" t="str">
        <f t="shared" ref="K31" si="32">IF(K30="","",IF(K30=0,0,((K30/(SUM(K20:K25))*100))))</f>
        <v/>
      </c>
      <c r="L31" s="28" t="str">
        <f t="shared" ref="L31" si="33">IF(L30="","",IF(L30=0,0,((L30/(SUM(L20:L25))*100))))</f>
        <v/>
      </c>
      <c r="M31" s="28" t="str">
        <f t="shared" ref="M31" si="34">IF(M30="","",IF(M30=0,0,((M30/(SUM(M20:M25))*100))))</f>
        <v/>
      </c>
      <c r="N31" s="28" t="str">
        <f t="shared" ref="N31" si="35">IF(N30="","",IF(N30=0,0,((N30/(SUM(N20:N25))*100))))</f>
        <v/>
      </c>
      <c r="O31" s="28" t="str">
        <f t="shared" ref="O31" si="36">IF(O30="","",IF(O30=0,0,((O30/(SUM(O20:O25))*100))))</f>
        <v/>
      </c>
      <c r="P31" s="28" t="str">
        <f t="shared" ref="P31" si="37">IF(P30="","",IF(P30=0,0,((P30/(SUM(P20:P25))*100))))</f>
        <v/>
      </c>
      <c r="Q31" s="28" t="str">
        <f t="shared" ref="Q31" si="38">IF(Q30="","",IF(Q30=0,0,((Q30/(SUM(Q20:Q25))*100))))</f>
        <v/>
      </c>
      <c r="R31" s="50" t="str">
        <f t="shared" ref="R31" si="39">IF(R30="","",IF(R30=0,0,((R30/(SUM(R20:R25))*100))))</f>
        <v/>
      </c>
      <c r="S31" s="51" t="str">
        <f t="shared" ref="S31" si="40">IF(S30="","",IF(S30=0,0,((S30/(SUM(S20:S25))*100))))</f>
        <v/>
      </c>
      <c r="T31" s="28" t="str">
        <f t="shared" ref="T31" si="41">IF(T30="","",IF(T30=0,0,((T30/(SUM(T20:T25))*100))))</f>
        <v/>
      </c>
      <c r="U31" s="28" t="str">
        <f t="shared" ref="U31" si="42">IF(U30="","",IF(U30=0,0,((U30/(SUM(U20:U25))*100))))</f>
        <v/>
      </c>
      <c r="V31" s="28" t="str">
        <f t="shared" ref="V31" si="43">IF(V30="","",IF(V30=0,0,((V30/(SUM(V20:V25))*100))))</f>
        <v/>
      </c>
      <c r="W31" s="28" t="str">
        <f t="shared" ref="W31" si="44">IF(W30="","",IF(W30=0,0,((W30/(SUM(W20:W25))*100))))</f>
        <v/>
      </c>
      <c r="X31" s="28" t="str">
        <f t="shared" ref="X31" si="45">IF(X30="","",IF(X30=0,0,((X30/(SUM(X20:X25))*100))))</f>
        <v/>
      </c>
      <c r="Y31" s="28" t="str">
        <f t="shared" ref="Y31" si="46">IF(Y30="","",IF(Y30=0,0,((Y30/(SUM(Y20:Y25))*100))))</f>
        <v/>
      </c>
      <c r="Z31" s="50" t="str">
        <f t="shared" ref="Z31" si="47">IF(Z30="","",IF(Z30=0,0,((Z30/(SUM(Z20:Z25))*100))))</f>
        <v/>
      </c>
    </row>
    <row r="32" spans="1:26" s="2" customFormat="1" ht="13.5" customHeight="1">
      <c r="A32" s="499" t="s">
        <v>30</v>
      </c>
      <c r="B32" s="29" t="s">
        <v>28</v>
      </c>
      <c r="C32" s="9" t="str">
        <f>IF(OR((COUNTA('C'!$P$8:$P$62)=0),(COUNTA('C'!$R$8:$R$62)=0)),"",COUNTIFS('C'!$R$8:$R$62,"X01",'C'!$Q$8:$Q$62,"A"))</f>
        <v/>
      </c>
      <c r="D32" s="10" t="str">
        <f>IF(OR((COUNTA('C'!$P$8:$P$62)=0),(COUNTA('C'!$R$8:$R$62)=0)),"",COUNTIFS('C'!$R$8:$R$62,"X02",'C'!$Q$8:$Q$62,"A"))</f>
        <v/>
      </c>
      <c r="E32" s="11" t="str">
        <f>IF(OR((COUNTA('C'!$P$8:$P$62)=0),(COUNTA('C'!$R$8:$R$62)=0)),"",COUNTIFS('C'!$R$8:$R$62,"X03",'C'!$Q$8:$Q$62,"A"))</f>
        <v/>
      </c>
      <c r="F32" s="11" t="str">
        <f>IF(OR((COUNTA('C'!$P$8:$P$62)=0),(COUNTA('C'!$R$8:$R$62)=0)),"",COUNTIFS('C'!$R$8:$R$62,"X04",'C'!$Q$8:$Q$62,"A"))</f>
        <v/>
      </c>
      <c r="G32" s="11" t="str">
        <f>IF(OR((COUNTA('C'!$P$8:$P$62)=0),(COUNTA('C'!$R$8:$R$62)=0)),"",COUNTIFS('C'!$R$8:$R$62,"X05",'C'!$Q$8:$Q$62,"A"))</f>
        <v/>
      </c>
      <c r="H32" s="11" t="str">
        <f>IF(OR((COUNTA('C'!$P$8:$P$62)=0),(COUNTA('C'!$R$8:$R$62)=0)),"",COUNTIFS('C'!$R$8:$R$62,"X06",'C'!$Q$8:$Q$62,"A"))</f>
        <v/>
      </c>
      <c r="I32" s="11" t="str">
        <f>IF(OR((COUNTA('C'!$P$8:$P$62)=0),(COUNTA('C'!$R$8:$R$62)=0)),"",COUNTIFS('C'!$R$8:$R$62,"X07",'C'!$Q$8:$Q$62,"A"))</f>
        <v/>
      </c>
      <c r="J32" s="40" t="str">
        <f>IF(OR((COUNTA('C'!$P$8:$P$62)=0),(COUNTA('C'!$R$8:$R$62)=0)),"",COUNTIFS('C'!$R$8:$R$62,"X08",'C'!$Q$8:$Q$62,"A"))</f>
        <v/>
      </c>
      <c r="K32" s="41" t="str">
        <f>IF(OR((COUNTA('C'!$S$8:$S$62)=0),(COUNTA('C'!$U$8:$U$62)=0)),"",COUNTIFS('C'!$U$8:$U$62,"X09",'C'!$T$8:$T$62,"A"))</f>
        <v/>
      </c>
      <c r="L32" s="11" t="str">
        <f>IF(OR((COUNTA('C'!$S$8:$S$62)=0),(COUNTA('C'!$U$8:$U$62)=0)),"",COUNTIFS('C'!$U$8:$U$62,"X10",'C'!$T$8:$T$62,"A"))</f>
        <v/>
      </c>
      <c r="M32" s="11" t="str">
        <f>IF(OR((COUNTA('C'!$S$8:$S$62)=0),(COUNTA('C'!$U$8:$U$62)=0)),"",COUNTIFS('C'!$U$8:$U$62,"X11",'C'!$T$8:$T$62,"A"))</f>
        <v/>
      </c>
      <c r="N32" s="11" t="str">
        <f>IF(OR((COUNTA('C'!$S$8:$S$62)=0),(COUNTA('C'!$U$8:$U$62)=0)),"",COUNTIFS('C'!$U$8:$U$62,"X12",'C'!$T$8:$T$62,"A"))</f>
        <v/>
      </c>
      <c r="O32" s="11" t="str">
        <f>IF(OR((COUNTA('C'!$S$8:$S$62)=0),(COUNTA('C'!$U$8:$U$62)=0)),"",COUNTIFS('C'!$U$8:$U$62,"X13",'C'!$T$8:$T$62,"A"))</f>
        <v/>
      </c>
      <c r="P32" s="11" t="str">
        <f>IF(OR((COUNTA('C'!$S$8:$S$62)=0),(COUNTA('C'!$U$8:$U$62)=0)),"",COUNTIFS('C'!$U$8:$U$62,"X14",'C'!$T$8:$T$62,"A"))</f>
        <v/>
      </c>
      <c r="Q32" s="11" t="str">
        <f>IF(OR((COUNTA('C'!$S$8:$S$62)=0),(COUNTA('C'!$U$8:$U$62)=0)),"",COUNTIFS('C'!$U$8:$U$62,"X15",'C'!$T$8:$T$62,"A"))</f>
        <v/>
      </c>
      <c r="R32" s="40" t="str">
        <f>IF(OR((COUNTA('C'!$S$8:$S$62)=0),(COUNTA('C'!$U$8:$U$62)=0)),"",COUNTIFS('C'!$U$8:$U$62,"X16",'C'!$T$8:$T$62,"A"))</f>
        <v/>
      </c>
      <c r="S32" s="41" t="str">
        <f>IF(OR((COUNTA('C'!$V$8:$V$62)=0),(COUNTA('C'!$X$8:$X$62)=0)),"",COUNTIFS('C'!$X$8:$X$62,"X17",'C'!$W$8:$W$62,"A"))</f>
        <v/>
      </c>
      <c r="T32" s="11" t="str">
        <f>IF(OR((COUNTA('C'!$V$8:$V$62)=0),(COUNTA('C'!$X$8:$X$62)=0)),"",COUNTIFS('C'!$X$8:$X$62,"X18",'C'!$W$8:$W$62,"A"))</f>
        <v/>
      </c>
      <c r="U32" s="11" t="str">
        <f>IF(OR((COUNTA('C'!$V$8:$V$62)=0),(COUNTA('C'!$X$8:$X$62)=0)),"",COUNTIFS('C'!$X$8:$X$62,"X19",'C'!$W$8:$W$62,"A"))</f>
        <v/>
      </c>
      <c r="V32" s="11" t="str">
        <f>IF(OR((COUNTA('C'!$V$8:$V$62)=0),(COUNTA('C'!$X$8:$X$62)=0)),"",COUNTIFS('C'!$X$8:$X$62,"X20",'C'!$W$8:$W$62,"A"))</f>
        <v/>
      </c>
      <c r="W32" s="11" t="str">
        <f>IF(OR((COUNTA('C'!$V$8:$V$62)=0),(COUNTA('C'!$X$8:$X$62)=0)),"",COUNTIFS('C'!$X$8:$X$62,"X21",'C'!$W$8:$W$62,"A"))</f>
        <v/>
      </c>
      <c r="X32" s="11" t="str">
        <f>IF(OR((COUNTA('C'!$V$8:$V$62)=0),(COUNTA('C'!$X$8:$X$62)=0)),"",COUNTIFS('C'!$X$8:$X$62,"X22",'C'!$W$8:$W$62,"A"))</f>
        <v/>
      </c>
      <c r="Y32" s="11" t="str">
        <f>IF(OR((COUNTA('C'!$V$8:$V$62)=0),(COUNTA('C'!$X$8:$X$62)=0)),"",COUNTIFS('C'!$X$8:$X$62,"X23",'C'!$W$8:$W$62,"A"))</f>
        <v/>
      </c>
      <c r="Z32" s="40" t="str">
        <f>IF(OR((COUNTA('C'!$V$8:$V$62)=0),(COUNTA('C'!$X$8:$X$62)=0)),"",COUNTIFS('C'!$X$8:$X$62,"X24",'C'!$W$8:$W$62,"A"))</f>
        <v/>
      </c>
    </row>
    <row r="33" spans="1:26" s="2" customFormat="1" ht="13.5" customHeight="1">
      <c r="A33" s="500"/>
      <c r="B33" s="30" t="s">
        <v>29</v>
      </c>
      <c r="C33" s="13" t="str">
        <f>IF(OR((COUNTA('C'!$P$8:$P$62)=0),(COUNTA('C'!$R$8:$R$62)=0)),"",COUNTIFS('C'!$R$8:$R$62,"X01",'C'!$Q$8:$Q$62,"B"))</f>
        <v/>
      </c>
      <c r="D33" s="14" t="str">
        <f>IF(OR((COUNTA('C'!$P$8:$P$62)=0),(COUNTA('C'!$R$8:$R$62)=0)),"",COUNTIFS('C'!$R$8:$R$62,"X02",'C'!$Q$8:$Q$62,"B"))</f>
        <v/>
      </c>
      <c r="E33" s="14" t="str">
        <f>IF(OR((COUNTA('C'!$P$8:$P$62)=0),(COUNTA('C'!$R$8:$R$62)=0)),"",COUNTIFS('C'!$R$8:$R$62,"X03",'C'!$Q$8:$Q$62,"B"))</f>
        <v/>
      </c>
      <c r="F33" s="14" t="str">
        <f>IF(OR((COUNTA('C'!$P$8:$P$62)=0),(COUNTA('C'!$R$8:$R$62)=0)),"",COUNTIFS('C'!$R$8:$R$62,"X04",'C'!$Q$8:$Q$62,"B"))</f>
        <v/>
      </c>
      <c r="G33" s="14" t="str">
        <f>IF(OR((COUNTA('C'!$P$8:$P$62)=0),(COUNTA('C'!$R$8:$R$62)=0)),"",COUNTIFS('C'!$R$8:$R$62,"X05",'C'!$Q$8:$Q$62,"B"))</f>
        <v/>
      </c>
      <c r="H33" s="14" t="str">
        <f>IF(OR((COUNTA('C'!$P$8:$P$62)=0),(COUNTA('C'!$R$8:$R$62)=0)),"",COUNTIFS('C'!$R$8:$R$62,"X06",'C'!$Q$8:$Q$62,"B"))</f>
        <v/>
      </c>
      <c r="I33" s="14" t="str">
        <f>IF(OR((COUNTA('C'!$P$8:$P$62)=0),(COUNTA('C'!$R$8:$R$62)=0)),"",COUNTIFS('C'!$R$8:$R$62,"X07",'C'!$Q$8:$Q$62,"B"))</f>
        <v/>
      </c>
      <c r="J33" s="42" t="str">
        <f>IF(OR((COUNTA('C'!$P$8:$P$62)=0),(COUNTA('C'!$R$8:$R$62)=0)),"",COUNTIFS('C'!$R$8:$R$62,"X08",'C'!$Q$8:$Q$62,"B"))</f>
        <v/>
      </c>
      <c r="K33" s="13" t="str">
        <f>IF(OR((COUNTA('C'!$S$8:$S$62)=0),(COUNTA('C'!$U$8:$U$62)=0)),"",COUNTIFS('C'!$U$8:$U$62,"X09",'C'!$T$8:$T$62,"B"))</f>
        <v/>
      </c>
      <c r="L33" s="14" t="str">
        <f>IF(OR((COUNTA('C'!$S$8:$S$62)=0),(COUNTA('C'!$U$8:$U$62)=0)),"",COUNTIFS('C'!$U$8:$U$62,"X10",'C'!$T$8:$T$62,"B"))</f>
        <v/>
      </c>
      <c r="M33" s="14" t="str">
        <f>IF(OR((COUNTA('C'!$S$8:$S$62)=0),(COUNTA('C'!$U$8:$U$62)=0)),"",COUNTIFS('C'!$U$8:$U$62,"X11",'C'!$T$8:$T$62,"B"))</f>
        <v/>
      </c>
      <c r="N33" s="14" t="str">
        <f>IF(OR((COUNTA('C'!$S$8:$S$62)=0),(COUNTA('C'!$U$8:$U$62)=0)),"",COUNTIFS('C'!$U$8:$U$62,"X12",'C'!$T$8:$T$62,"B"))</f>
        <v/>
      </c>
      <c r="O33" s="14" t="str">
        <f>IF(OR((COUNTA('C'!$S$8:$S$62)=0),(COUNTA('C'!$U$8:$U$62)=0)),"",COUNTIFS('C'!$U$8:$U$62,"X13",'C'!$T$8:$T$62,"B"))</f>
        <v/>
      </c>
      <c r="P33" s="14" t="str">
        <f>IF(OR((COUNTA('C'!$S$8:$S$62)=0),(COUNTA('C'!$U$8:$U$62)=0)),"",COUNTIFS('C'!$U$8:$U$62,"X14",'C'!$T$8:$T$62,"B"))</f>
        <v/>
      </c>
      <c r="Q33" s="14" t="str">
        <f>IF(OR((COUNTA('C'!$S$8:$S$62)=0),(COUNTA('C'!$U$8:$U$62)=0)),"",COUNTIFS('C'!$U$8:$U$62,"X15",'C'!$T$8:$T$62,"B"))</f>
        <v/>
      </c>
      <c r="R33" s="42" t="str">
        <f>IF(OR((COUNTA('C'!$S$8:$S$62)=0),(COUNTA('C'!$U$8:$U$62)=0)),"",COUNTIFS('C'!$U$8:$U$62,"X16",'C'!$T$8:$T$62,"B"))</f>
        <v/>
      </c>
      <c r="S33" s="13" t="str">
        <f>IF(OR((COUNTA('C'!$V$8:$V$62)=0),(COUNTA('C'!$X$8:$X$62)=0)),"",COUNTIFS('C'!$X$8:$X$62,"X17",'C'!$W$8:$W$62,"B"))</f>
        <v/>
      </c>
      <c r="T33" s="14" t="str">
        <f>IF(OR((COUNTA('C'!$V$8:$V$62)=0),(COUNTA('C'!$X$8:$X$62)=0)),"",COUNTIFS('C'!$X$8:$X$62,"X18",'C'!$W$8:$W$62,"B"))</f>
        <v/>
      </c>
      <c r="U33" s="14" t="str">
        <f>IF(OR((COUNTA('C'!$V$8:$V$62)=0),(COUNTA('C'!$X$8:$X$62)=0)),"",COUNTIFS('C'!$X$8:$X$62,"X19",'C'!$W$8:$W$62,"B"))</f>
        <v/>
      </c>
      <c r="V33" s="14" t="str">
        <f>IF(OR((COUNTA('C'!$V$8:$V$62)=0),(COUNTA('C'!$X$8:$X$62)=0)),"",COUNTIFS('C'!$X$8:$X$62,"X20",'C'!$W$8:$W$62,"B"))</f>
        <v/>
      </c>
      <c r="W33" s="14" t="str">
        <f>IF(OR((COUNTA('C'!$V$8:$V$62)=0),(COUNTA('C'!$X$8:$X$62)=0)),"",COUNTIFS('C'!$X$8:$X$62,"X21",'C'!$W$8:$W$62,"B"))</f>
        <v/>
      </c>
      <c r="X33" s="14" t="str">
        <f>IF(OR((COUNTA('C'!$V$8:$V$62)=0),(COUNTA('C'!$X$8:$X$62)=0)),"",COUNTIFS('C'!$X$8:$X$62,"X22",'C'!$W$8:$W$62,"B"))</f>
        <v/>
      </c>
      <c r="Y33" s="14" t="str">
        <f>IF(OR((COUNTA('C'!$V$8:$V$62)=0),(COUNTA('C'!$X$8:$X$62)=0)),"",COUNTIFS('C'!$X$8:$X$62,"X23",'C'!$W$8:$W$62,"B"))</f>
        <v/>
      </c>
      <c r="Z33" s="42" t="str">
        <f>IF(OR((COUNTA('C'!$V$8:$V$62)=0),(COUNTA('C'!$X$8:$X$62)=0)),"",COUNTIFS('C'!$X$8:$X$62,"X24",'C'!$W$8:$W$62,"B"))</f>
        <v/>
      </c>
    </row>
    <row r="34" spans="1:26" s="2" customFormat="1" ht="13.5" customHeight="1">
      <c r="A34" s="500"/>
      <c r="B34" s="30" t="s">
        <v>30</v>
      </c>
      <c r="C34" s="13" t="str">
        <f>IF(OR((COUNTA('C'!$P$8:$P$62)=0),(COUNTA('C'!$R$8:$R$62)=0)),"",COUNTIFS('C'!$R$8:$R$62,"X01",'C'!$Q$8:$Q$62,"C"))</f>
        <v/>
      </c>
      <c r="D34" s="14" t="str">
        <f>IF(OR((COUNTA('C'!$P$8:$P$62)=0),(COUNTA('C'!$R$8:$R$62)=0)),"",COUNTIFS('C'!$R$8:$R$62,"X02",'C'!$Q$8:$Q$62,"C"))</f>
        <v/>
      </c>
      <c r="E34" s="14" t="str">
        <f>IF(OR((COUNTA('C'!$P$8:$P$62)=0),(COUNTA('C'!$R$8:$R$62)=0)),"",COUNTIFS('C'!$R$8:$R$62,"X03",'C'!$Q$8:$Q$62,"C"))</f>
        <v/>
      </c>
      <c r="F34" s="14" t="str">
        <f>IF(OR((COUNTA('C'!$P$8:$P$62)=0),(COUNTA('C'!$R$8:$R$62)=0)),"",COUNTIFS('C'!$R$8:$R$62,"X04",'C'!$Q$8:$Q$62,"C"))</f>
        <v/>
      </c>
      <c r="G34" s="14" t="str">
        <f>IF(OR((COUNTA('C'!$P$8:$P$62)=0),(COUNTA('C'!$R$8:$R$62)=0)),"",COUNTIFS('C'!$R$8:$R$62,"X05",'C'!$Q$8:$Q$62,"C"))</f>
        <v/>
      </c>
      <c r="H34" s="14" t="str">
        <f>IF(OR((COUNTA('C'!$P$8:$P$62)=0),(COUNTA('C'!$R$8:$R$62)=0)),"",COUNTIFS('C'!$R$8:$R$62,"X06",'C'!$Q$8:$Q$62,"C"))</f>
        <v/>
      </c>
      <c r="I34" s="14" t="str">
        <f>IF(OR((COUNTA('C'!$P$8:$P$62)=0),(COUNTA('C'!$R$8:$R$62)=0)),"",COUNTIFS('C'!$R$8:$R$62,"X07",'C'!$Q$8:$Q$62,"C"))</f>
        <v/>
      </c>
      <c r="J34" s="42" t="str">
        <f>IF(OR((COUNTA('C'!$P$8:$P$62)=0),(COUNTA('C'!$R$8:$R$62)=0)),"",COUNTIFS('C'!$R$8:$R$62,"X08",'C'!$Q$8:$Q$62,"C"))</f>
        <v/>
      </c>
      <c r="K34" s="13" t="str">
        <f>IF(OR((COUNTA('C'!$S$8:$S$62)=0),(COUNTA('C'!$U$8:$U$62)=0)),"",COUNTIFS('C'!$U$8:$U$62,"X09",'C'!$T$8:$T$62,"C"))</f>
        <v/>
      </c>
      <c r="L34" s="14" t="str">
        <f>IF(OR((COUNTA('C'!$S$8:$S$62)=0),(COUNTA('C'!$U$8:$U$62)=0)),"",COUNTIFS('C'!$U$8:$U$62,"X10",'C'!$T$8:$T$62,"C"))</f>
        <v/>
      </c>
      <c r="M34" s="14" t="str">
        <f>IF(OR((COUNTA('C'!$S$8:$S$62)=0),(COUNTA('C'!$U$8:$U$62)=0)),"",COUNTIFS('C'!$U$8:$U$62,"X11",'C'!$T$8:$T$62,"C"))</f>
        <v/>
      </c>
      <c r="N34" s="14" t="str">
        <f>IF(OR((COUNTA('C'!$S$8:$S$62)=0),(COUNTA('C'!$U$8:$U$62)=0)),"",COUNTIFS('C'!$U$8:$U$62,"X12",'C'!$T$8:$T$62,"C"))</f>
        <v/>
      </c>
      <c r="O34" s="14" t="str">
        <f>IF(OR((COUNTA('C'!$S$8:$S$62)=0),(COUNTA('C'!$U$8:$U$62)=0)),"",COUNTIFS('C'!$U$8:$U$62,"X13",'C'!$T$8:$T$62,"C"))</f>
        <v/>
      </c>
      <c r="P34" s="14" t="str">
        <f>IF(OR((COUNTA('C'!$S$8:$S$62)=0),(COUNTA('C'!$U$8:$U$62)=0)),"",COUNTIFS('C'!$U$8:$U$62,"X14",'C'!$T$8:$T$62,"C"))</f>
        <v/>
      </c>
      <c r="Q34" s="14" t="str">
        <f>IF(OR((COUNTA('C'!$S$8:$S$62)=0),(COUNTA('C'!$U$8:$U$62)=0)),"",COUNTIFS('C'!$U$8:$U$62,"X15",'C'!$T$8:$T$62,"C"))</f>
        <v/>
      </c>
      <c r="R34" s="42" t="str">
        <f>IF(OR((COUNTA('C'!$S$8:$S$62)=0),(COUNTA('C'!$U$8:$U$62)=0)),"",COUNTIFS('C'!$U$8:$U$62,"X16",'C'!$T$8:$T$62,"C"))</f>
        <v/>
      </c>
      <c r="S34" s="13" t="str">
        <f>IF(OR((COUNTA('C'!$V$8:$V$62)=0),(COUNTA('C'!$X$8:$X$62)=0)),"",COUNTIFS('C'!$X$8:$X$62,"X17",'C'!$W$8:$W$62,"C"))</f>
        <v/>
      </c>
      <c r="T34" s="14" t="str">
        <f>IF(OR((COUNTA('C'!$V$8:$V$62)=0),(COUNTA('C'!$X$8:$X$62)=0)),"",COUNTIFS('C'!$X$8:$X$62,"X18",'C'!$W$8:$W$62,"C"))</f>
        <v/>
      </c>
      <c r="U34" s="14" t="str">
        <f>IF(OR((COUNTA('C'!$V$8:$V$62)=0),(COUNTA('C'!$X$8:$X$62)=0)),"",COUNTIFS('C'!$X$8:$X$62,"X19",'C'!$W$8:$W$62,"C"))</f>
        <v/>
      </c>
      <c r="V34" s="14" t="str">
        <f>IF(OR((COUNTA('C'!$V$8:$V$62)=0),(COUNTA('C'!$X$8:$X$62)=0)),"",COUNTIFS('C'!$X$8:$X$62,"X20",'C'!$W$8:$W$62,"C"))</f>
        <v/>
      </c>
      <c r="W34" s="14" t="str">
        <f>IF(OR((COUNTA('C'!$V$8:$V$62)=0),(COUNTA('C'!$X$8:$X$62)=0)),"",COUNTIFS('C'!$X$8:$X$62,"X21",'C'!$W$8:$W$62,"C"))</f>
        <v/>
      </c>
      <c r="X34" s="14" t="str">
        <f>IF(OR((COUNTA('C'!$V$8:$V$62)=0),(COUNTA('C'!$X$8:$X$62)=0)),"",COUNTIFS('C'!$X$8:$X$62,"X22",'C'!$W$8:$W$62,"C"))</f>
        <v/>
      </c>
      <c r="Y34" s="14" t="str">
        <f>IF(OR((COUNTA('C'!$V$8:$V$62)=0),(COUNTA('C'!$X$8:$X$62)=0)),"",COUNTIFS('C'!$X$8:$X$62,"X23",'C'!$W$8:$W$62,"C"))</f>
        <v/>
      </c>
      <c r="Z34" s="42" t="str">
        <f>IF(OR((COUNTA('C'!$V$8:$V$62)=0),(COUNTA('C'!$X$8:$X$62)=0)),"",COUNTIFS('C'!$X$8:$X$62,"X24",'C'!$W$8:$W$62,"C"))</f>
        <v/>
      </c>
    </row>
    <row r="35" spans="1:26" s="2" customFormat="1" ht="13.5" customHeight="1">
      <c r="A35" s="500"/>
      <c r="B35" s="30" t="s">
        <v>31</v>
      </c>
      <c r="C35" s="13" t="str">
        <f>IF(OR((COUNTA('C'!$P$8:$P$62)=0),(COUNTA('C'!$R$8:$R$62)=0)),"",COUNTIFS('C'!$R$8:$R$62,"X01",'C'!$Q$8:$Q$62,"S"))</f>
        <v/>
      </c>
      <c r="D35" s="14" t="str">
        <f>IF(OR((COUNTA('C'!$P$8:$P$62)=0),(COUNTA('C'!$R$8:$R$62)=0)),"",COUNTIFS('C'!$R$8:$R$62,"X02",'C'!$Q$8:$Q$62,"S"))</f>
        <v/>
      </c>
      <c r="E35" s="14" t="str">
        <f>IF(OR((COUNTA('C'!$P$8:$P$62)=0),(COUNTA('C'!$R$8:$R$62)=0)),"",COUNTIFS('C'!$R$8:$R$62,"X03",'C'!$Q$8:$Q$62,"S"))</f>
        <v/>
      </c>
      <c r="F35" s="14" t="str">
        <f>IF(OR((COUNTA('C'!$P$8:$P$62)=0),(COUNTA('C'!$R$8:$R$62)=0)),"",COUNTIFS('C'!$R$8:$R$62,"X04",'C'!$Q$8:$Q$62,"S"))</f>
        <v/>
      </c>
      <c r="G35" s="14" t="str">
        <f>IF(OR((COUNTA('C'!$P$8:$P$62)=0),(COUNTA('C'!$R$8:$R$62)=0)),"",COUNTIFS('C'!$R$8:$R$62,"X05",'C'!$Q$8:$Q$62,"S"))</f>
        <v/>
      </c>
      <c r="H35" s="14" t="str">
        <f>IF(OR((COUNTA('C'!$P$8:$P$62)=0),(COUNTA('C'!$R$8:$R$62)=0)),"",COUNTIFS('C'!$R$8:$R$62,"X06",'C'!$Q$8:$Q$62,"S"))</f>
        <v/>
      </c>
      <c r="I35" s="14" t="str">
        <f>IF(OR((COUNTA('C'!$P$8:$P$62)=0),(COUNTA('C'!$R$8:$R$62)=0)),"",COUNTIFS('C'!$R$8:$R$62,"X07",'C'!$Q$8:$Q$62,"S"))</f>
        <v/>
      </c>
      <c r="J35" s="42" t="str">
        <f>IF(OR((COUNTA('C'!$P$8:$P$62)=0),(COUNTA('C'!$R$8:$R$62)=0)),"",COUNTIFS('C'!$R$8:$R$62,"X08",'C'!$Q$8:$Q$62,"S"))</f>
        <v/>
      </c>
      <c r="K35" s="13" t="str">
        <f>IF(OR((COUNTA('C'!$S$8:$S$62)=0),(COUNTA('C'!$U$8:$U$62)=0)),"",COUNTIFS('C'!$U$8:$U$62,"X09",'C'!$T$8:$T$62,"S"))</f>
        <v/>
      </c>
      <c r="L35" s="14" t="str">
        <f>IF(OR((COUNTA('C'!$S$8:$S$62)=0),(COUNTA('C'!$U$8:$U$62)=0)),"",COUNTIFS('C'!$U$8:$U$62,"X10",'C'!$T$8:$T$62,"S"))</f>
        <v/>
      </c>
      <c r="M35" s="14" t="str">
        <f>IF(OR((COUNTA('C'!$S$8:$S$62)=0),(COUNTA('C'!$U$8:$U$62)=0)),"",COUNTIFS('C'!$U$8:$U$62,"X11",'C'!$T$8:$T$62,"S"))</f>
        <v/>
      </c>
      <c r="N35" s="14" t="str">
        <f>IF(OR((COUNTA('C'!$S$8:$S$62)=0),(COUNTA('C'!$U$8:$U$62)=0)),"",COUNTIFS('C'!$U$8:$U$62,"X12",'C'!$T$8:$T$62,"S"))</f>
        <v/>
      </c>
      <c r="O35" s="14" t="str">
        <f>IF(OR((COUNTA('C'!$S$8:$S$62)=0),(COUNTA('C'!$U$8:$U$62)=0)),"",COUNTIFS('C'!$U$8:$U$62,"X13",'C'!$T$8:$T$62,"S"))</f>
        <v/>
      </c>
      <c r="P35" s="14" t="str">
        <f>IF(OR((COUNTA('C'!$S$8:$S$62)=0),(COUNTA('C'!$U$8:$U$62)=0)),"",COUNTIFS('C'!$U$8:$U$62,"X14",'C'!$T$8:$T$62,"S"))</f>
        <v/>
      </c>
      <c r="Q35" s="14" t="str">
        <f>IF(OR((COUNTA('C'!$S$8:$S$62)=0),(COUNTA('C'!$U$8:$U$62)=0)),"",COUNTIFS('C'!$U$8:$U$62,"X15",'C'!$T$8:$T$62,"S"))</f>
        <v/>
      </c>
      <c r="R35" s="42" t="str">
        <f>IF(OR((COUNTA('C'!$S$8:$S$62)=0),(COUNTA('C'!$U$8:$U$62)=0)),"",COUNTIFS('C'!$U$8:$U$62,"X16",'C'!$T$8:$T$62,"S"))</f>
        <v/>
      </c>
      <c r="S35" s="13" t="str">
        <f>IF(OR((COUNTA('C'!$V$8:$V$62)=0),(COUNTA('C'!$X$8:$X$62)=0)),"",COUNTIFS('C'!$X$8:$X$62,"X17",'C'!$W$8:$W$62,"S"))</f>
        <v/>
      </c>
      <c r="T35" s="14" t="str">
        <f>IF(OR((COUNTA('C'!$V$8:$V$62)=0),(COUNTA('C'!$X$8:$X$62)=0)),"",COUNTIFS('C'!$X$8:$X$62,"X18",'C'!$W$8:$W$62,"S"))</f>
        <v/>
      </c>
      <c r="U35" s="14" t="str">
        <f>IF(OR((COUNTA('C'!$V$8:$V$62)=0),(COUNTA('C'!$X$8:$X$62)=0)),"",COUNTIFS('C'!$X$8:$X$62,"X19",'C'!$W$8:$W$62,"S"))</f>
        <v/>
      </c>
      <c r="V35" s="14" t="str">
        <f>IF(OR((COUNTA('C'!$V$8:$V$62)=0),(COUNTA('C'!$X$8:$X$62)=0)),"",COUNTIFS('C'!$X$8:$X$62,"X20",'C'!$W$8:$W$62,"S"))</f>
        <v/>
      </c>
      <c r="W35" s="14" t="str">
        <f>IF(OR((COUNTA('C'!$V$8:$V$62)=0),(COUNTA('C'!$X$8:$X$62)=0)),"",COUNTIFS('C'!$X$8:$X$62,"X21",'C'!$W$8:$W$62,"S"))</f>
        <v/>
      </c>
      <c r="X35" s="14" t="str">
        <f>IF(OR((COUNTA('C'!$V$8:$V$62)=0),(COUNTA('C'!$X$8:$X$62)=0)),"",COUNTIFS('C'!$X$8:$X$62,"X22",'C'!$W$8:$W$62,"S"))</f>
        <v/>
      </c>
      <c r="Y35" s="14" t="str">
        <f>IF(OR((COUNTA('C'!$V$8:$V$62)=0),(COUNTA('C'!$X$8:$X$62)=0)),"",COUNTIFS('C'!$X$8:$X$62,"X23",'C'!$W$8:$W$62,"S"))</f>
        <v/>
      </c>
      <c r="Z35" s="42" t="str">
        <f>IF(OR((COUNTA('C'!$V$8:$V$62)=0),(COUNTA('C'!$X$8:$X$62)=0)),"",COUNTIFS('C'!$X$8:$X$62,"X24",'C'!$W$8:$W$62,"S"))</f>
        <v/>
      </c>
    </row>
    <row r="36" spans="1:26" s="2" customFormat="1" ht="13.5" customHeight="1">
      <c r="A36" s="500"/>
      <c r="B36" s="31" t="s">
        <v>32</v>
      </c>
      <c r="C36" s="16" t="str">
        <f>IF(OR((COUNTA('C'!$P$8:$P$62)=0),(COUNTA('C'!$R$8:$R$62)=0)),"",COUNTIFS('C'!$R$8:$R$62,"X01",'C'!$Q$8:$Q$62,"W"))</f>
        <v/>
      </c>
      <c r="D36" s="17" t="str">
        <f>IF(OR((COUNTA('C'!$P$8:$P$62)=0),(COUNTA('C'!$R$8:$R$62)=0)),"",COUNTIFS('C'!$R$8:$R$62,"X02",'C'!$Q$8:$Q$62,"W"))</f>
        <v/>
      </c>
      <c r="E36" s="17" t="str">
        <f>IF(OR((COUNTA('C'!$P$8:$P$62)=0),(COUNTA('C'!$R$8:$R$62)=0)),"",COUNTIFS('C'!$R$8:$R$62,"X03",'C'!$Q$8:$Q$62,"W"))</f>
        <v/>
      </c>
      <c r="F36" s="17" t="str">
        <f>IF(OR((COUNTA('C'!$P$8:$P$62)=0),(COUNTA('C'!$R$8:$R$62)=0)),"",COUNTIFS('C'!$R$8:$R$62,"X04",'C'!$Q$8:$Q$62,"W"))</f>
        <v/>
      </c>
      <c r="G36" s="17" t="str">
        <f>IF(OR((COUNTA('C'!$P$8:$P$62)=0),(COUNTA('C'!$R$8:$R$62)=0)),"",COUNTIFS('C'!$R$8:$R$62,"X05",'C'!$Q$8:$Q$62,"W"))</f>
        <v/>
      </c>
      <c r="H36" s="17" t="str">
        <f>IF(OR((COUNTA('C'!$P$8:$P$62)=0),(COUNTA('C'!$R$8:$R$62)=0)),"",COUNTIFS('C'!$R$8:$R$62,"X06",'C'!$Q$8:$Q$62,"W"))</f>
        <v/>
      </c>
      <c r="I36" s="17" t="str">
        <f>IF(OR((COUNTA('C'!$P$8:$P$62)=0),(COUNTA('C'!$R$8:$R$62)=0)),"",COUNTIFS('C'!$R$8:$R$62,"X07",'C'!$Q$8:$Q$62,"W"))</f>
        <v/>
      </c>
      <c r="J36" s="43" t="str">
        <f>IF(OR((COUNTA('C'!$P$8:$P$62)=0),(COUNTA('C'!$R$8:$R$62)=0)),"",COUNTIFS('C'!$R$8:$R$62,"X08",'C'!$Q$8:$Q$62,"W"))</f>
        <v/>
      </c>
      <c r="K36" s="16" t="str">
        <f>IF(OR((COUNTA('C'!$S$8:$S$62)=0),(COUNTA('C'!$U$8:$U$62)=0)),"",COUNTIFS('C'!$U$8:$U$62,"X09",'C'!$T$8:$T$62,"W"))</f>
        <v/>
      </c>
      <c r="L36" s="17" t="str">
        <f>IF(OR((COUNTA('C'!$S$8:$S$62)=0),(COUNTA('C'!$U$8:$U$62)=0)),"",COUNTIFS('C'!$U$8:$U$62,"X10",'C'!$T$8:$T$62,"W"))</f>
        <v/>
      </c>
      <c r="M36" s="17" t="str">
        <f>IF(OR((COUNTA('C'!$S$8:$S$62)=0),(COUNTA('C'!$U$8:$U$62)=0)),"",COUNTIFS('C'!$U$8:$U$62,"X11",'C'!$T$8:$T$62,"W"))</f>
        <v/>
      </c>
      <c r="N36" s="17" t="str">
        <f>IF(OR((COUNTA('C'!$S$8:$S$62)=0),(COUNTA('C'!$U$8:$U$62)=0)),"",COUNTIFS('C'!$U$8:$U$62,"X12",'C'!$T$8:$T$62,"W"))</f>
        <v/>
      </c>
      <c r="O36" s="17" t="str">
        <f>IF(OR((COUNTA('C'!$S$8:$S$62)=0),(COUNTA('C'!$U$8:$U$62)=0)),"",COUNTIFS('C'!$U$8:$U$62,"X13",'C'!$T$8:$T$62,"W"))</f>
        <v/>
      </c>
      <c r="P36" s="17" t="str">
        <f>IF(OR((COUNTA('C'!$S$8:$S$62)=0),(COUNTA('C'!$U$8:$U$62)=0)),"",COUNTIFS('C'!$U$8:$U$62,"X14",'C'!$T$8:$T$62,"W"))</f>
        <v/>
      </c>
      <c r="Q36" s="17" t="str">
        <f>IF(OR((COUNTA('C'!$S$8:$S$62)=0),(COUNTA('C'!$U$8:$U$62)=0)),"",COUNTIFS('C'!$U$8:$U$62,"X15",'C'!$T$8:$T$62,"W"))</f>
        <v/>
      </c>
      <c r="R36" s="43" t="str">
        <f>IF(OR((COUNTA('C'!$S$8:$S$62)=0),(COUNTA('C'!$U$8:$U$62)=0)),"",COUNTIFS('C'!$U$8:$U$62,"X16",'C'!$T$8:$T$62,"W"))</f>
        <v/>
      </c>
      <c r="S36" s="16" t="str">
        <f>IF(OR((COUNTA('C'!$V$8:$V$62)=0),(COUNTA('C'!$X$8:$X$62)=0)),"",COUNTIFS('C'!$X$8:$X$62,"X17",'C'!$W$8:$W$62,"W"))</f>
        <v/>
      </c>
      <c r="T36" s="17" t="str">
        <f>IF(OR((COUNTA('C'!$V$8:$V$62)=0),(COUNTA('C'!$X$8:$X$62)=0)),"",COUNTIFS('C'!$X$8:$X$62,"X18",'C'!$W$8:$W$62,"W"))</f>
        <v/>
      </c>
      <c r="U36" s="17" t="str">
        <f>IF(OR((COUNTA('C'!$V$8:$V$62)=0),(COUNTA('C'!$X$8:$X$62)=0)),"",COUNTIFS('C'!$X$8:$X$62,"X19",'C'!$W$8:$W$62,"W"))</f>
        <v/>
      </c>
      <c r="V36" s="17" t="str">
        <f>IF(OR((COUNTA('C'!$V$8:$V$62)=0),(COUNTA('C'!$X$8:$X$62)=0)),"",COUNTIFS('C'!$X$8:$X$62,"X20",'C'!$W$8:$W$62,"W"))</f>
        <v/>
      </c>
      <c r="W36" s="17" t="str">
        <f>IF(OR((COUNTA('C'!$V$8:$V$62)=0),(COUNTA('C'!$X$8:$X$62)=0)),"",COUNTIFS('C'!$X$8:$X$62,"X21",'C'!$W$8:$W$62,"W"))</f>
        <v/>
      </c>
      <c r="X36" s="17" t="str">
        <f>IF(OR((COUNTA('C'!$V$8:$V$62)=0),(COUNTA('C'!$X$8:$X$62)=0)),"",COUNTIFS('C'!$X$8:$X$62,"X22",'C'!$W$8:$W$62,"W"))</f>
        <v/>
      </c>
      <c r="Y36" s="17" t="str">
        <f>IF(OR((COUNTA('C'!$V$8:$V$62)=0),(COUNTA('C'!$X$8:$X$62)=0)),"",COUNTIFS('C'!$X$8:$X$62,"X23",'C'!$W$8:$W$62,"W"))</f>
        <v/>
      </c>
      <c r="Z36" s="43" t="str">
        <f>IF(OR((COUNTA('C'!$V$8:$V$62)=0),(COUNTA('C'!$X$8:$X$62)=0)),"",COUNTIFS('C'!$X$8:$X$62,"X24",'C'!$W$8:$W$62,"W"))</f>
        <v/>
      </c>
    </row>
    <row r="37" spans="1:26" s="2" customFormat="1" ht="13.5" customHeight="1">
      <c r="A37" s="500"/>
      <c r="B37" s="31" t="s">
        <v>47</v>
      </c>
      <c r="C37" s="16" t="str">
        <f>IF(OR((COUNTA('C'!$P$8:$P$62)=0),(COUNTA('C'!$R$8:$R$62)=0)),"",COUNTIFS('C'!$R$8:$R$62,"X01",'C'!$Q$8:$Q$62,"AB"))</f>
        <v/>
      </c>
      <c r="D37" s="17" t="str">
        <f>IF(OR((COUNTA('C'!$P$8:$P$62)=0),(COUNTA('C'!$R$8:$R$62)=0)),"",COUNTIFS('C'!$R$8:$R$62,"X02",'C'!$Q$8:$Q$62,"AB"))</f>
        <v/>
      </c>
      <c r="E37" s="17" t="str">
        <f>IF(OR((COUNTA('C'!$P$8:$P$62)=0),(COUNTA('C'!$R$8:$R$62)=0)),"",COUNTIFS('C'!$R$8:$R$62,"X03",'C'!$Q$8:$Q$62,"AB"))</f>
        <v/>
      </c>
      <c r="F37" s="17" t="str">
        <f>IF(OR((COUNTA('C'!$P$8:$P$62)=0),(COUNTA('C'!$R$8:$R$62)=0)),"",COUNTIFS('C'!$R$8:$R$62,"X04",'C'!$Q$8:$Q$62,"AB"))</f>
        <v/>
      </c>
      <c r="G37" s="17" t="str">
        <f>IF(OR((COUNTA('C'!$P$8:$P$62)=0),(COUNTA('C'!$R$8:$R$62)=0)),"",COUNTIFS('C'!$R$8:$R$62,"X05",'C'!$Q$8:$Q$62,"AB"))</f>
        <v/>
      </c>
      <c r="H37" s="17" t="str">
        <f>IF(OR((COUNTA('C'!$P$8:$P$62)=0),(COUNTA('C'!$R$8:$R$62)=0)),"",COUNTIFS('C'!$R$8:$R$62,"X06",'C'!$Q$8:$Q$62,"AB"))</f>
        <v/>
      </c>
      <c r="I37" s="17" t="str">
        <f>IF(OR((COUNTA('C'!$P$8:$P$62)=0),(COUNTA('C'!$R$8:$R$62)=0)),"",COUNTIFS('C'!$R$8:$R$62,"X07",'C'!$Q$8:$Q$62,"AB"))</f>
        <v/>
      </c>
      <c r="J37" s="43" t="str">
        <f>IF(OR((COUNTA('C'!$P$8:$P$62)=0),(COUNTA('C'!$R$8:$R$62)=0)),"",COUNTIFS('C'!$R$8:$R$62,"X08",'C'!$Q$8:$Q$62,"AB"))</f>
        <v/>
      </c>
      <c r="K37" s="16" t="str">
        <f>IF(OR((COUNTA('C'!$S$8:$S$62)=0),(COUNTA('C'!$U$8:$U$62)=0)),"",COUNTIFS('C'!$U$8:$U$62,"X09",'C'!$T$8:$T$62,"AB"))</f>
        <v/>
      </c>
      <c r="L37" s="17" t="str">
        <f>IF(OR((COUNTA('C'!$S$8:$S$62)=0),(COUNTA('C'!$U$8:$U$62)=0)),"",COUNTIFS('C'!$U$8:$U$62,"X10",'C'!$T$8:$T$62,"AB"))</f>
        <v/>
      </c>
      <c r="M37" s="17" t="str">
        <f>IF(OR((COUNTA('C'!$S$8:$S$62)=0),(COUNTA('C'!$U$8:$U$62)=0)),"",COUNTIFS('C'!$U$8:$U$62,"X11",'C'!$T$8:$T$62,"AB"))</f>
        <v/>
      </c>
      <c r="N37" s="17" t="str">
        <f>IF(OR((COUNTA('C'!$S$8:$S$62)=0),(COUNTA('C'!$U$8:$U$62)=0)),"",COUNTIFS('C'!$U$8:$U$62,"X12",'C'!$T$8:$T$62,"AB"))</f>
        <v/>
      </c>
      <c r="O37" s="17" t="str">
        <f>IF(OR((COUNTA('C'!$S$8:$S$62)=0),(COUNTA('C'!$U$8:$U$62)=0)),"",COUNTIFS('C'!$U$8:$U$62,"X13",'C'!$T$8:$T$62,"AB"))</f>
        <v/>
      </c>
      <c r="P37" s="17" t="str">
        <f>IF(OR((COUNTA('C'!$S$8:$S$62)=0),(COUNTA('C'!$U$8:$U$62)=0)),"",COUNTIFS('C'!$U$8:$U$62,"X14",'C'!$T$8:$T$62,"AB"))</f>
        <v/>
      </c>
      <c r="Q37" s="17" t="str">
        <f>IF(OR((COUNTA('C'!$S$8:$S$62)=0),(COUNTA('C'!$U$8:$U$62)=0)),"",COUNTIFS('C'!$U$8:$U$62,"X15",'C'!$T$8:$T$62,"AB"))</f>
        <v/>
      </c>
      <c r="R37" s="43" t="str">
        <f>IF(OR((COUNTA('C'!$S$8:$S$62)=0),(COUNTA('C'!$U$8:$U$62)=0)),"",COUNTIFS('C'!$U$8:$U$62,"X16",'C'!$T$8:$T$62,"AB"))</f>
        <v/>
      </c>
      <c r="S37" s="16" t="str">
        <f>IF(OR((COUNTA('C'!$V$8:$V$62)=0),(COUNTA('C'!$X$8:$X$62)=0)),"",COUNTIFS('C'!$X$8:$X$62,"X17",'C'!$W$8:$W$62,"AB"))</f>
        <v/>
      </c>
      <c r="T37" s="17" t="str">
        <f>IF(OR((COUNTA('C'!$V$8:$V$62)=0),(COUNTA('C'!$X$8:$X$62)=0)),"",COUNTIFS('C'!$X$8:$X$62,"X18",'C'!$W$8:$W$62,"AB"))</f>
        <v/>
      </c>
      <c r="U37" s="17" t="str">
        <f>IF(OR((COUNTA('C'!$V$8:$V$62)=0),(COUNTA('C'!$X$8:$X$62)=0)),"",COUNTIFS('C'!$X$8:$X$62,"X19",'C'!$W$8:$W$62,"AB"))</f>
        <v/>
      </c>
      <c r="V37" s="17" t="str">
        <f>IF(OR((COUNTA('C'!$V$8:$V$62)=0),(COUNTA('C'!$X$8:$X$62)=0)),"",COUNTIFS('C'!$X$8:$X$62,"X20",'C'!$W$8:$W$62,"AB"))</f>
        <v/>
      </c>
      <c r="W37" s="17" t="str">
        <f>IF(OR((COUNTA('C'!$V$8:$V$62)=0),(COUNTA('C'!$X$8:$X$62)=0)),"",COUNTIFS('C'!$X$8:$X$62,"X21",'C'!$W$8:$W$62,"AB"))</f>
        <v/>
      </c>
      <c r="X37" s="17" t="str">
        <f>IF(OR((COUNTA('C'!$V$8:$V$62)=0),(COUNTA('C'!$X$8:$X$62)=0)),"",COUNTIFS('C'!$X$8:$X$62,"X22",'C'!$W$8:$W$62,"AB"))</f>
        <v/>
      </c>
      <c r="Y37" s="17" t="str">
        <f>IF(OR((COUNTA('C'!$V$8:$V$62)=0),(COUNTA('C'!$X$8:$X$62)=0)),"",COUNTIFS('C'!$X$8:$X$62,"X23",'C'!$W$8:$W$62,"AB"))</f>
        <v/>
      </c>
      <c r="Z37" s="43" t="str">
        <f>IF(OR((COUNTA('C'!$V$8:$V$62)=0),(COUNTA('C'!$X$8:$X$62)=0)),"",COUNTIFS('C'!$X$8:$X$62,"X24",'C'!$W$8:$W$62,"AB"))</f>
        <v/>
      </c>
    </row>
    <row r="38" spans="1:26" s="2" customFormat="1" ht="13.5" customHeight="1">
      <c r="A38" s="500"/>
      <c r="B38" s="32" t="s">
        <v>48</v>
      </c>
      <c r="C38" s="13" t="str">
        <f>IF(OR((COUNTA('C'!$P$8:$P$62)=0),(COUNTA('C'!$R$8:$R$62)=0)),"",COUNTIFS('C'!$R$8:$R$62,"X01",'C'!$P$8:$P$62,"&lt;=39",'C'!$P$8:$P$62,"&gt;=30"))</f>
        <v/>
      </c>
      <c r="D38" s="14" t="str">
        <f>IF(OR((COUNTA('C'!$P$8:$P$62)=0),(COUNTA('C'!$R$8:$R$62)=0)),"",COUNTIFS('C'!$R$8:$R$62,"X02",'C'!$P$8:$P$62,"&lt;=39",'C'!$P$8:$P$62,"&gt;=30"))</f>
        <v/>
      </c>
      <c r="E38" s="14" t="str">
        <f>IF(OR((COUNTA('C'!$P$8:$P$62)=0),(COUNTA('C'!$R$8:$R$62)=0)),"",COUNTIFS('C'!$R$8:$R$62,"X03",'C'!$P$8:$P$62,"&lt;=39",'C'!$P$8:$P$62,"&gt;=30"))</f>
        <v/>
      </c>
      <c r="F38" s="14" t="str">
        <f>IF(OR((COUNTA('C'!$P$8:$P$62)=0),(COUNTA('C'!$R$8:$R$62)=0)),"",COUNTIFS('C'!$R$8:$R$62,"X04",'C'!$P$8:$P$62,"&lt;=39",'C'!$P$8:$P$62,"&gt;=30"))</f>
        <v/>
      </c>
      <c r="G38" s="14" t="str">
        <f>IF(OR((COUNTA('C'!$P$8:$P$62)=0),(COUNTA('C'!$R$8:$R$62)=0)),"",COUNTIFS('C'!$R$8:$R$62,"X05",'C'!$P$8:$P$62,"&lt;=39",'C'!$P$8:$P$62,"&gt;=30"))</f>
        <v/>
      </c>
      <c r="H38" s="14" t="str">
        <f>IF(OR((COUNTA('C'!$P$8:$P$62)=0),(COUNTA('C'!$R$8:$R$62)=0)),"",COUNTIFS('C'!$R$8:$R$62,"X06",'C'!$P$8:$P$62,"&lt;=39",'C'!$P$8:$P$62,"&gt;=30"))</f>
        <v/>
      </c>
      <c r="I38" s="14" t="str">
        <f>IF(OR((COUNTA('C'!$P$8:$P$62)=0),(COUNTA('C'!$R$8:$R$62)=0)),"",COUNTIFS('C'!$R$8:$R$62,"X07",'C'!$P$8:$P$62,"&lt;=39",'C'!$P$8:$P$62,"&gt;=30"))</f>
        <v/>
      </c>
      <c r="J38" s="42" t="str">
        <f>IF(OR((COUNTA('C'!$P$8:$P$62)=0),(COUNTA('C'!$R$8:$R$62)=0)),"",COUNTIFS('C'!$R$8:$R$62,"X08",'C'!$P$8:$P$62,"&lt;=39",'C'!$P$8:$P$62,"&gt;=30"))</f>
        <v/>
      </c>
      <c r="K38" s="13" t="str">
        <f>IF(OR((COUNTA('C'!$S$8:$S$62)=0),(COUNTA('C'!$U$8:$U$62)=0)),"",COUNTIFS('C'!$U$8:$U$62,"X09",'C'!$S$8:$S$62,"&lt;=39",'C'!$S$8:$S$62,"&gt;=30"))</f>
        <v/>
      </c>
      <c r="L38" s="14" t="str">
        <f>IF(OR((COUNTA('C'!$S$8:$S$62)=0),(COUNTA('C'!$U$8:$U$62)=0)),"",COUNTIFS('C'!$U$8:$U$62,"X10",'C'!$S$8:$S$62,"&lt;=39",'C'!$S$8:$S$62,"&gt;=30"))</f>
        <v/>
      </c>
      <c r="M38" s="14" t="str">
        <f>IF(OR((COUNTA('C'!$S$8:$S$62)=0),(COUNTA('C'!$U$8:$U$62)=0)),"",COUNTIFS('C'!$U$8:$U$62,"X11",'C'!$S$8:$S$62,"&lt;=39",'C'!$S$8:$S$62,"&gt;=30"))</f>
        <v/>
      </c>
      <c r="N38" s="14" t="str">
        <f>IF(OR((COUNTA('C'!$S$8:$S$62)=0),(COUNTA('C'!$U$8:$U$62)=0)),"",COUNTIFS('C'!$U$8:$U$62,"X12",'C'!$S$8:$S$62,"&lt;=39",'C'!$S$8:$S$62,"&gt;=30"))</f>
        <v/>
      </c>
      <c r="O38" s="14" t="str">
        <f>IF(OR((COUNTA('C'!$S$8:$S$62)=0),(COUNTA('C'!$U$8:$U$62)=0)),"",COUNTIFS('C'!$U$8:$U$62,"X13",'C'!$S$8:$S$62,"&lt;=39",'C'!$S$8:$S$62,"&gt;=30"))</f>
        <v/>
      </c>
      <c r="P38" s="14" t="str">
        <f>IF(OR((COUNTA('C'!$S$8:$S$62)=0),(COUNTA('C'!$U$8:$U$62)=0)),"",COUNTIFS('C'!$U$8:$U$62,"X14",'C'!$S$8:$S$62,"&lt;=39",'C'!$S$8:$S$62,"&gt;=30"))</f>
        <v/>
      </c>
      <c r="Q38" s="14" t="str">
        <f>IF(OR((COUNTA('C'!$S$8:$S$62)=0),(COUNTA('C'!$U$8:$U$62)=0)),"",COUNTIFS('C'!$U$8:$U$62,"X15",'C'!$S$8:$S$62,"&lt;=39",'C'!$S$8:$S$62,"&gt;=30"))</f>
        <v/>
      </c>
      <c r="R38" s="42" t="str">
        <f>IF(OR((COUNTA('C'!$S$8:$S$62)=0),(COUNTA('C'!$U$8:$U$62)=0)),"",COUNTIFS('C'!$U$8:$U$62,"X16",'C'!$S$8:$S$62,"&lt;=39",'C'!$S$8:$S$62,"&gt;=30"))</f>
        <v/>
      </c>
      <c r="S38" s="13" t="str">
        <f>IF(OR((COUNTA('C'!$V$8:$V$62)=0),(COUNTA('C'!$X$8:$X$62)=0)),"",COUNTIFS('C'!$X$8:$X$62,"X17",'C'!$V$8:$V$62,"&lt;=39",'C'!$V$8:$V$62,"&gt;=30"))</f>
        <v/>
      </c>
      <c r="T38" s="14" t="str">
        <f>IF(OR((COUNTA('C'!$V$8:$V$62)=0),(COUNTA('C'!$X$8:$X$62)=0)),"",COUNTIFS('C'!$X$8:$X$62,"X18",'C'!$V$8:$V$62,"&lt;=39",'C'!$V$8:$V$62,"&gt;=30"))</f>
        <v/>
      </c>
      <c r="U38" s="14" t="str">
        <f>IF(OR((COUNTA('C'!$V$8:$V$62)=0),(COUNTA('C'!$X$8:$X$62)=0)),"",COUNTIFS('C'!$X$8:$X$62,"X19",'C'!$V$8:$V$62,"&lt;=39",'C'!$V$8:$V$62,"&gt;=30"))</f>
        <v/>
      </c>
      <c r="V38" s="14" t="str">
        <f>IF(OR((COUNTA('C'!$V$8:$V$62)=0),(COUNTA('C'!$X$8:$X$62)=0)),"",COUNTIFS('C'!$X$8:$X$62,"X20",'C'!$V$8:$V$62,"&lt;=39",'C'!$V$8:$V$62,"&gt;=30"))</f>
        <v/>
      </c>
      <c r="W38" s="14" t="str">
        <f>IF(OR((COUNTA('C'!$V$8:$V$62)=0),(COUNTA('C'!$X$8:$X$62)=0)),"",COUNTIFS('C'!$X$8:$X$62,"X21",'C'!$V$8:$V$62,"&lt;=39",'C'!$V$8:$V$62,"&gt;=30"))</f>
        <v/>
      </c>
      <c r="X38" s="14" t="str">
        <f>IF(OR((COUNTA('C'!$V$8:$V$62)=0),(COUNTA('C'!$X$8:$X$62)=0)),"",COUNTIFS('C'!$X$8:$X$62,"X22",'C'!$V$8:$V$62,"&lt;=39",'C'!$V$8:$V$62,"&gt;=30"))</f>
        <v/>
      </c>
      <c r="Y38" s="14" t="str">
        <f>IF(OR((COUNTA('C'!$V$8:$V$62)=0),(COUNTA('C'!$X$8:$X$62)=0)),"",COUNTIFS('C'!$X$8:$X$62,"X23",'C'!$V$8:$V$62,"&lt;=39",'C'!$V$8:$V$62,"&gt;=30"))</f>
        <v/>
      </c>
      <c r="Z38" s="42" t="str">
        <f>IF(OR((COUNTA('C'!$V$8:$V$62)=0),(COUNTA('C'!$X$8:$X$62)=0)),"",COUNTIFS('C'!$X$8:$X$62,"X24",'C'!$V$8:$V$62,"&lt;=39",'C'!$V$8:$V$62,"&gt;=30"))</f>
        <v/>
      </c>
    </row>
    <row r="39" spans="1:26" s="2" customFormat="1" ht="13.5" customHeight="1">
      <c r="A39" s="500"/>
      <c r="B39" s="32" t="s">
        <v>51</v>
      </c>
      <c r="C39" s="13" t="str">
        <f>IF(OR((COUNTA('C'!$P$8:$P$62)=0),(COUNTA('C'!$R$8:$R$62)=0)),"",COUNTIFS('C'!$R$8:$R$62,"X01",'C'!$P$8:$P$62,"&lt;=29",'C'!$P$8:$P$62,"&gt;=20"))</f>
        <v/>
      </c>
      <c r="D39" s="14" t="str">
        <f>IF(OR((COUNTA('C'!$P$8:$P$62)=0),(COUNTA('C'!$R$8:$R$62)=0)),"",COUNTIFS('C'!$R$8:$R$62,"X02",'C'!$P$8:$P$62,"&lt;=29",'C'!$P$8:$P$62,"&gt;=20"))</f>
        <v/>
      </c>
      <c r="E39" s="14" t="str">
        <f>IF(OR((COUNTA('C'!$P$8:$P$62)=0),(COUNTA('C'!$R$8:$R$62)=0)),"",COUNTIFS('C'!$R$8:$R$62,"X03",'C'!$P$8:$P$62,"&lt;=29",'C'!$P$8:$P$62,"&gt;=20"))</f>
        <v/>
      </c>
      <c r="F39" s="14" t="str">
        <f>IF(OR((COUNTA('C'!$P$8:$P$62)=0),(COUNTA('C'!$R$8:$R$62)=0)),"",COUNTIFS('C'!$R$8:$R$62,"X04",'C'!$P$8:$P$62,"&lt;=29",'C'!$P$8:$P$62,"&gt;=20"))</f>
        <v/>
      </c>
      <c r="G39" s="14" t="str">
        <f>IF(OR((COUNTA('C'!$P$8:$P$62)=0),(COUNTA('C'!$R$8:$R$62)=0)),"",COUNTIFS('C'!$R$8:$R$62,"X05",'C'!$P$8:$P$62,"&lt;=29",'C'!$P$8:$P$62,"&gt;=20"))</f>
        <v/>
      </c>
      <c r="H39" s="14" t="str">
        <f>IF(OR((COUNTA('C'!$P$8:$P$62)=0),(COUNTA('C'!$R$8:$R$62)=0)),"",COUNTIFS('C'!$R$8:$R$62,"X06",'C'!$P$8:$P$62,"&lt;=29",'C'!$P$8:$P$62,"&gt;=20"))</f>
        <v/>
      </c>
      <c r="I39" s="14" t="str">
        <f>IF(OR((COUNTA('C'!$P$8:$P$62)=0),(COUNTA('C'!$R$8:$R$62)=0)),"",COUNTIFS('C'!$R$8:$R$62,"X07",'C'!$P$8:$P$62,"&lt;=29",'C'!$P$8:$P$62,"&gt;=20"))</f>
        <v/>
      </c>
      <c r="J39" s="42" t="str">
        <f>IF(OR((COUNTA('C'!$P$8:$P$62)=0),(COUNTA('C'!$R$8:$R$62)=0)),"",COUNTIFS('C'!$R$8:$R$62,"X08",'C'!$P$8:$P$62,"&lt;=29",'C'!$P$8:$P$62,"&gt;=20"))</f>
        <v/>
      </c>
      <c r="K39" s="13" t="str">
        <f>IF(OR((COUNTA('C'!$S$8:$S$62)=0),(COUNTA('C'!$U$8:$U$62)=0)),"",COUNTIFS('C'!$U$8:$U$62,"X09",'C'!$S$8:$S$62,"&lt;=29",'C'!$S$8:$S$62,"&gt;=20"))</f>
        <v/>
      </c>
      <c r="L39" s="14" t="str">
        <f>IF(OR((COUNTA('C'!$S$8:$S$62)=0),(COUNTA('C'!$U$8:$U$62)=0)),"",COUNTIFS('C'!$U$8:$U$62,"X10",'C'!$S$8:$S$62,"&lt;=29",'C'!$S$8:$S$62,"&gt;=20"))</f>
        <v/>
      </c>
      <c r="M39" s="14" t="str">
        <f>IF(OR((COUNTA('C'!$S$8:$S$62)=0),(COUNTA('C'!$U$8:$U$62)=0)),"",COUNTIFS('C'!$U$8:$U$62,"X11",'C'!$S$8:$S$62,"&lt;=29",'C'!$S$8:$S$62,"&gt;=20"))</f>
        <v/>
      </c>
      <c r="N39" s="14" t="str">
        <f>IF(OR((COUNTA('C'!$S$8:$S$62)=0),(COUNTA('C'!$U$8:$U$62)=0)),"",COUNTIFS('C'!$U$8:$U$62,"X12",'C'!$S$8:$S$62,"&lt;=29",'C'!$S$8:$S$62,"&gt;=20"))</f>
        <v/>
      </c>
      <c r="O39" s="14" t="str">
        <f>IF(OR((COUNTA('C'!$S$8:$S$62)=0),(COUNTA('C'!$U$8:$U$62)=0)),"",COUNTIFS('C'!$U$8:$U$62,"X13",'C'!$S$8:$S$62,"&lt;=29",'C'!$S$8:$S$62,"&gt;=20"))</f>
        <v/>
      </c>
      <c r="P39" s="14" t="str">
        <f>IF(OR((COUNTA('C'!$S$8:$S$62)=0),(COUNTA('C'!$U$8:$U$62)=0)),"",COUNTIFS('C'!$U$8:$U$62,"X14",'C'!$S$8:$S$62,"&lt;=29",'C'!$S$8:$S$62,"&gt;=20"))</f>
        <v/>
      </c>
      <c r="Q39" s="14" t="str">
        <f>IF(OR((COUNTA('C'!$S$8:$S$62)=0),(COUNTA('C'!$U$8:$U$62)=0)),"",COUNTIFS('C'!$U$8:$U$62,"X15",'C'!$S$8:$S$62,"&lt;=29",'C'!$S$8:$S$62,"&gt;=20"))</f>
        <v/>
      </c>
      <c r="R39" s="42" t="str">
        <f>IF(OR((COUNTA('C'!$S$8:$S$62)=0),(COUNTA('C'!$U$8:$U$62)=0)),"",COUNTIFS('C'!$U$8:$U$62,"X16",'C'!$S$8:$S$62,"&lt;=29",'C'!$S$8:$S$62,"&gt;=20"))</f>
        <v/>
      </c>
      <c r="S39" s="13" t="str">
        <f>IF(OR((COUNTA('C'!$V$8:$V$62)=0),(COUNTA('C'!$X$8:$X$62)=0)),"",COUNTIFS('C'!$X$8:$X$62,"X17",'C'!$V$8:$V$62,"&lt;=29",'C'!$V$8:$V$62,"&gt;=20"))</f>
        <v/>
      </c>
      <c r="T39" s="14" t="str">
        <f>IF(OR((COUNTA('C'!$V$8:$V$62)=0),(COUNTA('C'!$X$8:$X$62)=0)),"",COUNTIFS('C'!$X$8:$X$62,"X18",'C'!$V$8:$V$62,"&lt;=29",'C'!$V$8:$V$62,"&gt;=20"))</f>
        <v/>
      </c>
      <c r="U39" s="14" t="str">
        <f>IF(OR((COUNTA('C'!$V$8:$V$62)=0),(COUNTA('C'!$X$8:$X$62)=0)),"",COUNTIFS('C'!$X$8:$X$62,"X19",'C'!$V$8:$V$62,"&lt;=29",'C'!$V$8:$V$62,"&gt;=20"))</f>
        <v/>
      </c>
      <c r="V39" s="14" t="str">
        <f>IF(OR((COUNTA('C'!$V$8:$V$62)=0),(COUNTA('C'!$X$8:$X$62)=0)),"",COUNTIFS('C'!$X$8:$X$62,"X20",'C'!$V$8:$V$62,"&lt;=29",'C'!$V$8:$V$62,"&gt;=20"))</f>
        <v/>
      </c>
      <c r="W39" s="14" t="str">
        <f>IF(OR((COUNTA('C'!$V$8:$V$62)=0),(COUNTA('C'!$X$8:$X$62)=0)),"",COUNTIFS('C'!$X$8:$X$62,"X21",'C'!$V$8:$V$62,"&lt;=29",'C'!$V$8:$V$62,"&gt;=20"))</f>
        <v/>
      </c>
      <c r="X39" s="14" t="str">
        <f>IF(OR((COUNTA('C'!$V$8:$V$62)=0),(COUNTA('C'!$X$8:$X$62)=0)),"",COUNTIFS('C'!$X$8:$X$62,"X22",'C'!$V$8:$V$62,"&lt;=29",'C'!$V$8:$V$62,"&gt;=20"))</f>
        <v/>
      </c>
      <c r="Y39" s="14" t="str">
        <f>IF(OR((COUNTA('C'!$V$8:$V$62)=0),(COUNTA('C'!$X$8:$X$62)=0)),"",COUNTIFS('C'!$X$8:$X$62,"X23",'C'!$V$8:$V$62,"&lt;=29",'C'!$V$8:$V$62,"&gt;=20"))</f>
        <v/>
      </c>
      <c r="Z39" s="42" t="str">
        <f>IF(OR((COUNTA('C'!$V$8:$V$62)=0),(COUNTA('C'!$X$8:$X$62)=0)),"",COUNTIFS('C'!$X$8:$X$62,"X24",'C'!$V$8:$V$62,"&lt;=29",'C'!$V$8:$V$62,"&gt;=20"))</f>
        <v/>
      </c>
    </row>
    <row r="40" spans="1:26" s="2" customFormat="1" ht="13.5" customHeight="1">
      <c r="A40" s="500"/>
      <c r="B40" s="33" t="s">
        <v>52</v>
      </c>
      <c r="C40" s="16" t="str">
        <f>IF(OR((COUNTA('C'!$P$8:$P$62)=0),(COUNTA('C'!$R$8:$R$62)=0)),"",COUNTIFS('C'!$R$8:$R$62,"X01",'C'!$P$8:$P$62,"&lt;=19",'C'!$P$8:$P$62,"&gt;=10"))</f>
        <v/>
      </c>
      <c r="D40" s="17" t="str">
        <f>IF(OR((COUNTA('C'!$P$8:$P$62)=0),(COUNTA('C'!$R$8:$R$62)=0)),"",COUNTIFS('C'!$R$8:$R$62,"X02",'C'!$P$8:$P$62,"&lt;=19",'C'!$P$8:$P$62,"&gt;=10"))</f>
        <v/>
      </c>
      <c r="E40" s="17" t="str">
        <f>IF(OR((COUNTA('C'!$P$8:$P$62)=0),(COUNTA('C'!$R$8:$R$62)=0)),"",COUNTIFS('C'!$R$8:$R$62,"X03",'C'!$P$8:$P$62,"&lt;=19",'C'!$P$8:$P$62,"&gt;=10"))</f>
        <v/>
      </c>
      <c r="F40" s="17" t="str">
        <f>IF(OR((COUNTA('C'!$P$8:$P$62)=0),(COUNTA('C'!$R$8:$R$62)=0)),"",COUNTIFS('C'!$R$8:$R$62,"X04",'C'!$P$8:$P$62,"&lt;=19",'C'!$P$8:$P$62,"&gt;=10"))</f>
        <v/>
      </c>
      <c r="G40" s="17" t="str">
        <f>IF(OR((COUNTA('C'!$P$8:$P$62)=0),(COUNTA('C'!$R$8:$R$62)=0)),"",COUNTIFS('C'!$R$8:$R$62,"X05",'C'!$P$8:$P$62,"&lt;=19",'C'!$P$8:$P$62,"&gt;=10"))</f>
        <v/>
      </c>
      <c r="H40" s="17" t="str">
        <f>IF(OR((COUNTA('C'!$P$8:$P$62)=0),(COUNTA('C'!$R$8:$R$62)=0)),"",COUNTIFS('C'!$R$8:$R$62,"X06",'C'!$P$8:$P$62,"&lt;=19",'C'!$P$8:$P$62,"&gt;=10"))</f>
        <v/>
      </c>
      <c r="I40" s="17" t="str">
        <f>IF(OR((COUNTA('C'!$P$8:$P$62)=0),(COUNTA('C'!$R$8:$R$62)=0)),"",COUNTIFS('C'!$R$8:$R$62,"X07",'C'!$P$8:$P$62,"&lt;=19",'C'!$P$8:$P$62,"&gt;=10"))</f>
        <v/>
      </c>
      <c r="J40" s="43" t="str">
        <f>IF(OR((COUNTA('C'!$P$8:$P$62)=0),(COUNTA('C'!$R$8:$R$62)=0)),"",COUNTIFS('C'!$R$8:$R$62,"X08",'C'!$P$8:$P$62,"&lt;=19",'C'!$P$8:$P$62,"&gt;=10"))</f>
        <v/>
      </c>
      <c r="K40" s="16" t="str">
        <f>IF(OR((COUNTA('C'!$S$8:$S$62)=0),(COUNTA('C'!$U$8:$U$62)=0)),"",COUNTIFS('C'!$U$8:$U$62,"X09",'C'!$S$8:$S$62,"&lt;=19",'C'!$S$8:$S$62,"&gt;=10"))</f>
        <v/>
      </c>
      <c r="L40" s="17" t="str">
        <f>IF(OR((COUNTA('C'!$S$8:$S$62)=0),(COUNTA('C'!$U$8:$U$62)=0)),"",COUNTIFS('C'!$U$8:$U$62,"X10",'C'!$S$8:$S$62,"&lt;=19",'C'!$S$8:$S$62,"&gt;=10"))</f>
        <v/>
      </c>
      <c r="M40" s="17" t="str">
        <f>IF(OR((COUNTA('C'!$S$8:$S$62)=0),(COUNTA('C'!$U$8:$U$62)=0)),"",COUNTIFS('C'!$U$8:$U$62,"X11",'C'!$S$8:$S$62,"&lt;=19",'C'!$S$8:$S$62,"&gt;=10"))</f>
        <v/>
      </c>
      <c r="N40" s="17" t="str">
        <f>IF(OR((COUNTA('C'!$S$8:$S$62)=0),(COUNTA('C'!$U$8:$U$62)=0)),"",COUNTIFS('C'!$U$8:$U$62,"X12",'C'!$S$8:$S$62,"&lt;=19",'C'!$S$8:$S$62,"&gt;=10"))</f>
        <v/>
      </c>
      <c r="O40" s="17" t="str">
        <f>IF(OR((COUNTA('C'!$S$8:$S$62)=0),(COUNTA('C'!$U$8:$U$62)=0)),"",COUNTIFS('C'!$U$8:$U$62,"X13",'C'!$S$8:$S$62,"&lt;=19",'C'!$S$8:$S$62,"&gt;=10"))</f>
        <v/>
      </c>
      <c r="P40" s="17" t="str">
        <f>IF(OR((COUNTA('C'!$S$8:$S$62)=0),(COUNTA('C'!$U$8:$U$62)=0)),"",COUNTIFS('C'!$U$8:$U$62,"X14",'C'!$S$8:$S$62,"&lt;=19",'C'!$S$8:$S$62,"&gt;=10"))</f>
        <v/>
      </c>
      <c r="Q40" s="17" t="str">
        <f>IF(OR((COUNTA('C'!$S$8:$S$62)=0),(COUNTA('C'!$U$8:$U$62)=0)),"",COUNTIFS('C'!$U$8:$U$62,"X15",'C'!$S$8:$S$62,"&lt;=19",'C'!$S$8:$S$62,"&gt;=10"))</f>
        <v/>
      </c>
      <c r="R40" s="43" t="str">
        <f>IF(OR((COUNTA('C'!$S$8:$S$62)=0),(COUNTA('C'!$U$8:$U$62)=0)),"",COUNTIFS('C'!$U$8:$U$62,"X16",'C'!$S$8:$S$62,"&lt;=19",'C'!$S$8:$S$62,"&gt;=10"))</f>
        <v/>
      </c>
      <c r="S40" s="16" t="str">
        <f>IF(OR((COUNTA('C'!$V$8:$V$62)=0),(COUNTA('C'!$X$8:$X$62)=0)),"",COUNTIFS('C'!$X$8:$X$62,"X17",'C'!$V$8:$V$62,"&lt;=19",'C'!$V$8:$V$62,"&gt;=10"))</f>
        <v/>
      </c>
      <c r="T40" s="17" t="str">
        <f>IF(OR((COUNTA('C'!$V$8:$V$62)=0),(COUNTA('C'!$X$8:$X$62)=0)),"",COUNTIFS('C'!$X$8:$X$62,"X18",'C'!$V$8:$V$62,"&lt;=19",'C'!$V$8:$V$62,"&gt;=10"))</f>
        <v/>
      </c>
      <c r="U40" s="17" t="str">
        <f>IF(OR((COUNTA('C'!$V$8:$V$62)=0),(COUNTA('C'!$X$8:$X$62)=0)),"",COUNTIFS('C'!$X$8:$X$62,"X19",'C'!$V$8:$V$62,"&lt;=19",'C'!$V$8:$V$62,"&gt;=10"))</f>
        <v/>
      </c>
      <c r="V40" s="17" t="str">
        <f>IF(OR((COUNTA('C'!$V$8:$V$62)=0),(COUNTA('C'!$X$8:$X$62)=0)),"",COUNTIFS('C'!$X$8:$X$62,"X20",'C'!$V$8:$V$62,"&lt;=19",'C'!$V$8:$V$62,"&gt;=10"))</f>
        <v/>
      </c>
      <c r="W40" s="17" t="str">
        <f>IF(OR((COUNTA('C'!$V$8:$V$62)=0),(COUNTA('C'!$X$8:$X$62)=0)),"",COUNTIFS('C'!$X$8:$X$62,"X21",'C'!$V$8:$V$62,"&lt;=19",'C'!$V$8:$V$62,"&gt;=10"))</f>
        <v/>
      </c>
      <c r="X40" s="17" t="str">
        <f>IF(OR((COUNTA('C'!$V$8:$V$62)=0),(COUNTA('C'!$X$8:$X$62)=0)),"",COUNTIFS('C'!$X$8:$X$62,"X22",'C'!$V$8:$V$62,"&lt;=19",'C'!$V$8:$V$62,"&gt;=10"))</f>
        <v/>
      </c>
      <c r="Y40" s="17" t="str">
        <f>IF(OR((COUNTA('C'!$V$8:$V$62)=0),(COUNTA('C'!$X$8:$X$62)=0)),"",COUNTIFS('C'!$X$8:$X$62,"X23",'C'!$V$8:$V$62,"&lt;=19",'C'!$V$8:$V$62,"&gt;=10"))</f>
        <v/>
      </c>
      <c r="Z40" s="43" t="str">
        <f>IF(OR((COUNTA('C'!$V$8:$V$62)=0),(COUNTA('C'!$X$8:$X$62)=0)),"",COUNTIFS('C'!$X$8:$X$62,"X24",'C'!$V$8:$V$62,"&lt;=19",'C'!$V$8:$V$62,"&gt;=10"))</f>
        <v/>
      </c>
    </row>
    <row r="41" spans="1:26" s="2" customFormat="1" ht="13.5" customHeight="1">
      <c r="A41" s="501"/>
      <c r="B41" s="34" t="s">
        <v>55</v>
      </c>
      <c r="C41" s="21" t="str">
        <f>IF(OR((COUNTA('C'!$P$8:$P$62)=0),(COUNTA('C'!$R$8:$R$62)=0)),"",COUNTIFS('C'!$R$8:$R$62,"X01",'C'!$P$8:$P$62,"&lt;=9"))</f>
        <v/>
      </c>
      <c r="D41" s="22" t="str">
        <f>IF(OR((COUNTA('C'!$P$8:$P$62)=0),(COUNTA('C'!$R$8:$R$62)=0)),"",COUNTIFS('C'!$R$8:$R$62,"X02",'C'!$P$8:$P$62,"&lt;=9"))</f>
        <v/>
      </c>
      <c r="E41" s="22" t="str">
        <f>IF(OR((COUNTA('C'!$P$8:$P$62)=0),(COUNTA('C'!$R$8:$R$62)=0)),"",COUNTIFS('C'!$R$8:$R$62,"X03",'C'!$P$8:$P$62,"&lt;=9"))</f>
        <v/>
      </c>
      <c r="F41" s="22" t="str">
        <f>IF(OR((COUNTA('C'!$P$8:$P$62)=0),(COUNTA('C'!$R$8:$R$62)=0)),"",COUNTIFS('C'!$R$8:$R$62,"X04",'C'!$P$8:$P$62,"&lt;=9"))</f>
        <v/>
      </c>
      <c r="G41" s="22" t="str">
        <f>IF(OR((COUNTA('C'!$P$8:$P$62)=0),(COUNTA('C'!$R$8:$R$62)=0)),"",COUNTIFS('C'!$R$8:$R$62,"X05",'C'!$P$8:$P$62,"&lt;=9"))</f>
        <v/>
      </c>
      <c r="H41" s="22" t="str">
        <f>IF(OR((COUNTA('C'!$P$8:$P$62)=0),(COUNTA('C'!$R$8:$R$62)=0)),"",COUNTIFS('C'!$R$8:$R$62,"X06",'C'!$P$8:$P$62,"&lt;=9"))</f>
        <v/>
      </c>
      <c r="I41" s="22" t="str">
        <f>IF(OR((COUNTA('C'!$P$8:$P$62)=0),(COUNTA('C'!$R$8:$R$62)=0)),"",COUNTIFS('C'!$R$8:$R$62,"X07",'C'!$P$8:$P$62,"&lt;=9"))</f>
        <v/>
      </c>
      <c r="J41" s="44" t="str">
        <f>IF(OR((COUNTA('C'!$P$8:$P$62)=0),(COUNTA('C'!$R$8:$R$62)=0)),"",COUNTIFS('C'!$R$8:$R$62,"X08",'C'!$P$8:$P$62,"&lt;=9"))</f>
        <v/>
      </c>
      <c r="K41" s="21" t="str">
        <f>IF(OR((COUNTA('C'!$S$8:$S$62)=0),(COUNTA('C'!$U$8:$U$62)=0)),"",COUNTIFS('C'!$U$8:$U$62,"X09",'C'!$S$8:$S$62,"&lt;=9"))</f>
        <v/>
      </c>
      <c r="L41" s="22" t="str">
        <f>IF(OR((COUNTA('C'!$S$8:$S$62)=0),(COUNTA('C'!$U$8:$U$62)=0)),"",COUNTIFS('C'!$U$8:$U$62,"X10",'C'!$S$8:$S$62,"&lt;=9"))</f>
        <v/>
      </c>
      <c r="M41" s="22" t="str">
        <f>IF(OR((COUNTA('C'!$S$8:$S$62)=0),(COUNTA('C'!$U$8:$U$62)=0)),"",COUNTIFS('C'!$U$8:$U$62,"X11",'C'!$S$8:$S$62,"&lt;=9"))</f>
        <v/>
      </c>
      <c r="N41" s="22" t="str">
        <f>IF(OR((COUNTA('C'!$S$8:$S$62)=0),(COUNTA('C'!$U$8:$U$62)=0)),"",COUNTIFS('C'!$U$8:$U$62,"X12",'C'!$S$8:$S$62,"&lt;=9"))</f>
        <v/>
      </c>
      <c r="O41" s="22" t="str">
        <f>IF(OR((COUNTA('C'!$S$8:$S$62)=0),(COUNTA('C'!$U$8:$U$62)=0)),"",COUNTIFS('C'!$U$8:$U$62,"X13",'C'!$S$8:$S$62,"&lt;=9"))</f>
        <v/>
      </c>
      <c r="P41" s="22" t="str">
        <f>IF(OR((COUNTA('C'!$S$8:$S$62)=0),(COUNTA('C'!$U$8:$U$62)=0)),"",COUNTIFS('C'!$U$8:$U$62,"X14",'C'!$S$8:$S$62,"&lt;=9"))</f>
        <v/>
      </c>
      <c r="Q41" s="22" t="str">
        <f>IF(OR((COUNTA('C'!$S$8:$S$62)=0),(COUNTA('C'!$U$8:$U$62)=0)),"",COUNTIFS('C'!$U$8:$U$62,"X15",'C'!$S$8:$S$62,"&lt;=9"))</f>
        <v/>
      </c>
      <c r="R41" s="44" t="str">
        <f>IF(OR((COUNTA('C'!$S$8:$S$62)=0),(COUNTA('C'!$U$8:$U$62)=0)),"",COUNTIFS('C'!$U$8:$U$62,"X16",'C'!$S$8:$S$62,"&lt;=9"))</f>
        <v/>
      </c>
      <c r="S41" s="21" t="str">
        <f>IF(OR((COUNTA('C'!$V$8:$V$62)=0),(COUNTA('C'!$X$8:$X$62)=0)),"",COUNTIFS('C'!$X$8:$X$62,"X17",'C'!$V$8:$V$62,"&lt;=9"))</f>
        <v/>
      </c>
      <c r="T41" s="22" t="str">
        <f>IF(OR((COUNTA('C'!$V$8:$V$62)=0),(COUNTA('C'!$X$8:$X$62)=0)),"",COUNTIFS('C'!$X$8:$X$62,"X18",'C'!$V$8:$V$62,"&lt;=9"))</f>
        <v/>
      </c>
      <c r="U41" s="22" t="str">
        <f>IF(OR((COUNTA('C'!$V$8:$V$62)=0),(COUNTA('C'!$X$8:$X$62)=0)),"",COUNTIFS('C'!$X$8:$X$62,"X19",'C'!$V$8:$V$62,"&lt;=9"))</f>
        <v/>
      </c>
      <c r="V41" s="22" t="str">
        <f>IF(OR((COUNTA('C'!$V$8:$V$62)=0),(COUNTA('C'!$X$8:$X$62)=0)),"",COUNTIFS('C'!$X$8:$X$62,"X20",'C'!$V$8:$V$62,"&lt;=9"))</f>
        <v/>
      </c>
      <c r="W41" s="22" t="str">
        <f>IF(OR((COUNTA('C'!$V$8:$V$62)=0),(COUNTA('C'!$X$8:$X$62)=0)),"",COUNTIFS('C'!$X$8:$X$62,"X21",'C'!$V$8:$V$62,"&lt;=9"))</f>
        <v/>
      </c>
      <c r="X41" s="22" t="str">
        <f>IF(OR((COUNTA('C'!$V$8:$V$62)=0),(COUNTA('C'!$X$8:$X$62)=0)),"",COUNTIFS('C'!$X$8:$X$62,"X22",'C'!$V$8:$V$62,"&lt;=9"))</f>
        <v/>
      </c>
      <c r="Y41" s="22" t="str">
        <f>IF(OR((COUNTA('C'!$V$8:$V$62)=0),(COUNTA('C'!$X$8:$X$62)=0)),"",COUNTIFS('C'!$X$8:$X$62,"X23",'C'!$V$8:$V$62,"&lt;=9"))</f>
        <v/>
      </c>
      <c r="Z41" s="44" t="str">
        <f>IF(OR((COUNTA('C'!$V$8:$V$62)=0),(COUNTA('C'!$X$8:$X$62)=0)),"",COUNTIFS('C'!$X$8:$X$62,"X24",'C'!$V$8:$V$62,"&lt;=9"))</f>
        <v/>
      </c>
    </row>
    <row r="42" spans="1:26" s="2" customFormat="1" ht="13.5" customHeight="1">
      <c r="A42" s="497" t="s">
        <v>174</v>
      </c>
      <c r="B42" s="35" t="s">
        <v>33</v>
      </c>
      <c r="C42" s="24" t="str">
        <f>IF(AND(C32="",C33="",C34="",C35="",C36="",C37="",C38="",C39="",C40="",C41=""),"",(SUM(C32:C35,C38,C39)))</f>
        <v/>
      </c>
      <c r="D42" s="25" t="str">
        <f t="shared" ref="D42" si="48">IF(AND(D32="",D33="",D34="",D35="",D36="",D37="",D38="",D39="",D40="",D41=""),"",(SUM(D32:D35,D38,D39)))</f>
        <v/>
      </c>
      <c r="E42" s="25" t="str">
        <f t="shared" ref="E42" si="49">IF(AND(E32="",E33="",E34="",E35="",E36="",E37="",E38="",E39="",E40="",E41=""),"",(SUM(E32:E35,E38,E39)))</f>
        <v/>
      </c>
      <c r="F42" s="25" t="str">
        <f t="shared" ref="F42" si="50">IF(AND(F32="",F33="",F34="",F35="",F36="",F37="",F38="",F39="",F40="",F41=""),"",(SUM(F32:F35,F38,F39)))</f>
        <v/>
      </c>
      <c r="G42" s="25" t="str">
        <f t="shared" ref="G42" si="51">IF(AND(G32="",G33="",G34="",G35="",G36="",G37="",G38="",G39="",G40="",G41=""),"",(SUM(G32:G35,G38,G39)))</f>
        <v/>
      </c>
      <c r="H42" s="25" t="str">
        <f t="shared" ref="H42" si="52">IF(AND(H32="",H33="",H34="",H35="",H36="",H37="",H38="",H39="",H40="",H41=""),"",(SUM(H32:H35,H38,H39)))</f>
        <v/>
      </c>
      <c r="I42" s="25" t="str">
        <f t="shared" ref="I42" si="53">IF(AND(I32="",I33="",I34="",I35="",I36="",I37="",I38="",I39="",I40="",I41=""),"",(SUM(I32:I35,I38,I39)))</f>
        <v/>
      </c>
      <c r="J42" s="45" t="str">
        <f t="shared" ref="J42" si="54">IF(AND(J32="",J33="",J34="",J35="",J36="",J37="",J38="",J39="",J40="",J41=""),"",(SUM(J32:J35,J38,J39)))</f>
        <v/>
      </c>
      <c r="K42" s="24" t="str">
        <f t="shared" ref="K42" si="55">IF(AND(K32="",K33="",K34="",K35="",K36="",K37="",K38="",K39="",K40="",K41=""),"",(SUM(K32:K35,K38,K39)))</f>
        <v/>
      </c>
      <c r="L42" s="25" t="str">
        <f t="shared" ref="L42" si="56">IF(AND(L32="",L33="",L34="",L35="",L36="",L37="",L38="",L39="",L40="",L41=""),"",(SUM(L32:L35,L38,L39)))</f>
        <v/>
      </c>
      <c r="M42" s="25" t="str">
        <f t="shared" ref="M42" si="57">IF(AND(M32="",M33="",M34="",M35="",M36="",M37="",M38="",M39="",M40="",M41=""),"",(SUM(M32:M35,M38,M39)))</f>
        <v/>
      </c>
      <c r="N42" s="25" t="str">
        <f t="shared" ref="N42" si="58">IF(AND(N32="",N33="",N34="",N35="",N36="",N37="",N38="",N39="",N40="",N41=""),"",(SUM(N32:N35,N38,N39)))</f>
        <v/>
      </c>
      <c r="O42" s="25" t="str">
        <f t="shared" ref="O42" si="59">IF(AND(O32="",O33="",O34="",O35="",O36="",O37="",O38="",O39="",O40="",O41=""),"",(SUM(O32:O35,O38,O39)))</f>
        <v/>
      </c>
      <c r="P42" s="25" t="str">
        <f t="shared" ref="P42" si="60">IF(AND(P32="",P33="",P34="",P35="",P36="",P37="",P38="",P39="",P40="",P41=""),"",(SUM(P32:P35,P38,P39)))</f>
        <v/>
      </c>
      <c r="Q42" s="25" t="str">
        <f t="shared" ref="Q42" si="61">IF(AND(Q32="",Q33="",Q34="",Q35="",Q36="",Q37="",Q38="",Q39="",Q40="",Q41=""),"",(SUM(Q32:Q35,Q38,Q39)))</f>
        <v/>
      </c>
      <c r="R42" s="48" t="str">
        <f t="shared" ref="R42" si="62">IF(AND(R32="",R33="",R34="",R35="",R36="",R37="",R38="",R39="",R40="",R41=""),"",(SUM(R32:R35,R38,R39)))</f>
        <v/>
      </c>
      <c r="S42" s="49" t="str">
        <f t="shared" ref="S42" si="63">IF(AND(S32="",S33="",S34="",S35="",S36="",S37="",S38="",S39="",S40="",S41=""),"",(SUM(S32:S35,S38,S39)))</f>
        <v/>
      </c>
      <c r="T42" s="25" t="str">
        <f t="shared" ref="T42" si="64">IF(AND(T32="",T33="",T34="",T35="",T36="",T37="",T38="",T39="",T40="",T41=""),"",(SUM(T32:T35,T38,T39)))</f>
        <v/>
      </c>
      <c r="U42" s="25" t="str">
        <f t="shared" ref="U42" si="65">IF(AND(U32="",U33="",U34="",U35="",U36="",U37="",U38="",U39="",U40="",U41=""),"",(SUM(U32:U35,U38,U39)))</f>
        <v/>
      </c>
      <c r="V42" s="25" t="str">
        <f t="shared" ref="V42" si="66">IF(AND(V32="",V33="",V34="",V35="",V36="",V37="",V38="",V39="",V40="",V41=""),"",(SUM(V32:V35,V38,V39)))</f>
        <v/>
      </c>
      <c r="W42" s="25" t="str">
        <f t="shared" ref="W42" si="67">IF(AND(W32="",W33="",W34="",W35="",W36="",W37="",W38="",W39="",W40="",W41=""),"",(SUM(W32:W35,W38,W39)))</f>
        <v/>
      </c>
      <c r="X42" s="25" t="str">
        <f t="shared" ref="X42" si="68">IF(AND(X32="",X33="",X34="",X35="",X36="",X37="",X38="",X39="",X40="",X41=""),"",(SUM(X32:X35,X38,X39)))</f>
        <v/>
      </c>
      <c r="Y42" s="25" t="str">
        <f t="shared" ref="Y42" si="69">IF(AND(Y32="",Y33="",Y34="",Y35="",Y36="",Y37="",Y38="",Y39="",Y40="",Y41=""),"",(SUM(Y32:Y35,Y38,Y39)))</f>
        <v/>
      </c>
      <c r="Z42" s="48" t="str">
        <f t="shared" ref="Z42" si="70">IF(AND(Z32="",Z33="",Z34="",Z35="",Z36="",Z37="",Z38="",Z39="",Z40="",Z41=""),"",(SUM(Z32:Z35,Z38,Z39)))</f>
        <v/>
      </c>
    </row>
    <row r="43" spans="1:26" s="2" customFormat="1" ht="13.5" customHeight="1">
      <c r="A43" s="498"/>
      <c r="B43" s="36" t="s">
        <v>169</v>
      </c>
      <c r="C43" s="27" t="str">
        <f>IF(C42="","",IF(C42=0,0,((C42/(SUM(C32:C37))*100))))</f>
        <v/>
      </c>
      <c r="D43" s="28" t="str">
        <f t="shared" ref="D43" si="71">IF(D42="","",IF(D42=0,0,((D42/(SUM(D32:D37))*100))))</f>
        <v/>
      </c>
      <c r="E43" s="28" t="str">
        <f t="shared" ref="E43" si="72">IF(E42="","",IF(E42=0,0,((E42/(SUM(E32:E37))*100))))</f>
        <v/>
      </c>
      <c r="F43" s="28" t="str">
        <f t="shared" ref="F43" si="73">IF(F42="","",IF(F42=0,0,((F42/(SUM(F32:F37))*100))))</f>
        <v/>
      </c>
      <c r="G43" s="28" t="str">
        <f t="shared" ref="G43" si="74">IF(G42="","",IF(G42=0,0,((G42/(SUM(G32:G37))*100))))</f>
        <v/>
      </c>
      <c r="H43" s="28" t="str">
        <f t="shared" ref="H43" si="75">IF(H42="","",IF(H42=0,0,((H42/(SUM(H32:H37))*100))))</f>
        <v/>
      </c>
      <c r="I43" s="28" t="str">
        <f t="shared" ref="I43" si="76">IF(I42="","",IF(I42=0,0,((I42/(SUM(I32:I37))*100))))</f>
        <v/>
      </c>
      <c r="J43" s="46" t="str">
        <f t="shared" ref="J43" si="77">IF(J42="","",IF(J42=0,0,((J42/(SUM(J32:J37))*100))))</f>
        <v/>
      </c>
      <c r="K43" s="27" t="str">
        <f t="shared" ref="K43" si="78">IF(K42="","",IF(K42=0,0,((K42/(SUM(K32:K37))*100))))</f>
        <v/>
      </c>
      <c r="L43" s="28" t="str">
        <f t="shared" ref="L43" si="79">IF(L42="","",IF(L42=0,0,((L42/(SUM(L32:L37))*100))))</f>
        <v/>
      </c>
      <c r="M43" s="28" t="str">
        <f t="shared" ref="M43" si="80">IF(M42="","",IF(M42=0,0,((M42/(SUM(M32:M37))*100))))</f>
        <v/>
      </c>
      <c r="N43" s="28" t="str">
        <f t="shared" ref="N43" si="81">IF(N42="","",IF(N42=0,0,((N42/(SUM(N32:N37))*100))))</f>
        <v/>
      </c>
      <c r="O43" s="28" t="str">
        <f t="shared" ref="O43" si="82">IF(O42="","",IF(O42=0,0,((O42/(SUM(O32:O37))*100))))</f>
        <v/>
      </c>
      <c r="P43" s="28" t="str">
        <f t="shared" ref="P43" si="83">IF(P42="","",IF(P42=0,0,((P42/(SUM(P32:P37))*100))))</f>
        <v/>
      </c>
      <c r="Q43" s="28" t="str">
        <f t="shared" ref="Q43" si="84">IF(Q42="","",IF(Q42=0,0,((Q42/(SUM(Q32:Q37))*100))))</f>
        <v/>
      </c>
      <c r="R43" s="50" t="str">
        <f t="shared" ref="R43" si="85">IF(R42="","",IF(R42=0,0,((R42/(SUM(R32:R37))*100))))</f>
        <v/>
      </c>
      <c r="S43" s="51" t="str">
        <f t="shared" ref="S43" si="86">IF(S42="","",IF(S42=0,0,((S42/(SUM(S32:S37))*100))))</f>
        <v/>
      </c>
      <c r="T43" s="28" t="str">
        <f t="shared" ref="T43" si="87">IF(T42="","",IF(T42=0,0,((T42/(SUM(T32:T37))*100))))</f>
        <v/>
      </c>
      <c r="U43" s="28" t="str">
        <f t="shared" ref="U43" si="88">IF(U42="","",IF(U42=0,0,((U42/(SUM(U32:U37))*100))))</f>
        <v/>
      </c>
      <c r="V43" s="28" t="str">
        <f t="shared" ref="V43" si="89">IF(V42="","",IF(V42=0,0,((V42/(SUM(V32:V37))*100))))</f>
        <v/>
      </c>
      <c r="W43" s="28" t="str">
        <f t="shared" ref="W43" si="90">IF(W42="","",IF(W42=0,0,((W42/(SUM(W32:W37))*100))))</f>
        <v/>
      </c>
      <c r="X43" s="28" t="str">
        <f t="shared" ref="X43" si="91">IF(X42="","",IF(X42=0,0,((X42/(SUM(X32:X37))*100))))</f>
        <v/>
      </c>
      <c r="Y43" s="28" t="str">
        <f t="shared" ref="Y43" si="92">IF(Y42="","",IF(Y42=0,0,((Y42/(SUM(Y32:Y37))*100))))</f>
        <v/>
      </c>
      <c r="Z43" s="50" t="str">
        <f t="shared" ref="Z43" si="93">IF(Z42="","",IF(Z42=0,0,((Z42/(SUM(Z32:Z37))*100))))</f>
        <v/>
      </c>
    </row>
    <row r="44" spans="1:26" s="2" customFormat="1" ht="13.5" customHeight="1">
      <c r="A44" s="499" t="s">
        <v>164</v>
      </c>
      <c r="B44" s="29" t="s">
        <v>28</v>
      </c>
      <c r="C44" s="9" t="str">
        <f>IF(OR((COUNTA(D!$P$8:$P$62)=0),(COUNTA(D!$R$8:$R$62)=0)),"",COUNTIFS(D!$R$8:$R$62,"X01",D!$Q$8:$Q$62,"A"))</f>
        <v/>
      </c>
      <c r="D44" s="10" t="str">
        <f>IF(OR((COUNTA(D!$P$8:$P$62)=0),(COUNTA(D!$R$8:$R$62)=0)),"",COUNTIFS(D!$R$8:$R$62,"X02",D!$Q$8:$Q$62,"A"))</f>
        <v/>
      </c>
      <c r="E44" s="11" t="str">
        <f>IF(OR((COUNTA(D!$P$8:$P$62)=0),(COUNTA(D!$R$8:$R$62)=0)),"",COUNTIFS(D!$R$8:$R$62,"X03",D!$Q$8:$Q$62,"A"))</f>
        <v/>
      </c>
      <c r="F44" s="11" t="str">
        <f>IF(OR((COUNTA(D!$P$8:$P$62)=0),(COUNTA(D!$R$8:$R$62)=0)),"",COUNTIFS(D!$R$8:$R$62,"X04",D!$Q$8:$Q$62,"A"))</f>
        <v/>
      </c>
      <c r="G44" s="11" t="str">
        <f>IF(OR((COUNTA(D!$P$8:$P$62)=0),(COUNTA(D!$R$8:$R$62)=0)),"",COUNTIFS(D!$R$8:$R$62,"X05",D!$Q$8:$Q$62,"A"))</f>
        <v/>
      </c>
      <c r="H44" s="11" t="str">
        <f>IF(OR((COUNTA(D!$P$8:$P$62)=0),(COUNTA(D!$R$8:$R$62)=0)),"",COUNTIFS(D!$R$8:$R$62,"X06",D!$Q$8:$Q$62,"A"))</f>
        <v/>
      </c>
      <c r="I44" s="11" t="str">
        <f>IF(OR((COUNTA(D!$P$8:$P$62)=0),(COUNTA(D!$R$8:$R$62)=0)),"",COUNTIFS(D!$R$8:$R$62,"X07",D!$Q$8:$Q$62,"A"))</f>
        <v/>
      </c>
      <c r="J44" s="40" t="str">
        <f>IF(OR((COUNTA(D!$P$8:$P$62)=0),(COUNTA(D!$R$8:$R$62)=0)),"",COUNTIFS(D!$R$8:$R$62,"X08",D!$Q$8:$Q$62,"A"))</f>
        <v/>
      </c>
      <c r="K44" s="41" t="str">
        <f>IF(OR((COUNTA(D!$S$8:$S$62)=0),(COUNTA(D!$U$8:$U$62)=0)),"",COUNTIFS(D!$U$8:$U$62,"X09",D!$T$8:$T$62,"A"))</f>
        <v/>
      </c>
      <c r="L44" s="11" t="str">
        <f>IF(OR((COUNTA(D!$S$8:$S$62)=0),(COUNTA(D!$U$8:$U$62)=0)),"",COUNTIFS(D!$U$8:$U$62,"X10",D!$T$8:$T$62,"A"))</f>
        <v/>
      </c>
      <c r="M44" s="11" t="str">
        <f>IF(OR((COUNTA(D!$S$8:$S$62)=0),(COUNTA(D!$U$8:$U$62)=0)),"",COUNTIFS(D!$U$8:$U$62,"X11",D!$T$8:$T$62,"A"))</f>
        <v/>
      </c>
      <c r="N44" s="11" t="str">
        <f>IF(OR((COUNTA(D!$S$8:$S$62)=0),(COUNTA(D!$U$8:$U$62)=0)),"",COUNTIFS(D!$U$8:$U$62,"X12",D!$T$8:$T$62,"A"))</f>
        <v/>
      </c>
      <c r="O44" s="11" t="str">
        <f>IF(OR((COUNTA(D!$S$8:$S$62)=0),(COUNTA(D!$U$8:$U$62)=0)),"",COUNTIFS(D!$U$8:$U$62,"X13",D!$T$8:$T$62,"A"))</f>
        <v/>
      </c>
      <c r="P44" s="11" t="str">
        <f>IF(OR((COUNTA(D!$S$8:$S$62)=0),(COUNTA(D!$U$8:$U$62)=0)),"",COUNTIFS(D!$U$8:$U$62,"X14",D!$T$8:$T$62,"A"))</f>
        <v/>
      </c>
      <c r="Q44" s="11" t="str">
        <f>IF(OR((COUNTA(D!$S$8:$S$62)=0),(COUNTA(D!$U$8:$U$62)=0)),"",COUNTIFS(D!$U$8:$U$62,"X15",D!$T$8:$T$62,"A"))</f>
        <v/>
      </c>
      <c r="R44" s="40" t="str">
        <f>IF(OR((COUNTA(D!$S$8:$S$62)=0),(COUNTA(D!$U$8:$U$62)=0)),"",COUNTIFS(D!$U$8:$U$62,"X16",D!$T$8:$T$62,"A"))</f>
        <v/>
      </c>
      <c r="S44" s="41" t="str">
        <f>IF(OR((COUNTA(D!$V$8:$V$62)=0),(COUNTA(D!$X$8:$X$62)=0)),"",COUNTIFS(D!$X$8:$X$62,"X17",D!$W$8:$W$62,"A"))</f>
        <v/>
      </c>
      <c r="T44" s="11" t="str">
        <f>IF(OR((COUNTA(D!$V$8:$V$62)=0),(COUNTA(D!$X$8:$X$62)=0)),"",COUNTIFS(D!$X$8:$X$62,"X18",D!$W$8:$W$62,"A"))</f>
        <v/>
      </c>
      <c r="U44" s="11" t="str">
        <f>IF(OR((COUNTA(D!$V$8:$V$62)=0),(COUNTA(D!$X$8:$X$62)=0)),"",COUNTIFS(D!$X$8:$X$62,"X19",D!$W$8:$W$62,"A"))</f>
        <v/>
      </c>
      <c r="V44" s="11" t="str">
        <f>IF(OR((COUNTA(D!$V$8:$V$62)=0),(COUNTA(D!$X$8:$X$62)=0)),"",COUNTIFS(D!$X$8:$X$62,"X20",D!$W$8:$W$62,"A"))</f>
        <v/>
      </c>
      <c r="W44" s="11" t="str">
        <f>IF(OR((COUNTA(D!$V$8:$V$62)=0),(COUNTA(D!$X$8:$X$62)=0)),"",COUNTIFS(D!$X$8:$X$62,"X21",D!$W$8:$W$62,"A"))</f>
        <v/>
      </c>
      <c r="X44" s="11" t="str">
        <f>IF(OR((COUNTA(D!$V$8:$V$62)=0),(COUNTA(D!$X$8:$X$62)=0)),"",COUNTIFS(D!$X$8:$X$62,"X22",D!$W$8:$W$62,"A"))</f>
        <v/>
      </c>
      <c r="Y44" s="11" t="str">
        <f>IF(OR((COUNTA(D!$V$8:$V$62)=0),(COUNTA(D!$X$8:$X$62)=0)),"",COUNTIFS(D!$X$8:$X$62,"X23",D!$W$8:$W$62,"A"))</f>
        <v/>
      </c>
      <c r="Z44" s="40" t="str">
        <f>IF(OR((COUNTA(D!$V$8:$V$62)=0),(COUNTA(D!$X$8:$X$62)=0)),"",COUNTIFS(D!$X$8:$X$62,"X24",D!$W$8:$W$62,"A"))</f>
        <v/>
      </c>
    </row>
    <row r="45" spans="1:26" s="2" customFormat="1" ht="13.5" customHeight="1">
      <c r="A45" s="500"/>
      <c r="B45" s="30" t="s">
        <v>29</v>
      </c>
      <c r="C45" s="13" t="str">
        <f>IF(OR((COUNTA(D!$P$8:$P$62)=0),(COUNTA(D!$R$8:$R$62)=0)),"",COUNTIFS(D!$R$8:$R$62,"X01",D!$Q$8:$Q$62,"B"))</f>
        <v/>
      </c>
      <c r="D45" s="14" t="str">
        <f>IF(OR((COUNTA(D!$P$8:$P$62)=0),(COUNTA(D!$R$8:$R$62)=0)),"",COUNTIFS(D!$R$8:$R$62,"X02",D!$Q$8:$Q$62,"B"))</f>
        <v/>
      </c>
      <c r="E45" s="14" t="str">
        <f>IF(OR((COUNTA(D!$P$8:$P$62)=0),(COUNTA(D!$R$8:$R$62)=0)),"",COUNTIFS(D!$R$8:$R$62,"X03",D!$Q$8:$Q$62,"B"))</f>
        <v/>
      </c>
      <c r="F45" s="14" t="str">
        <f>IF(OR((COUNTA(D!$P$8:$P$62)=0),(COUNTA(D!$R$8:$R$62)=0)),"",COUNTIFS(D!$R$8:$R$62,"X04",D!$Q$8:$Q$62,"B"))</f>
        <v/>
      </c>
      <c r="G45" s="14" t="str">
        <f>IF(OR((COUNTA(D!$P$8:$P$62)=0),(COUNTA(D!$R$8:$R$62)=0)),"",COUNTIFS(D!$R$8:$R$62,"X05",D!$Q$8:$Q$62,"B"))</f>
        <v/>
      </c>
      <c r="H45" s="14" t="str">
        <f>IF(OR((COUNTA(D!$P$8:$P$62)=0),(COUNTA(D!$R$8:$R$62)=0)),"",COUNTIFS(D!$R$8:$R$62,"X06",D!$Q$8:$Q$62,"B"))</f>
        <v/>
      </c>
      <c r="I45" s="14" t="str">
        <f>IF(OR((COUNTA(D!$P$8:$P$62)=0),(COUNTA(D!$R$8:$R$62)=0)),"",COUNTIFS(D!$R$8:$R$62,"X07",D!$Q$8:$Q$62,"B"))</f>
        <v/>
      </c>
      <c r="J45" s="42" t="str">
        <f>IF(OR((COUNTA(D!$P$8:$P$62)=0),(COUNTA(D!$R$8:$R$62)=0)),"",COUNTIFS(D!$R$8:$R$62,"X08",D!$Q$8:$Q$62,"B"))</f>
        <v/>
      </c>
      <c r="K45" s="13" t="str">
        <f>IF(OR((COUNTA(D!$S$8:$S$62)=0),(COUNTA(D!$U$8:$U$62)=0)),"",COUNTIFS(D!$U$8:$U$62,"X09",D!$T$8:$T$62,"B"))</f>
        <v/>
      </c>
      <c r="L45" s="14" t="str">
        <f>IF(OR((COUNTA(D!$S$8:$S$62)=0),(COUNTA(D!$U$8:$U$62)=0)),"",COUNTIFS(D!$U$8:$U$62,"X10",D!$T$8:$T$62,"B"))</f>
        <v/>
      </c>
      <c r="M45" s="14" t="str">
        <f>IF(OR((COUNTA(D!$S$8:$S$62)=0),(COUNTA(D!$U$8:$U$62)=0)),"",COUNTIFS(D!$U$8:$U$62,"X11",D!$T$8:$T$62,"B"))</f>
        <v/>
      </c>
      <c r="N45" s="14" t="str">
        <f>IF(OR((COUNTA(D!$S$8:$S$62)=0),(COUNTA(D!$U$8:$U$62)=0)),"",COUNTIFS(D!$U$8:$U$62,"X12",D!$T$8:$T$62,"B"))</f>
        <v/>
      </c>
      <c r="O45" s="14" t="str">
        <f>IF(OR((COUNTA(D!$S$8:$S$62)=0),(COUNTA(D!$U$8:$U$62)=0)),"",COUNTIFS(D!$U$8:$U$62,"X13",D!$T$8:$T$62,"B"))</f>
        <v/>
      </c>
      <c r="P45" s="14" t="str">
        <f>IF(OR((COUNTA(D!$S$8:$S$62)=0),(COUNTA(D!$U$8:$U$62)=0)),"",COUNTIFS(D!$U$8:$U$62,"X14",D!$T$8:$T$62,"B"))</f>
        <v/>
      </c>
      <c r="Q45" s="14" t="str">
        <f>IF(OR((COUNTA(D!$S$8:$S$62)=0),(COUNTA(D!$U$8:$U$62)=0)),"",COUNTIFS(D!$U$8:$U$62,"X15",D!$T$8:$T$62,"B"))</f>
        <v/>
      </c>
      <c r="R45" s="42" t="str">
        <f>IF(OR((COUNTA(D!$S$8:$S$62)=0),(COUNTA(D!$U$8:$U$62)=0)),"",COUNTIFS(D!$U$8:$U$62,"X16",D!$T$8:$T$62,"B"))</f>
        <v/>
      </c>
      <c r="S45" s="13" t="str">
        <f>IF(OR((COUNTA(D!$V$8:$V$62)=0),(COUNTA(D!$X$8:$X$62)=0)),"",COUNTIFS(D!$X$8:$X$62,"X17",D!$W$8:$W$62,"B"))</f>
        <v/>
      </c>
      <c r="T45" s="14" t="str">
        <f>IF(OR((COUNTA(D!$V$8:$V$62)=0),(COUNTA(D!$X$8:$X$62)=0)),"",COUNTIFS(D!$X$8:$X$62,"X18",D!$W$8:$W$62,"B"))</f>
        <v/>
      </c>
      <c r="U45" s="14" t="str">
        <f>IF(OR((COUNTA(D!$V$8:$V$62)=0),(COUNTA(D!$X$8:$X$62)=0)),"",COUNTIFS(D!$X$8:$X$62,"X19",D!$W$8:$W$62,"B"))</f>
        <v/>
      </c>
      <c r="V45" s="14" t="str">
        <f>IF(OR((COUNTA(D!$V$8:$V$62)=0),(COUNTA(D!$X$8:$X$62)=0)),"",COUNTIFS(D!$X$8:$X$62,"X20",D!$W$8:$W$62,"B"))</f>
        <v/>
      </c>
      <c r="W45" s="14" t="str">
        <f>IF(OR((COUNTA(D!$V$8:$V$62)=0),(COUNTA(D!$X$8:$X$62)=0)),"",COUNTIFS(D!$X$8:$X$62,"X21",D!$W$8:$W$62,"B"))</f>
        <v/>
      </c>
      <c r="X45" s="14" t="str">
        <f>IF(OR((COUNTA(D!$V$8:$V$62)=0),(COUNTA(D!$X$8:$X$62)=0)),"",COUNTIFS(D!$X$8:$X$62,"X22",D!$W$8:$W$62,"B"))</f>
        <v/>
      </c>
      <c r="Y45" s="14" t="str">
        <f>IF(OR((COUNTA(D!$V$8:$V$62)=0),(COUNTA(D!$X$8:$X$62)=0)),"",COUNTIFS(D!$X$8:$X$62,"X23",D!$W$8:$W$62,"B"))</f>
        <v/>
      </c>
      <c r="Z45" s="42" t="str">
        <f>IF(OR((COUNTA(D!$V$8:$V$62)=0),(COUNTA(D!$X$8:$X$62)=0)),"",COUNTIFS(D!$X$8:$X$62,"X24",D!$W$8:$W$62,"B"))</f>
        <v/>
      </c>
    </row>
    <row r="46" spans="1:26" s="2" customFormat="1" ht="13.5" customHeight="1">
      <c r="A46" s="500"/>
      <c r="B46" s="30" t="s">
        <v>30</v>
      </c>
      <c r="C46" s="13" t="str">
        <f>IF(OR((COUNTA(D!$P$8:$P$62)=0),(COUNTA(D!$R$8:$R$62)=0)),"",COUNTIFS(D!$R$8:$R$62,"X01",D!$Q$8:$Q$62,"C"))</f>
        <v/>
      </c>
      <c r="D46" s="14" t="str">
        <f>IF(OR((COUNTA(D!$P$8:$P$62)=0),(COUNTA(D!$R$8:$R$62)=0)),"",COUNTIFS(D!$R$8:$R$62,"X02",D!$Q$8:$Q$62,"C"))</f>
        <v/>
      </c>
      <c r="E46" s="14" t="str">
        <f>IF(OR((COUNTA(D!$P$8:$P$62)=0),(COUNTA(D!$R$8:$R$62)=0)),"",COUNTIFS(D!$R$8:$R$62,"X03",D!$Q$8:$Q$62,"C"))</f>
        <v/>
      </c>
      <c r="F46" s="14" t="str">
        <f>IF(OR((COUNTA(D!$P$8:$P$62)=0),(COUNTA(D!$R$8:$R$62)=0)),"",COUNTIFS(D!$R$8:$R$62,"X04",D!$Q$8:$Q$62,"C"))</f>
        <v/>
      </c>
      <c r="G46" s="14" t="str">
        <f>IF(OR((COUNTA(D!$P$8:$P$62)=0),(COUNTA(D!$R$8:$R$62)=0)),"",COUNTIFS(D!$R$8:$R$62,"X05",D!$Q$8:$Q$62,"C"))</f>
        <v/>
      </c>
      <c r="H46" s="14" t="str">
        <f>IF(OR((COUNTA(D!$P$8:$P$62)=0),(COUNTA(D!$R$8:$R$62)=0)),"",COUNTIFS(D!$R$8:$R$62,"X06",D!$Q$8:$Q$62,"C"))</f>
        <v/>
      </c>
      <c r="I46" s="14" t="str">
        <f>IF(OR((COUNTA(D!$P$8:$P$62)=0),(COUNTA(D!$R$8:$R$62)=0)),"",COUNTIFS(D!$R$8:$R$62,"X07",D!$Q$8:$Q$62,"C"))</f>
        <v/>
      </c>
      <c r="J46" s="42" t="str">
        <f>IF(OR((COUNTA(D!$P$8:$P$62)=0),(COUNTA(D!$R$8:$R$62)=0)),"",COUNTIFS(D!$R$8:$R$62,"X08",D!$Q$8:$Q$62,"C"))</f>
        <v/>
      </c>
      <c r="K46" s="13" t="str">
        <f>IF(OR((COUNTA(D!$S$8:$S$62)=0),(COUNTA(D!$U$8:$U$62)=0)),"",COUNTIFS(D!$U$8:$U$62,"X09",D!$T$8:$T$62,"C"))</f>
        <v/>
      </c>
      <c r="L46" s="14" t="str">
        <f>IF(OR((COUNTA(D!$S$8:$S$62)=0),(COUNTA(D!$U$8:$U$62)=0)),"",COUNTIFS(D!$U$8:$U$62,"X10",D!$T$8:$T$62,"C"))</f>
        <v/>
      </c>
      <c r="M46" s="14" t="str">
        <f>IF(OR((COUNTA(D!$S$8:$S$62)=0),(COUNTA(D!$U$8:$U$62)=0)),"",COUNTIFS(D!$U$8:$U$62,"X11",D!$T$8:$T$62,"C"))</f>
        <v/>
      </c>
      <c r="N46" s="14" t="str">
        <f>IF(OR((COUNTA(D!$S$8:$S$62)=0),(COUNTA(D!$U$8:$U$62)=0)),"",COUNTIFS(D!$U$8:$U$62,"X12",D!$T$8:$T$62,"C"))</f>
        <v/>
      </c>
      <c r="O46" s="14" t="str">
        <f>IF(OR((COUNTA(D!$S$8:$S$62)=0),(COUNTA(D!$U$8:$U$62)=0)),"",COUNTIFS(D!$U$8:$U$62,"X13",D!$T$8:$T$62,"C"))</f>
        <v/>
      </c>
      <c r="P46" s="14" t="str">
        <f>IF(OR((COUNTA(D!$S$8:$S$62)=0),(COUNTA(D!$U$8:$U$62)=0)),"",COUNTIFS(D!$U$8:$U$62,"X14",D!$T$8:$T$62,"C"))</f>
        <v/>
      </c>
      <c r="Q46" s="14" t="str">
        <f>IF(OR((COUNTA(D!$S$8:$S$62)=0),(COUNTA(D!$U$8:$U$62)=0)),"",COUNTIFS(D!$U$8:$U$62,"X15",D!$T$8:$T$62,"C"))</f>
        <v/>
      </c>
      <c r="R46" s="42" t="str">
        <f>IF(OR((COUNTA(D!$S$8:$S$62)=0),(COUNTA(D!$U$8:$U$62)=0)),"",COUNTIFS(D!$U$8:$U$62,"X16",D!$T$8:$T$62,"C"))</f>
        <v/>
      </c>
      <c r="S46" s="13" t="str">
        <f>IF(OR((COUNTA(D!$V$8:$V$62)=0),(COUNTA(D!$X$8:$X$62)=0)),"",COUNTIFS(D!$X$8:$X$62,"X17",D!$W$8:$W$62,"C"))</f>
        <v/>
      </c>
      <c r="T46" s="14" t="str">
        <f>IF(OR((COUNTA(D!$V$8:$V$62)=0),(COUNTA(D!$X$8:$X$62)=0)),"",COUNTIFS(D!$X$8:$X$62,"X18",D!$W$8:$W$62,"C"))</f>
        <v/>
      </c>
      <c r="U46" s="14" t="str">
        <f>IF(OR((COUNTA(D!$V$8:$V$62)=0),(COUNTA(D!$X$8:$X$62)=0)),"",COUNTIFS(D!$X$8:$X$62,"X19",D!$W$8:$W$62,"C"))</f>
        <v/>
      </c>
      <c r="V46" s="14" t="str">
        <f>IF(OR((COUNTA(D!$V$8:$V$62)=0),(COUNTA(D!$X$8:$X$62)=0)),"",COUNTIFS(D!$X$8:$X$62,"X20",D!$W$8:$W$62,"C"))</f>
        <v/>
      </c>
      <c r="W46" s="14" t="str">
        <f>IF(OR((COUNTA(D!$V$8:$V$62)=0),(COUNTA(D!$X$8:$X$62)=0)),"",COUNTIFS(D!$X$8:$X$62,"X21",D!$W$8:$W$62,"C"))</f>
        <v/>
      </c>
      <c r="X46" s="14" t="str">
        <f>IF(OR((COUNTA(D!$V$8:$V$62)=0),(COUNTA(D!$X$8:$X$62)=0)),"",COUNTIFS(D!$X$8:$X$62,"X22",D!$W$8:$W$62,"C"))</f>
        <v/>
      </c>
      <c r="Y46" s="14" t="str">
        <f>IF(OR((COUNTA(D!$V$8:$V$62)=0),(COUNTA(D!$X$8:$X$62)=0)),"",COUNTIFS(D!$X$8:$X$62,"X23",D!$W$8:$W$62,"C"))</f>
        <v/>
      </c>
      <c r="Z46" s="42" t="str">
        <f>IF(OR((COUNTA(D!$V$8:$V$62)=0),(COUNTA(D!$X$8:$X$62)=0)),"",COUNTIFS(D!$X$8:$X$62,"X24",D!$W$8:$W$62,"C"))</f>
        <v/>
      </c>
    </row>
    <row r="47" spans="1:26" s="2" customFormat="1" ht="13.5" customHeight="1">
      <c r="A47" s="500"/>
      <c r="B47" s="30" t="s">
        <v>31</v>
      </c>
      <c r="C47" s="13" t="str">
        <f>IF(OR((COUNTA(D!$P$8:$P$62)=0),(COUNTA(D!$R$8:$R$62)=0)),"",COUNTIFS(D!$R$8:$R$62,"X01",D!$Q$8:$Q$62,"S"))</f>
        <v/>
      </c>
      <c r="D47" s="14" t="str">
        <f>IF(OR((COUNTA(D!$P$8:$P$62)=0),(COUNTA(D!$R$8:$R$62)=0)),"",COUNTIFS(D!$R$8:$R$62,"X02",D!$Q$8:$Q$62,"S"))</f>
        <v/>
      </c>
      <c r="E47" s="14" t="str">
        <f>IF(OR((COUNTA(D!$P$8:$P$62)=0),(COUNTA(D!$R$8:$R$62)=0)),"",COUNTIFS(D!$R$8:$R$62,"X03",D!$Q$8:$Q$62,"S"))</f>
        <v/>
      </c>
      <c r="F47" s="14" t="str">
        <f>IF(OR((COUNTA(D!$P$8:$P$62)=0),(COUNTA(D!$R$8:$R$62)=0)),"",COUNTIFS(D!$R$8:$R$62,"X04",D!$Q$8:$Q$62,"S"))</f>
        <v/>
      </c>
      <c r="G47" s="14" t="str">
        <f>IF(OR((COUNTA(D!$P$8:$P$62)=0),(COUNTA(D!$R$8:$R$62)=0)),"",COUNTIFS(D!$R$8:$R$62,"X05",D!$Q$8:$Q$62,"S"))</f>
        <v/>
      </c>
      <c r="H47" s="14" t="str">
        <f>IF(OR((COUNTA(D!$P$8:$P$62)=0),(COUNTA(D!$R$8:$R$62)=0)),"",COUNTIFS(D!$R$8:$R$62,"X06",D!$Q$8:$Q$62,"S"))</f>
        <v/>
      </c>
      <c r="I47" s="14" t="str">
        <f>IF(OR((COUNTA(D!$P$8:$P$62)=0),(COUNTA(D!$R$8:$R$62)=0)),"",COUNTIFS(D!$R$8:$R$62,"X07",D!$Q$8:$Q$62,"S"))</f>
        <v/>
      </c>
      <c r="J47" s="42" t="str">
        <f>IF(OR((COUNTA(D!$P$8:$P$62)=0),(COUNTA(D!$R$8:$R$62)=0)),"",COUNTIFS(D!$R$8:$R$62,"X08",D!$Q$8:$Q$62,"S"))</f>
        <v/>
      </c>
      <c r="K47" s="13" t="str">
        <f>IF(OR((COUNTA(D!$S$8:$S$62)=0),(COUNTA(D!$U$8:$U$62)=0)),"",COUNTIFS(D!$U$8:$U$62,"X09",D!$T$8:$T$62,"S"))</f>
        <v/>
      </c>
      <c r="L47" s="14" t="str">
        <f>IF(OR((COUNTA(D!$S$8:$S$62)=0),(COUNTA(D!$U$8:$U$62)=0)),"",COUNTIFS(D!$U$8:$U$62,"X10",D!$T$8:$T$62,"S"))</f>
        <v/>
      </c>
      <c r="M47" s="14" t="str">
        <f>IF(OR((COUNTA(D!$S$8:$S$62)=0),(COUNTA(D!$U$8:$U$62)=0)),"",COUNTIFS(D!$U$8:$U$62,"X11",D!$T$8:$T$62,"S"))</f>
        <v/>
      </c>
      <c r="N47" s="14" t="str">
        <f>IF(OR((COUNTA(D!$S$8:$S$62)=0),(COUNTA(D!$U$8:$U$62)=0)),"",COUNTIFS(D!$U$8:$U$62,"X12",D!$T$8:$T$62,"S"))</f>
        <v/>
      </c>
      <c r="O47" s="14" t="str">
        <f>IF(OR((COUNTA(D!$S$8:$S$62)=0),(COUNTA(D!$U$8:$U$62)=0)),"",COUNTIFS(D!$U$8:$U$62,"X13",D!$T$8:$T$62,"S"))</f>
        <v/>
      </c>
      <c r="P47" s="14" t="str">
        <f>IF(OR((COUNTA(D!$S$8:$S$62)=0),(COUNTA(D!$U$8:$U$62)=0)),"",COUNTIFS(D!$U$8:$U$62,"X14",D!$T$8:$T$62,"S"))</f>
        <v/>
      </c>
      <c r="Q47" s="14" t="str">
        <f>IF(OR((COUNTA(D!$S$8:$S$62)=0),(COUNTA(D!$U$8:$U$62)=0)),"",COUNTIFS(D!$U$8:$U$62,"X15",D!$T$8:$T$62,"S"))</f>
        <v/>
      </c>
      <c r="R47" s="42" t="str">
        <f>IF(OR((COUNTA(D!$S$8:$S$62)=0),(COUNTA(D!$U$8:$U$62)=0)),"",COUNTIFS(D!$U$8:$U$62,"X16",D!$T$8:$T$62,"S"))</f>
        <v/>
      </c>
      <c r="S47" s="13" t="str">
        <f>IF(OR((COUNTA(D!$V$8:$V$62)=0),(COUNTA(D!$X$8:$X$62)=0)),"",COUNTIFS(D!$X$8:$X$62,"X17",D!$W$8:$W$62,"S"))</f>
        <v/>
      </c>
      <c r="T47" s="14" t="str">
        <f>IF(OR((COUNTA(D!$V$8:$V$62)=0),(COUNTA(D!$X$8:$X$62)=0)),"",COUNTIFS(D!$X$8:$X$62,"X18",D!$W$8:$W$62,"S"))</f>
        <v/>
      </c>
      <c r="U47" s="14" t="str">
        <f>IF(OR((COUNTA(D!$V$8:$V$62)=0),(COUNTA(D!$X$8:$X$62)=0)),"",COUNTIFS(D!$X$8:$X$62,"X19",D!$W$8:$W$62,"S"))</f>
        <v/>
      </c>
      <c r="V47" s="14" t="str">
        <f>IF(OR((COUNTA(D!$V$8:$V$62)=0),(COUNTA(D!$X$8:$X$62)=0)),"",COUNTIFS(D!$X$8:$X$62,"X20",D!$W$8:$W$62,"S"))</f>
        <v/>
      </c>
      <c r="W47" s="14" t="str">
        <f>IF(OR((COUNTA(D!$V$8:$V$62)=0),(COUNTA(D!$X$8:$X$62)=0)),"",COUNTIFS(D!$X$8:$X$62,"X21",D!$W$8:$W$62,"S"))</f>
        <v/>
      </c>
      <c r="X47" s="14" t="str">
        <f>IF(OR((COUNTA(D!$V$8:$V$62)=0),(COUNTA(D!$X$8:$X$62)=0)),"",COUNTIFS(D!$X$8:$X$62,"X22",D!$W$8:$W$62,"S"))</f>
        <v/>
      </c>
      <c r="Y47" s="14" t="str">
        <f>IF(OR((COUNTA(D!$V$8:$V$62)=0),(COUNTA(D!$X$8:$X$62)=0)),"",COUNTIFS(D!$X$8:$X$62,"X23",D!$W$8:$W$62,"S"))</f>
        <v/>
      </c>
      <c r="Z47" s="42" t="str">
        <f>IF(OR((COUNTA(D!$V$8:$V$62)=0),(COUNTA(D!$X$8:$X$62)=0)),"",COUNTIFS(D!$X$8:$X$62,"X24",D!$W$8:$W$62,"S"))</f>
        <v/>
      </c>
    </row>
    <row r="48" spans="1:26" s="2" customFormat="1" ht="13.5" customHeight="1">
      <c r="A48" s="500"/>
      <c r="B48" s="31" t="s">
        <v>32</v>
      </c>
      <c r="C48" s="16" t="str">
        <f>IF(OR((COUNTA(D!$P$8:$P$62)=0),(COUNTA(D!$R$8:$R$62)=0)),"",COUNTIFS(D!$R$8:$R$62,"X01",D!$Q$8:$Q$62,"W"))</f>
        <v/>
      </c>
      <c r="D48" s="17" t="str">
        <f>IF(OR((COUNTA(D!$P$8:$P$62)=0),(COUNTA(D!$R$8:$R$62)=0)),"",COUNTIFS(D!$R$8:$R$62,"X02",D!$Q$8:$Q$62,"W"))</f>
        <v/>
      </c>
      <c r="E48" s="17" t="str">
        <f>IF(OR((COUNTA(D!$P$8:$P$62)=0),(COUNTA(D!$R$8:$R$62)=0)),"",COUNTIFS(D!$R$8:$R$62,"X03",D!$Q$8:$Q$62,"W"))</f>
        <v/>
      </c>
      <c r="F48" s="17" t="str">
        <f>IF(OR((COUNTA(D!$P$8:$P$62)=0),(COUNTA(D!$R$8:$R$62)=0)),"",COUNTIFS(D!$R$8:$R$62,"X04",D!$Q$8:$Q$62,"W"))</f>
        <v/>
      </c>
      <c r="G48" s="17" t="str">
        <f>IF(OR((COUNTA(D!$P$8:$P$62)=0),(COUNTA(D!$R$8:$R$62)=0)),"",COUNTIFS(D!$R$8:$R$62,"X05",D!$Q$8:$Q$62,"W"))</f>
        <v/>
      </c>
      <c r="H48" s="17" t="str">
        <f>IF(OR((COUNTA(D!$P$8:$P$62)=0),(COUNTA(D!$R$8:$R$62)=0)),"",COUNTIFS(D!$R$8:$R$62,"X06",D!$Q$8:$Q$62,"W"))</f>
        <v/>
      </c>
      <c r="I48" s="17" t="str">
        <f>IF(OR((COUNTA(D!$P$8:$P$62)=0),(COUNTA(D!$R$8:$R$62)=0)),"",COUNTIFS(D!$R$8:$R$62,"X07",D!$Q$8:$Q$62,"W"))</f>
        <v/>
      </c>
      <c r="J48" s="43" t="str">
        <f>IF(OR((COUNTA(D!$P$8:$P$62)=0),(COUNTA(D!$R$8:$R$62)=0)),"",COUNTIFS(D!$R$8:$R$62,"X08",D!$Q$8:$Q$62,"W"))</f>
        <v/>
      </c>
      <c r="K48" s="16" t="str">
        <f>IF(OR((COUNTA(D!$S$8:$S$62)=0),(COUNTA(D!$U$8:$U$62)=0)),"",COUNTIFS(D!$U$8:$U$62,"X09",D!$T$8:$T$62,"W"))</f>
        <v/>
      </c>
      <c r="L48" s="17" t="str">
        <f>IF(OR((COUNTA(D!$S$8:$S$62)=0),(COUNTA(D!$U$8:$U$62)=0)),"",COUNTIFS(D!$U$8:$U$62,"X10",D!$T$8:$T$62,"W"))</f>
        <v/>
      </c>
      <c r="M48" s="17" t="str">
        <f>IF(OR((COUNTA(D!$S$8:$S$62)=0),(COUNTA(D!$U$8:$U$62)=0)),"",COUNTIFS(D!$U$8:$U$62,"X11",D!$T$8:$T$62,"W"))</f>
        <v/>
      </c>
      <c r="N48" s="17" t="str">
        <f>IF(OR((COUNTA(D!$S$8:$S$62)=0),(COUNTA(D!$U$8:$U$62)=0)),"",COUNTIFS(D!$U$8:$U$62,"X12",D!$T$8:$T$62,"W"))</f>
        <v/>
      </c>
      <c r="O48" s="17" t="str">
        <f>IF(OR((COUNTA(D!$S$8:$S$62)=0),(COUNTA(D!$U$8:$U$62)=0)),"",COUNTIFS(D!$U$8:$U$62,"X13",D!$T$8:$T$62,"W"))</f>
        <v/>
      </c>
      <c r="P48" s="17" t="str">
        <f>IF(OR((COUNTA(D!$S$8:$S$62)=0),(COUNTA(D!$U$8:$U$62)=0)),"",COUNTIFS(D!$U$8:$U$62,"X14",D!$T$8:$T$62,"W"))</f>
        <v/>
      </c>
      <c r="Q48" s="17" t="str">
        <f>IF(OR((COUNTA(D!$S$8:$S$62)=0),(COUNTA(D!$U$8:$U$62)=0)),"",COUNTIFS(D!$U$8:$U$62,"X15",D!$T$8:$T$62,"W"))</f>
        <v/>
      </c>
      <c r="R48" s="43" t="str">
        <f>IF(OR((COUNTA(D!$S$8:$S$62)=0),(COUNTA(D!$U$8:$U$62)=0)),"",COUNTIFS(D!$U$8:$U$62,"X16",D!$T$8:$T$62,"W"))</f>
        <v/>
      </c>
      <c r="S48" s="16" t="str">
        <f>IF(OR((COUNTA(D!$V$8:$V$62)=0),(COUNTA(D!$X$8:$X$62)=0)),"",COUNTIFS(D!$X$8:$X$62,"X17",D!$W$8:$W$62,"W"))</f>
        <v/>
      </c>
      <c r="T48" s="17" t="str">
        <f>IF(OR((COUNTA(D!$V$8:$V$62)=0),(COUNTA(D!$X$8:$X$62)=0)),"",COUNTIFS(D!$X$8:$X$62,"X18",D!$W$8:$W$62,"W"))</f>
        <v/>
      </c>
      <c r="U48" s="17" t="str">
        <f>IF(OR((COUNTA(D!$V$8:$V$62)=0),(COUNTA(D!$X$8:$X$62)=0)),"",COUNTIFS(D!$X$8:$X$62,"X19",D!$W$8:$W$62,"W"))</f>
        <v/>
      </c>
      <c r="V48" s="17" t="str">
        <f>IF(OR((COUNTA(D!$V$8:$V$62)=0),(COUNTA(D!$X$8:$X$62)=0)),"",COUNTIFS(D!$X$8:$X$62,"X20",D!$W$8:$W$62,"W"))</f>
        <v/>
      </c>
      <c r="W48" s="17" t="str">
        <f>IF(OR((COUNTA(D!$V$8:$V$62)=0),(COUNTA(D!$X$8:$X$62)=0)),"",COUNTIFS(D!$X$8:$X$62,"X21",D!$W$8:$W$62,"W"))</f>
        <v/>
      </c>
      <c r="X48" s="17" t="str">
        <f>IF(OR((COUNTA(D!$V$8:$V$62)=0),(COUNTA(D!$X$8:$X$62)=0)),"",COUNTIFS(D!$X$8:$X$62,"X22",D!$W$8:$W$62,"W"))</f>
        <v/>
      </c>
      <c r="Y48" s="17" t="str">
        <f>IF(OR((COUNTA(D!$V$8:$V$62)=0),(COUNTA(D!$X$8:$X$62)=0)),"",COUNTIFS(D!$X$8:$X$62,"X23",D!$W$8:$W$62,"W"))</f>
        <v/>
      </c>
      <c r="Z48" s="43" t="str">
        <f>IF(OR((COUNTA(D!$V$8:$V$62)=0),(COUNTA(D!$X$8:$X$62)=0)),"",COUNTIFS(D!$X$8:$X$62,"X24",D!$W$8:$W$62,"W"))</f>
        <v/>
      </c>
    </row>
    <row r="49" spans="1:26" s="2" customFormat="1" ht="13.5" customHeight="1">
      <c r="A49" s="500"/>
      <c r="B49" s="31" t="s">
        <v>47</v>
      </c>
      <c r="C49" s="16" t="str">
        <f>IF(OR((COUNTA(D!$P$8:$P$62)=0),(COUNTA(D!$R$8:$R$62)=0)),"",COUNTIFS(D!$R$8:$R$62,"X01",D!$Q$8:$Q$62,"AB"))</f>
        <v/>
      </c>
      <c r="D49" s="17" t="str">
        <f>IF(OR((COUNTA(D!$P$8:$P$62)=0),(COUNTA(D!$R$8:$R$62)=0)),"",COUNTIFS(D!$R$8:$R$62,"X02",D!$Q$8:$Q$62,"AB"))</f>
        <v/>
      </c>
      <c r="E49" s="17" t="str">
        <f>IF(OR((COUNTA(D!$P$8:$P$62)=0),(COUNTA(D!$R$8:$R$62)=0)),"",COUNTIFS(D!$R$8:$R$62,"X03",D!$Q$8:$Q$62,"AB"))</f>
        <v/>
      </c>
      <c r="F49" s="17" t="str">
        <f>IF(OR((COUNTA(D!$P$8:$P$62)=0),(COUNTA(D!$R$8:$R$62)=0)),"",COUNTIFS(D!$R$8:$R$62,"X04",D!$Q$8:$Q$62,"AB"))</f>
        <v/>
      </c>
      <c r="G49" s="17" t="str">
        <f>IF(OR((COUNTA(D!$P$8:$P$62)=0),(COUNTA(D!$R$8:$R$62)=0)),"",COUNTIFS(D!$R$8:$R$62,"X05",D!$Q$8:$Q$62,"AB"))</f>
        <v/>
      </c>
      <c r="H49" s="17" t="str">
        <f>IF(OR((COUNTA(D!$P$8:$P$62)=0),(COUNTA(D!$R$8:$R$62)=0)),"",COUNTIFS(D!$R$8:$R$62,"X06",D!$Q$8:$Q$62,"AB"))</f>
        <v/>
      </c>
      <c r="I49" s="17" t="str">
        <f>IF(OR((COUNTA(D!$P$8:$P$62)=0),(COUNTA(D!$R$8:$R$62)=0)),"",COUNTIFS(D!$R$8:$R$62,"X07",D!$Q$8:$Q$62,"AB"))</f>
        <v/>
      </c>
      <c r="J49" s="43" t="str">
        <f>IF(OR((COUNTA(D!$P$8:$P$62)=0),(COUNTA(D!$R$8:$R$62)=0)),"",COUNTIFS(D!$R$8:$R$62,"X08",D!$Q$8:$Q$62,"AB"))</f>
        <v/>
      </c>
      <c r="K49" s="16" t="str">
        <f>IF(OR((COUNTA(D!$S$8:$S$62)=0),(COUNTA(D!$U$8:$U$62)=0)),"",COUNTIFS(D!$U$8:$U$62,"X09",D!$T$8:$T$62,"AB"))</f>
        <v/>
      </c>
      <c r="L49" s="17" t="str">
        <f>IF(OR((COUNTA(D!$S$8:$S$62)=0),(COUNTA(D!$U$8:$U$62)=0)),"",COUNTIFS(D!$U$8:$U$62,"X10",D!$T$8:$T$62,"AB"))</f>
        <v/>
      </c>
      <c r="M49" s="17" t="str">
        <f>IF(OR((COUNTA(D!$S$8:$S$62)=0),(COUNTA(D!$U$8:$U$62)=0)),"",COUNTIFS(D!$U$8:$U$62,"X11",D!$T$8:$T$62,"AB"))</f>
        <v/>
      </c>
      <c r="N49" s="17" t="str">
        <f>IF(OR((COUNTA(D!$S$8:$S$62)=0),(COUNTA(D!$U$8:$U$62)=0)),"",COUNTIFS(D!$U$8:$U$62,"X12",D!$T$8:$T$62,"AB"))</f>
        <v/>
      </c>
      <c r="O49" s="17" t="str">
        <f>IF(OR((COUNTA(D!$S$8:$S$62)=0),(COUNTA(D!$U$8:$U$62)=0)),"",COUNTIFS(D!$U$8:$U$62,"X13",D!$T$8:$T$62,"AB"))</f>
        <v/>
      </c>
      <c r="P49" s="17" t="str">
        <f>IF(OR((COUNTA(D!$S$8:$S$62)=0),(COUNTA(D!$U$8:$U$62)=0)),"",COUNTIFS(D!$U$8:$U$62,"X14",D!$T$8:$T$62,"AB"))</f>
        <v/>
      </c>
      <c r="Q49" s="17" t="str">
        <f>IF(OR((COUNTA(D!$S$8:$S$62)=0),(COUNTA(D!$U$8:$U$62)=0)),"",COUNTIFS(D!$U$8:$U$62,"X15",D!$T$8:$T$62,"AB"))</f>
        <v/>
      </c>
      <c r="R49" s="43" t="str">
        <f>IF(OR((COUNTA(D!$S$8:$S$62)=0),(COUNTA(D!$U$8:$U$62)=0)),"",COUNTIFS(D!$U$8:$U$62,"X16",D!$T$8:$T$62,"AB"))</f>
        <v/>
      </c>
      <c r="S49" s="16" t="str">
        <f>IF(OR((COUNTA(D!$V$8:$V$62)=0),(COUNTA(D!$X$8:$X$62)=0)),"",COUNTIFS(D!$X$8:$X$62,"X17",D!$W$8:$W$62,"AB"))</f>
        <v/>
      </c>
      <c r="T49" s="17" t="str">
        <f>IF(OR((COUNTA(D!$V$8:$V$62)=0),(COUNTA(D!$X$8:$X$62)=0)),"",COUNTIFS(D!$X$8:$X$62,"X18",D!$W$8:$W$62,"AB"))</f>
        <v/>
      </c>
      <c r="U49" s="17" t="str">
        <f>IF(OR((COUNTA(D!$V$8:$V$62)=0),(COUNTA(D!$X$8:$X$62)=0)),"",COUNTIFS(D!$X$8:$X$62,"X19",D!$W$8:$W$62,"AB"))</f>
        <v/>
      </c>
      <c r="V49" s="17" t="str">
        <f>IF(OR((COUNTA(D!$V$8:$V$62)=0),(COUNTA(D!$X$8:$X$62)=0)),"",COUNTIFS(D!$X$8:$X$62,"X20",D!$W$8:$W$62,"AB"))</f>
        <v/>
      </c>
      <c r="W49" s="17" t="str">
        <f>IF(OR((COUNTA(D!$V$8:$V$62)=0),(COUNTA(D!$X$8:$X$62)=0)),"",COUNTIFS(D!$X$8:$X$62,"X21",D!$W$8:$W$62,"AB"))</f>
        <v/>
      </c>
      <c r="X49" s="17" t="str">
        <f>IF(OR((COUNTA(D!$V$8:$V$62)=0),(COUNTA(D!$X$8:$X$62)=0)),"",COUNTIFS(D!$X$8:$X$62,"X22",D!$W$8:$W$62,"AB"))</f>
        <v/>
      </c>
      <c r="Y49" s="17" t="str">
        <f>IF(OR((COUNTA(D!$V$8:$V$62)=0),(COUNTA(D!$X$8:$X$62)=0)),"",COUNTIFS(D!$X$8:$X$62,"X23",D!$W$8:$W$62,"AB"))</f>
        <v/>
      </c>
      <c r="Z49" s="43" t="str">
        <f>IF(OR((COUNTA(D!$V$8:$V$62)=0),(COUNTA(D!$X$8:$X$62)=0)),"",COUNTIFS(D!$X$8:$X$62,"X24",D!$W$8:$W$62,"AB"))</f>
        <v/>
      </c>
    </row>
    <row r="50" spans="1:26" s="2" customFormat="1" ht="13.5" customHeight="1">
      <c r="A50" s="500"/>
      <c r="B50" s="32" t="s">
        <v>48</v>
      </c>
      <c r="C50" s="13" t="str">
        <f>IF(OR((COUNTA(D!$P$8:$P$62)=0),(COUNTA(D!$R$8:$R$62)=0)),"",COUNTIFS(D!$R$8:$R$62,"X01",D!$P$8:$P$62,"&lt;=39",D!$P$8:$P$62,"&gt;=30"))</f>
        <v/>
      </c>
      <c r="D50" s="14" t="str">
        <f>IF(OR((COUNTA(D!$P$8:$P$62)=0),(COUNTA(D!$R$8:$R$62)=0)),"",COUNTIFS(D!$R$8:$R$62,"X02",D!$P$8:$P$62,"&lt;=39",D!$P$8:$P$62,"&gt;=30"))</f>
        <v/>
      </c>
      <c r="E50" s="14" t="str">
        <f>IF(OR((COUNTA(D!$P$8:$P$62)=0),(COUNTA(D!$R$8:$R$62)=0)),"",COUNTIFS(D!$R$8:$R$62,"X03",D!$P$8:$P$62,"&lt;=39",D!$P$8:$P$62,"&gt;=30"))</f>
        <v/>
      </c>
      <c r="F50" s="14" t="str">
        <f>IF(OR((COUNTA(D!$P$8:$P$62)=0),(COUNTA(D!$R$8:$R$62)=0)),"",COUNTIFS(D!$R$8:$R$62,"X04",D!$P$8:$P$62,"&lt;=39",D!$P$8:$P$62,"&gt;=30"))</f>
        <v/>
      </c>
      <c r="G50" s="14" t="str">
        <f>IF(OR((COUNTA(D!$P$8:$P$62)=0),(COUNTA(D!$R$8:$R$62)=0)),"",COUNTIFS(D!$R$8:$R$62,"X05",D!$P$8:$P$62,"&lt;=39",D!$P$8:$P$62,"&gt;=30"))</f>
        <v/>
      </c>
      <c r="H50" s="14" t="str">
        <f>IF(OR((COUNTA(D!$P$8:$P$62)=0),(COUNTA(D!$R$8:$R$62)=0)),"",COUNTIFS(D!$R$8:$R$62,"X06",D!$P$8:$P$62,"&lt;=39",D!$P$8:$P$62,"&gt;=30"))</f>
        <v/>
      </c>
      <c r="I50" s="14" t="str">
        <f>IF(OR((COUNTA(D!$P$8:$P$62)=0),(COUNTA(D!$R$8:$R$62)=0)),"",COUNTIFS(D!$R$8:$R$62,"X07",D!$P$8:$P$62,"&lt;=39",D!$P$8:$P$62,"&gt;=30"))</f>
        <v/>
      </c>
      <c r="J50" s="42" t="str">
        <f>IF(OR((COUNTA(D!$P$8:$P$62)=0),(COUNTA(D!$R$8:$R$62)=0)),"",COUNTIFS(D!$R$8:$R$62,"X08",D!$P$8:$P$62,"&lt;=39",D!$P$8:$P$62,"&gt;=30"))</f>
        <v/>
      </c>
      <c r="K50" s="13" t="str">
        <f>IF(OR((COUNTA(D!$S$8:$S$62)=0),(COUNTA(D!$U$8:$U$62)=0)),"",COUNTIFS(D!$U$8:$U$62,"X09",D!$S$8:$S$62,"&lt;=39",D!$S$8:$S$62,"&gt;=30"))</f>
        <v/>
      </c>
      <c r="L50" s="14" t="str">
        <f>IF(OR((COUNTA(D!$S$8:$S$62)=0),(COUNTA(D!$U$8:$U$62)=0)),"",COUNTIFS(D!$U$8:$U$62,"X10",D!$S$8:$S$62,"&lt;=39",D!$S$8:$S$62,"&gt;=30"))</f>
        <v/>
      </c>
      <c r="M50" s="14" t="str">
        <f>IF(OR((COUNTA(D!$S$8:$S$62)=0),(COUNTA(D!$U$8:$U$62)=0)),"",COUNTIFS(D!$U$8:$U$62,"X11",D!$S$8:$S$62,"&lt;=39",D!$S$8:$S$62,"&gt;=30"))</f>
        <v/>
      </c>
      <c r="N50" s="14" t="str">
        <f>IF(OR((COUNTA(D!$S$8:$S$62)=0),(COUNTA(D!$U$8:$U$62)=0)),"",COUNTIFS(D!$U$8:$U$62,"X12",D!$S$8:$S$62,"&lt;=39",D!$S$8:$S$62,"&gt;=30"))</f>
        <v/>
      </c>
      <c r="O50" s="14" t="str">
        <f>IF(OR((COUNTA(D!$S$8:$S$62)=0),(COUNTA(D!$U$8:$U$62)=0)),"",COUNTIFS(D!$U$8:$U$62,"X13",D!$S$8:$S$62,"&lt;=39",D!$S$8:$S$62,"&gt;=30"))</f>
        <v/>
      </c>
      <c r="P50" s="14" t="str">
        <f>IF(OR((COUNTA(D!$S$8:$S$62)=0),(COUNTA(D!$U$8:$U$62)=0)),"",COUNTIFS(D!$U$8:$U$62,"X14",D!$S$8:$S$62,"&lt;=39",D!$S$8:$S$62,"&gt;=30"))</f>
        <v/>
      </c>
      <c r="Q50" s="14" t="str">
        <f>IF(OR((COUNTA(D!$S$8:$S$62)=0),(COUNTA(D!$U$8:$U$62)=0)),"",COUNTIFS(D!$U$8:$U$62,"X15",D!$S$8:$S$62,"&lt;=39",D!$S$8:$S$62,"&gt;=30"))</f>
        <v/>
      </c>
      <c r="R50" s="42" t="str">
        <f>IF(OR((COUNTA(D!$S$8:$S$62)=0),(COUNTA(D!$U$8:$U$62)=0)),"",COUNTIFS(D!$U$8:$U$62,"X16",D!$S$8:$S$62,"&lt;=39",D!$S$8:$S$62,"&gt;=30"))</f>
        <v/>
      </c>
      <c r="S50" s="13" t="str">
        <f>IF(OR((COUNTA(D!$V$8:$V$62)=0),(COUNTA(D!$X$8:$X$62)=0)),"",COUNTIFS(D!$X$8:$X$62,"X17",D!$V$8:$V$62,"&lt;=39",D!$V$8:$V$62,"&gt;=30"))</f>
        <v/>
      </c>
      <c r="T50" s="14" t="str">
        <f>IF(OR((COUNTA(D!$V$8:$V$62)=0),(COUNTA(D!$X$8:$X$62)=0)),"",COUNTIFS(D!$X$8:$X$62,"X18",D!$V$8:$V$62,"&lt;=39",D!$V$8:$V$62,"&gt;=30"))</f>
        <v/>
      </c>
      <c r="U50" s="14" t="str">
        <f>IF(OR((COUNTA(D!$V$8:$V$62)=0),(COUNTA(D!$X$8:$X$62)=0)),"",COUNTIFS(D!$X$8:$X$62,"X19",D!$V$8:$V$62,"&lt;=39",D!$V$8:$V$62,"&gt;=30"))</f>
        <v/>
      </c>
      <c r="V50" s="14" t="str">
        <f>IF(OR((COUNTA(D!$V$8:$V$62)=0),(COUNTA(D!$X$8:$X$62)=0)),"",COUNTIFS(D!$X$8:$X$62,"X20",D!$V$8:$V$62,"&lt;=39",D!$V$8:$V$62,"&gt;=30"))</f>
        <v/>
      </c>
      <c r="W50" s="14" t="str">
        <f>IF(OR((COUNTA(D!$V$8:$V$62)=0),(COUNTA(D!$X$8:$X$62)=0)),"",COUNTIFS(D!$X$8:$X$62,"X21",D!$V$8:$V$62,"&lt;=39",D!$V$8:$V$62,"&gt;=30"))</f>
        <v/>
      </c>
      <c r="X50" s="14" t="str">
        <f>IF(OR((COUNTA(D!$V$8:$V$62)=0),(COUNTA(D!$X$8:$X$62)=0)),"",COUNTIFS(D!$X$8:$X$62,"X22",D!$V$8:$V$62,"&lt;=39",D!$V$8:$V$62,"&gt;=30"))</f>
        <v/>
      </c>
      <c r="Y50" s="14" t="str">
        <f>IF(OR((COUNTA(D!$V$8:$V$62)=0),(COUNTA(D!$X$8:$X$62)=0)),"",COUNTIFS(D!$X$8:$X$62,"X23",D!$V$8:$V$62,"&lt;=39",D!$V$8:$V$62,"&gt;=30"))</f>
        <v/>
      </c>
      <c r="Z50" s="42" t="str">
        <f>IF(OR((COUNTA(D!$V$8:$V$62)=0),(COUNTA(D!$X$8:$X$62)=0)),"",COUNTIFS(D!$X$8:$X$62,"X24",D!$V$8:$V$62,"&lt;=39",D!$V$8:$V$62,"&gt;=30"))</f>
        <v/>
      </c>
    </row>
    <row r="51" spans="1:26" s="2" customFormat="1" ht="13.5" customHeight="1">
      <c r="A51" s="500"/>
      <c r="B51" s="32" t="s">
        <v>51</v>
      </c>
      <c r="C51" s="13" t="str">
        <f>IF(OR((COUNTA(D!$P$8:$P$62)=0),(COUNTA(D!$R$8:$R$62)=0)),"",COUNTIFS(D!$R$8:$R$62,"X01",D!$P$8:$P$62,"&lt;=29",D!$P$8:$P$62,"&gt;=20"))</f>
        <v/>
      </c>
      <c r="D51" s="14" t="str">
        <f>IF(OR((COUNTA(D!$P$8:$P$62)=0),(COUNTA(D!$R$8:$R$62)=0)),"",COUNTIFS(D!$R$8:$R$62,"X02",D!$P$8:$P$62,"&lt;=29",D!$P$8:$P$62,"&gt;=20"))</f>
        <v/>
      </c>
      <c r="E51" s="14" t="str">
        <f>IF(OR((COUNTA(D!$P$8:$P$62)=0),(COUNTA(D!$R$8:$R$62)=0)),"",COUNTIFS(D!$R$8:$R$62,"X03",D!$P$8:$P$62,"&lt;=29",D!$P$8:$P$62,"&gt;=20"))</f>
        <v/>
      </c>
      <c r="F51" s="14" t="str">
        <f>IF(OR((COUNTA(D!$P$8:$P$62)=0),(COUNTA(D!$R$8:$R$62)=0)),"",COUNTIFS(D!$R$8:$R$62,"X04",D!$P$8:$P$62,"&lt;=29",D!$P$8:$P$62,"&gt;=20"))</f>
        <v/>
      </c>
      <c r="G51" s="14" t="str">
        <f>IF(OR((COUNTA(D!$P$8:$P$62)=0),(COUNTA(D!$R$8:$R$62)=0)),"",COUNTIFS(D!$R$8:$R$62,"X05",D!$P$8:$P$62,"&lt;=29",D!$P$8:$P$62,"&gt;=20"))</f>
        <v/>
      </c>
      <c r="H51" s="14" t="str">
        <f>IF(OR((COUNTA(D!$P$8:$P$62)=0),(COUNTA(D!$R$8:$R$62)=0)),"",COUNTIFS(D!$R$8:$R$62,"X06",D!$P$8:$P$62,"&lt;=29",D!$P$8:$P$62,"&gt;=20"))</f>
        <v/>
      </c>
      <c r="I51" s="14" t="str">
        <f>IF(OR((COUNTA(D!$P$8:$P$62)=0),(COUNTA(D!$R$8:$R$62)=0)),"",COUNTIFS(D!$R$8:$R$62,"X07",D!$P$8:$P$62,"&lt;=29",D!$P$8:$P$62,"&gt;=20"))</f>
        <v/>
      </c>
      <c r="J51" s="42" t="str">
        <f>IF(OR((COUNTA(D!$P$8:$P$62)=0),(COUNTA(D!$R$8:$R$62)=0)),"",COUNTIFS(D!$R$8:$R$62,"X08",D!$P$8:$P$62,"&lt;=29",D!$P$8:$P$62,"&gt;=20"))</f>
        <v/>
      </c>
      <c r="K51" s="13" t="str">
        <f>IF(OR((COUNTA(D!$S$8:$S$62)=0),(COUNTA(D!$U$8:$U$62)=0)),"",COUNTIFS(D!$U$8:$U$62,"X09",D!$S$8:$S$62,"&lt;=29",D!$S$8:$S$62,"&gt;=20"))</f>
        <v/>
      </c>
      <c r="L51" s="14" t="str">
        <f>IF(OR((COUNTA(D!$S$8:$S$62)=0),(COUNTA(D!$U$8:$U$62)=0)),"",COUNTIFS(D!$U$8:$U$62,"X10",D!$S$8:$S$62,"&lt;=29",D!$S$8:$S$62,"&gt;=20"))</f>
        <v/>
      </c>
      <c r="M51" s="14" t="str">
        <f>IF(OR((COUNTA(D!$S$8:$S$62)=0),(COUNTA(D!$U$8:$U$62)=0)),"",COUNTIFS(D!$U$8:$U$62,"X11",D!$S$8:$S$62,"&lt;=29",D!$S$8:$S$62,"&gt;=20"))</f>
        <v/>
      </c>
      <c r="N51" s="14" t="str">
        <f>IF(OR((COUNTA(D!$S$8:$S$62)=0),(COUNTA(D!$U$8:$U$62)=0)),"",COUNTIFS(D!$U$8:$U$62,"X12",D!$S$8:$S$62,"&lt;=29",D!$S$8:$S$62,"&gt;=20"))</f>
        <v/>
      </c>
      <c r="O51" s="14" t="str">
        <f>IF(OR((COUNTA(D!$S$8:$S$62)=0),(COUNTA(D!$U$8:$U$62)=0)),"",COUNTIFS(D!$U$8:$U$62,"X13",D!$S$8:$S$62,"&lt;=29",D!$S$8:$S$62,"&gt;=20"))</f>
        <v/>
      </c>
      <c r="P51" s="14" t="str">
        <f>IF(OR((COUNTA(D!$S$8:$S$62)=0),(COUNTA(D!$U$8:$U$62)=0)),"",COUNTIFS(D!$U$8:$U$62,"X14",D!$S$8:$S$62,"&lt;=29",D!$S$8:$S$62,"&gt;=20"))</f>
        <v/>
      </c>
      <c r="Q51" s="14" t="str">
        <f>IF(OR((COUNTA(D!$S$8:$S$62)=0),(COUNTA(D!$U$8:$U$62)=0)),"",COUNTIFS(D!$U$8:$U$62,"X15",D!$S$8:$S$62,"&lt;=29",D!$S$8:$S$62,"&gt;=20"))</f>
        <v/>
      </c>
      <c r="R51" s="42" t="str">
        <f>IF(OR((COUNTA(D!$S$8:$S$62)=0),(COUNTA(D!$U$8:$U$62)=0)),"",COUNTIFS(D!$U$8:$U$62,"X16",D!$S$8:$S$62,"&lt;=29",D!$S$8:$S$62,"&gt;=20"))</f>
        <v/>
      </c>
      <c r="S51" s="13" t="str">
        <f>IF(OR((COUNTA(D!$V$8:$V$62)=0),(COUNTA(D!$X$8:$X$62)=0)),"",COUNTIFS(D!$X$8:$X$62,"X17",D!$V$8:$V$62,"&lt;=29",D!$V$8:$V$62,"&gt;=20"))</f>
        <v/>
      </c>
      <c r="T51" s="14" t="str">
        <f>IF(OR((COUNTA(D!$V$8:$V$62)=0),(COUNTA(D!$X$8:$X$62)=0)),"",COUNTIFS(D!$X$8:$X$62,"X18",D!$V$8:$V$62,"&lt;=29",D!$V$8:$V$62,"&gt;=20"))</f>
        <v/>
      </c>
      <c r="U51" s="14" t="str">
        <f>IF(OR((COUNTA(D!$V$8:$V$62)=0),(COUNTA(D!$X$8:$X$62)=0)),"",COUNTIFS(D!$X$8:$X$62,"X19",D!$V$8:$V$62,"&lt;=29",D!$V$8:$V$62,"&gt;=20"))</f>
        <v/>
      </c>
      <c r="V51" s="14" t="str">
        <f>IF(OR((COUNTA(D!$V$8:$V$62)=0),(COUNTA(D!$X$8:$X$62)=0)),"",COUNTIFS(D!$X$8:$X$62,"X20",D!$V$8:$V$62,"&lt;=29",D!$V$8:$V$62,"&gt;=20"))</f>
        <v/>
      </c>
      <c r="W51" s="14" t="str">
        <f>IF(OR((COUNTA(D!$V$8:$V$62)=0),(COUNTA(D!$X$8:$X$62)=0)),"",COUNTIFS(D!$X$8:$X$62,"X21",D!$V$8:$V$62,"&lt;=29",D!$V$8:$V$62,"&gt;=20"))</f>
        <v/>
      </c>
      <c r="X51" s="14" t="str">
        <f>IF(OR((COUNTA(D!$V$8:$V$62)=0),(COUNTA(D!$X$8:$X$62)=0)),"",COUNTIFS(D!$X$8:$X$62,"X22",D!$V$8:$V$62,"&lt;=29",D!$V$8:$V$62,"&gt;=20"))</f>
        <v/>
      </c>
      <c r="Y51" s="14" t="str">
        <f>IF(OR((COUNTA(D!$V$8:$V$62)=0),(COUNTA(D!$X$8:$X$62)=0)),"",COUNTIFS(D!$X$8:$X$62,"X23",D!$V$8:$V$62,"&lt;=29",D!$V$8:$V$62,"&gt;=20"))</f>
        <v/>
      </c>
      <c r="Z51" s="42" t="str">
        <f>IF(OR((COUNTA(D!$V$8:$V$62)=0),(COUNTA(D!$X$8:$X$62)=0)),"",COUNTIFS(D!$X$8:$X$62,"X24",D!$V$8:$V$62,"&lt;=29",D!$V$8:$V$62,"&gt;=20"))</f>
        <v/>
      </c>
    </row>
    <row r="52" spans="1:26" s="2" customFormat="1" ht="13.5" customHeight="1">
      <c r="A52" s="500"/>
      <c r="B52" s="33" t="s">
        <v>52</v>
      </c>
      <c r="C52" s="16" t="str">
        <f>IF(OR((COUNTA(D!$P$8:$P$62)=0),(COUNTA(D!$R$8:$R$62)=0)),"",COUNTIFS(D!$R$8:$R$62,"X01",D!$P$8:$P$62,"&lt;=19",D!$P$8:$P$62,"&gt;=10"))</f>
        <v/>
      </c>
      <c r="D52" s="17" t="str">
        <f>IF(OR((COUNTA(D!$P$8:$P$62)=0),(COUNTA(D!$R$8:$R$62)=0)),"",COUNTIFS(D!$R$8:$R$62,"X02",D!$P$8:$P$62,"&lt;=19",D!$P$8:$P$62,"&gt;=10"))</f>
        <v/>
      </c>
      <c r="E52" s="17" t="str">
        <f>IF(OR((COUNTA(D!$P$8:$P$62)=0),(COUNTA(D!$R$8:$R$62)=0)),"",COUNTIFS(D!$R$8:$R$62,"X03",D!$P$8:$P$62,"&lt;=19",D!$P$8:$P$62,"&gt;=10"))</f>
        <v/>
      </c>
      <c r="F52" s="17" t="str">
        <f>IF(OR((COUNTA(D!$P$8:$P$62)=0),(COUNTA(D!$R$8:$R$62)=0)),"",COUNTIFS(D!$R$8:$R$62,"X04",D!$P$8:$P$62,"&lt;=19",D!$P$8:$P$62,"&gt;=10"))</f>
        <v/>
      </c>
      <c r="G52" s="17" t="str">
        <f>IF(OR((COUNTA(D!$P$8:$P$62)=0),(COUNTA(D!$R$8:$R$62)=0)),"",COUNTIFS(D!$R$8:$R$62,"X05",D!$P$8:$P$62,"&lt;=19",D!$P$8:$P$62,"&gt;=10"))</f>
        <v/>
      </c>
      <c r="H52" s="17" t="str">
        <f>IF(OR((COUNTA(D!$P$8:$P$62)=0),(COUNTA(D!$R$8:$R$62)=0)),"",COUNTIFS(D!$R$8:$R$62,"X06",D!$P$8:$P$62,"&lt;=19",D!$P$8:$P$62,"&gt;=10"))</f>
        <v/>
      </c>
      <c r="I52" s="17" t="str">
        <f>IF(OR((COUNTA(D!$P$8:$P$62)=0),(COUNTA(D!$R$8:$R$62)=0)),"",COUNTIFS(D!$R$8:$R$62,"X07",D!$P$8:$P$62,"&lt;=19",D!$P$8:$P$62,"&gt;=10"))</f>
        <v/>
      </c>
      <c r="J52" s="43" t="str">
        <f>IF(OR((COUNTA(D!$P$8:$P$62)=0),(COUNTA(D!$R$8:$R$62)=0)),"",COUNTIFS(D!$R$8:$R$62,"X08",D!$P$8:$P$62,"&lt;=19",D!$P$8:$P$62,"&gt;=10"))</f>
        <v/>
      </c>
      <c r="K52" s="16" t="str">
        <f>IF(OR((COUNTA(D!$S$8:$S$62)=0),(COUNTA(D!$U$8:$U$62)=0)),"",COUNTIFS(D!$U$8:$U$62,"X09",D!$S$8:$S$62,"&lt;=19",D!$S$8:$S$62,"&gt;=10"))</f>
        <v/>
      </c>
      <c r="L52" s="17" t="str">
        <f>IF(OR((COUNTA(D!$S$8:$S$62)=0),(COUNTA(D!$U$8:$U$62)=0)),"",COUNTIFS(D!$U$8:$U$62,"X10",D!$S$8:$S$62,"&lt;=19",D!$S$8:$S$62,"&gt;=10"))</f>
        <v/>
      </c>
      <c r="M52" s="17" t="str">
        <f>IF(OR((COUNTA(D!$S$8:$S$62)=0),(COUNTA(D!$U$8:$U$62)=0)),"",COUNTIFS(D!$U$8:$U$62,"X11",D!$S$8:$S$62,"&lt;=19",D!$S$8:$S$62,"&gt;=10"))</f>
        <v/>
      </c>
      <c r="N52" s="17" t="str">
        <f>IF(OR((COUNTA(D!$S$8:$S$62)=0),(COUNTA(D!$U$8:$U$62)=0)),"",COUNTIFS(D!$U$8:$U$62,"X12",D!$S$8:$S$62,"&lt;=19",D!$S$8:$S$62,"&gt;=10"))</f>
        <v/>
      </c>
      <c r="O52" s="17" t="str">
        <f>IF(OR((COUNTA(D!$S$8:$S$62)=0),(COUNTA(D!$U$8:$U$62)=0)),"",COUNTIFS(D!$U$8:$U$62,"X13",D!$S$8:$S$62,"&lt;=19",D!$S$8:$S$62,"&gt;=10"))</f>
        <v/>
      </c>
      <c r="P52" s="17" t="str">
        <f>IF(OR((COUNTA(D!$S$8:$S$62)=0),(COUNTA(D!$U$8:$U$62)=0)),"",COUNTIFS(D!$U$8:$U$62,"X14",D!$S$8:$S$62,"&lt;=19",D!$S$8:$S$62,"&gt;=10"))</f>
        <v/>
      </c>
      <c r="Q52" s="17" t="str">
        <f>IF(OR((COUNTA(D!$S$8:$S$62)=0),(COUNTA(D!$U$8:$U$62)=0)),"",COUNTIFS(D!$U$8:$U$62,"X15",D!$S$8:$S$62,"&lt;=19",D!$S$8:$S$62,"&gt;=10"))</f>
        <v/>
      </c>
      <c r="R52" s="43" t="str">
        <f>IF(OR((COUNTA(D!$S$8:$S$62)=0),(COUNTA(D!$U$8:$U$62)=0)),"",COUNTIFS(D!$U$8:$U$62,"X16",D!$S$8:$S$62,"&lt;=19",D!$S$8:$S$62,"&gt;=10"))</f>
        <v/>
      </c>
      <c r="S52" s="16" t="str">
        <f>IF(OR((COUNTA(D!$V$8:$V$62)=0),(COUNTA(D!$X$8:$X$62)=0)),"",COUNTIFS(D!$X$8:$X$62,"X17",D!$V$8:$V$62,"&lt;=19",D!$V$8:$V$62,"&gt;=10"))</f>
        <v/>
      </c>
      <c r="T52" s="17" t="str">
        <f>IF(OR((COUNTA(D!$V$8:$V$62)=0),(COUNTA(D!$X$8:$X$62)=0)),"",COUNTIFS(D!$X$8:$X$62,"X18",D!$V$8:$V$62,"&lt;=19",D!$V$8:$V$62,"&gt;=10"))</f>
        <v/>
      </c>
      <c r="U52" s="17" t="str">
        <f>IF(OR((COUNTA(D!$V$8:$V$62)=0),(COUNTA(D!$X$8:$X$62)=0)),"",COUNTIFS(D!$X$8:$X$62,"X19",D!$V$8:$V$62,"&lt;=19",D!$V$8:$V$62,"&gt;=10"))</f>
        <v/>
      </c>
      <c r="V52" s="17" t="str">
        <f>IF(OR((COUNTA(D!$V$8:$V$62)=0),(COUNTA(D!$X$8:$X$62)=0)),"",COUNTIFS(D!$X$8:$X$62,"X20",D!$V$8:$V$62,"&lt;=19",D!$V$8:$V$62,"&gt;=10"))</f>
        <v/>
      </c>
      <c r="W52" s="17" t="str">
        <f>IF(OR((COUNTA(D!$V$8:$V$62)=0),(COUNTA(D!$X$8:$X$62)=0)),"",COUNTIFS(D!$X$8:$X$62,"X21",D!$V$8:$V$62,"&lt;=19",D!$V$8:$V$62,"&gt;=10"))</f>
        <v/>
      </c>
      <c r="X52" s="17" t="str">
        <f>IF(OR((COUNTA(D!$V$8:$V$62)=0),(COUNTA(D!$X$8:$X$62)=0)),"",COUNTIFS(D!$X$8:$X$62,"X22",D!$V$8:$V$62,"&lt;=19",D!$V$8:$V$62,"&gt;=10"))</f>
        <v/>
      </c>
      <c r="Y52" s="17" t="str">
        <f>IF(OR((COUNTA(D!$V$8:$V$62)=0),(COUNTA(D!$X$8:$X$62)=0)),"",COUNTIFS(D!$X$8:$X$62,"X23",D!$V$8:$V$62,"&lt;=19",D!$V$8:$V$62,"&gt;=10"))</f>
        <v/>
      </c>
      <c r="Z52" s="43" t="str">
        <f>IF(OR((COUNTA(D!$V$8:$V$62)=0),(COUNTA(D!$X$8:$X$62)=0)),"",COUNTIFS(D!$X$8:$X$62,"X24",D!$V$8:$V$62,"&lt;=19",D!$V$8:$V$62,"&gt;=10"))</f>
        <v/>
      </c>
    </row>
    <row r="53" spans="1:26" s="2" customFormat="1" ht="13.5" customHeight="1">
      <c r="A53" s="501"/>
      <c r="B53" s="34" t="s">
        <v>55</v>
      </c>
      <c r="C53" s="21" t="str">
        <f>IF(OR((COUNTA(D!$P$8:$P$62)=0),(COUNTA(D!$R$8:$R$62)=0)),"",COUNTIFS(D!$R$8:$R$62,"X01",D!$P$8:$P$62,"&lt;=9"))</f>
        <v/>
      </c>
      <c r="D53" s="22" t="str">
        <f>IF(OR((COUNTA(D!$P$8:$P$62)=0),(COUNTA(D!$R$8:$R$62)=0)),"",COUNTIFS(D!$R$8:$R$62,"X02",D!$P$8:$P$62,"&lt;=9"))</f>
        <v/>
      </c>
      <c r="E53" s="22" t="str">
        <f>IF(OR((COUNTA(D!$P$8:$P$62)=0),(COUNTA(D!$R$8:$R$62)=0)),"",COUNTIFS(D!$R$8:$R$62,"X03",D!$P$8:$P$62,"&lt;=9"))</f>
        <v/>
      </c>
      <c r="F53" s="22" t="str">
        <f>IF(OR((COUNTA(D!$P$8:$P$62)=0),(COUNTA(D!$R$8:$R$62)=0)),"",COUNTIFS(D!$R$8:$R$62,"X04",D!$P$8:$P$62,"&lt;=9"))</f>
        <v/>
      </c>
      <c r="G53" s="22" t="str">
        <f>IF(OR((COUNTA(D!$P$8:$P$62)=0),(COUNTA(D!$R$8:$R$62)=0)),"",COUNTIFS(D!$R$8:$R$62,"X05",D!$P$8:$P$62,"&lt;=9"))</f>
        <v/>
      </c>
      <c r="H53" s="22" t="str">
        <f>IF(OR((COUNTA(D!$P$8:$P$62)=0),(COUNTA(D!$R$8:$R$62)=0)),"",COUNTIFS(D!$R$8:$R$62,"X06",D!$P$8:$P$62,"&lt;=9"))</f>
        <v/>
      </c>
      <c r="I53" s="22" t="str">
        <f>IF(OR((COUNTA(D!$P$8:$P$62)=0),(COUNTA(D!$R$8:$R$62)=0)),"",COUNTIFS(D!$R$8:$R$62,"X07",D!$P$8:$P$62,"&lt;=9"))</f>
        <v/>
      </c>
      <c r="J53" s="44" t="str">
        <f>IF(OR((COUNTA(D!$P$8:$P$62)=0),(COUNTA(D!$R$8:$R$62)=0)),"",COUNTIFS(D!$R$8:$R$62,"X08",D!$P$8:$P$62,"&lt;=9"))</f>
        <v/>
      </c>
      <c r="K53" s="21" t="str">
        <f>IF(OR((COUNTA(D!$S$8:$S$62)=0),(COUNTA(D!$U$8:$U$62)=0)),"",COUNTIFS(D!$U$8:$U$62,"X09",D!$S$8:$S$62,"&lt;=9"))</f>
        <v/>
      </c>
      <c r="L53" s="22" t="str">
        <f>IF(OR((COUNTA(D!$S$8:$S$62)=0),(COUNTA(D!$U$8:$U$62)=0)),"",COUNTIFS(D!$U$8:$U$62,"X10",D!$S$8:$S$62,"&lt;=9"))</f>
        <v/>
      </c>
      <c r="M53" s="22" t="str">
        <f>IF(OR((COUNTA(D!$S$8:$S$62)=0),(COUNTA(D!$U$8:$U$62)=0)),"",COUNTIFS(D!$U$8:$U$62,"X11",D!$S$8:$S$62,"&lt;=9"))</f>
        <v/>
      </c>
      <c r="N53" s="22" t="str">
        <f>IF(OR((COUNTA(D!$S$8:$S$62)=0),(COUNTA(D!$U$8:$U$62)=0)),"",COUNTIFS(D!$U$8:$U$62,"X12",D!$S$8:$S$62,"&lt;=9"))</f>
        <v/>
      </c>
      <c r="O53" s="22" t="str">
        <f>IF(OR((COUNTA(D!$S$8:$S$62)=0),(COUNTA(D!$U$8:$U$62)=0)),"",COUNTIFS(D!$U$8:$U$62,"X13",D!$S$8:$S$62,"&lt;=9"))</f>
        <v/>
      </c>
      <c r="P53" s="22" t="str">
        <f>IF(OR((COUNTA(D!$S$8:$S$62)=0),(COUNTA(D!$U$8:$U$62)=0)),"",COUNTIFS(D!$U$8:$U$62,"X14",D!$S$8:$S$62,"&lt;=9"))</f>
        <v/>
      </c>
      <c r="Q53" s="22" t="str">
        <f>IF(OR((COUNTA(D!$S$8:$S$62)=0),(COUNTA(D!$U$8:$U$62)=0)),"",COUNTIFS(D!$U$8:$U$62,"X15",D!$S$8:$S$62,"&lt;=9"))</f>
        <v/>
      </c>
      <c r="R53" s="44" t="str">
        <f>IF(OR((COUNTA(D!$S$8:$S$62)=0),(COUNTA(D!$U$8:$U$62)=0)),"",COUNTIFS(D!$U$8:$U$62,"X16",D!$S$8:$S$62,"&lt;=9"))</f>
        <v/>
      </c>
      <c r="S53" s="21" t="str">
        <f>IF(OR((COUNTA(D!$V$8:$V$62)=0),(COUNTA(D!$X$8:$X$62)=0)),"",COUNTIFS(D!$X$8:$X$62,"X17",D!$V$8:$V$62,"&lt;=9"))</f>
        <v/>
      </c>
      <c r="T53" s="22" t="str">
        <f>IF(OR((COUNTA(D!$V$8:$V$62)=0),(COUNTA(D!$X$8:$X$62)=0)),"",COUNTIFS(D!$X$8:$X$62,"X18",D!$V$8:$V$62,"&lt;=9"))</f>
        <v/>
      </c>
      <c r="U53" s="22" t="str">
        <f>IF(OR((COUNTA(D!$V$8:$V$62)=0),(COUNTA(D!$X$8:$X$62)=0)),"",COUNTIFS(D!$X$8:$X$62,"X19",D!$V$8:$V$62,"&lt;=9"))</f>
        <v/>
      </c>
      <c r="V53" s="22" t="str">
        <f>IF(OR((COUNTA(D!$V$8:$V$62)=0),(COUNTA(D!$X$8:$X$62)=0)),"",COUNTIFS(D!$X$8:$X$62,"X20",D!$V$8:$V$62,"&lt;=9"))</f>
        <v/>
      </c>
      <c r="W53" s="22" t="str">
        <f>IF(OR((COUNTA(D!$V$8:$V$62)=0),(COUNTA(D!$X$8:$X$62)=0)),"",COUNTIFS(D!$X$8:$X$62,"X21",D!$V$8:$V$62,"&lt;=9"))</f>
        <v/>
      </c>
      <c r="X53" s="22" t="str">
        <f>IF(OR((COUNTA(D!$V$8:$V$62)=0),(COUNTA(D!$X$8:$X$62)=0)),"",COUNTIFS(D!$X$8:$X$62,"X22",D!$V$8:$V$62,"&lt;=9"))</f>
        <v/>
      </c>
      <c r="Y53" s="22" t="str">
        <f>IF(OR((COUNTA(D!$V$8:$V$62)=0),(COUNTA(D!$X$8:$X$62)=0)),"",COUNTIFS(D!$X$8:$X$62,"X23",D!$V$8:$V$62,"&lt;=9"))</f>
        <v/>
      </c>
      <c r="Z53" s="44" t="str">
        <f>IF(OR((COUNTA(D!$V$8:$V$62)=0),(COUNTA(D!$X$8:$X$62)=0)),"",COUNTIFS(D!$X$8:$X$62,"X24",D!$V$8:$V$62,"&lt;=9"))</f>
        <v/>
      </c>
    </row>
    <row r="54" spans="1:26" s="2" customFormat="1" ht="13.5" customHeight="1">
      <c r="A54" s="497" t="s">
        <v>174</v>
      </c>
      <c r="B54" s="35" t="s">
        <v>33</v>
      </c>
      <c r="C54" s="24" t="str">
        <f>IF(AND(C44="",C45="",C46="",C47="",C48="",C49="",C50="",C51="",C52="",C53=""),"",(SUM(C44:C47,C50,C51)))</f>
        <v/>
      </c>
      <c r="D54" s="25" t="str">
        <f t="shared" ref="D54" si="94">IF(AND(D44="",D45="",D46="",D47="",D48="",D49="",D50="",D51="",D52="",D53=""),"",(SUM(D44:D47,D50,D51)))</f>
        <v/>
      </c>
      <c r="E54" s="25" t="str">
        <f t="shared" ref="E54" si="95">IF(AND(E44="",E45="",E46="",E47="",E48="",E49="",E50="",E51="",E52="",E53=""),"",(SUM(E44:E47,E50,E51)))</f>
        <v/>
      </c>
      <c r="F54" s="25" t="str">
        <f t="shared" ref="F54" si="96">IF(AND(F44="",F45="",F46="",F47="",F48="",F49="",F50="",F51="",F52="",F53=""),"",(SUM(F44:F47,F50,F51)))</f>
        <v/>
      </c>
      <c r="G54" s="25" t="str">
        <f t="shared" ref="G54" si="97">IF(AND(G44="",G45="",G46="",G47="",G48="",G49="",G50="",G51="",G52="",G53=""),"",(SUM(G44:G47,G50,G51)))</f>
        <v/>
      </c>
      <c r="H54" s="25" t="str">
        <f t="shared" ref="H54" si="98">IF(AND(H44="",H45="",H46="",H47="",H48="",H49="",H50="",H51="",H52="",H53=""),"",(SUM(H44:H47,H50,H51)))</f>
        <v/>
      </c>
      <c r="I54" s="25" t="str">
        <f t="shared" ref="I54" si="99">IF(AND(I44="",I45="",I46="",I47="",I48="",I49="",I50="",I51="",I52="",I53=""),"",(SUM(I44:I47,I50,I51)))</f>
        <v/>
      </c>
      <c r="J54" s="45" t="str">
        <f t="shared" ref="J54" si="100">IF(AND(J44="",J45="",J46="",J47="",J48="",J49="",J50="",J51="",J52="",J53=""),"",(SUM(J44:J47,J50,J51)))</f>
        <v/>
      </c>
      <c r="K54" s="24" t="str">
        <f t="shared" ref="K54" si="101">IF(AND(K44="",K45="",K46="",K47="",K48="",K49="",K50="",K51="",K52="",K53=""),"",(SUM(K44:K47,K50,K51)))</f>
        <v/>
      </c>
      <c r="L54" s="25" t="str">
        <f t="shared" ref="L54" si="102">IF(AND(L44="",L45="",L46="",L47="",L48="",L49="",L50="",L51="",L52="",L53=""),"",(SUM(L44:L47,L50,L51)))</f>
        <v/>
      </c>
      <c r="M54" s="25" t="str">
        <f t="shared" ref="M54" si="103">IF(AND(M44="",M45="",M46="",M47="",M48="",M49="",M50="",M51="",M52="",M53=""),"",(SUM(M44:M47,M50,M51)))</f>
        <v/>
      </c>
      <c r="N54" s="25" t="str">
        <f t="shared" ref="N54" si="104">IF(AND(N44="",N45="",N46="",N47="",N48="",N49="",N50="",N51="",N52="",N53=""),"",(SUM(N44:N47,N50,N51)))</f>
        <v/>
      </c>
      <c r="O54" s="25" t="str">
        <f t="shared" ref="O54" si="105">IF(AND(O44="",O45="",O46="",O47="",O48="",O49="",O50="",O51="",O52="",O53=""),"",(SUM(O44:O47,O50,O51)))</f>
        <v/>
      </c>
      <c r="P54" s="25" t="str">
        <f t="shared" ref="P54" si="106">IF(AND(P44="",P45="",P46="",P47="",P48="",P49="",P50="",P51="",P52="",P53=""),"",(SUM(P44:P47,P50,P51)))</f>
        <v/>
      </c>
      <c r="Q54" s="25" t="str">
        <f t="shared" ref="Q54" si="107">IF(AND(Q44="",Q45="",Q46="",Q47="",Q48="",Q49="",Q50="",Q51="",Q52="",Q53=""),"",(SUM(Q44:Q47,Q50,Q51)))</f>
        <v/>
      </c>
      <c r="R54" s="48" t="str">
        <f t="shared" ref="R54" si="108">IF(AND(R44="",R45="",R46="",R47="",R48="",R49="",R50="",R51="",R52="",R53=""),"",(SUM(R44:R47,R50,R51)))</f>
        <v/>
      </c>
      <c r="S54" s="49" t="str">
        <f t="shared" ref="S54" si="109">IF(AND(S44="",S45="",S46="",S47="",S48="",S49="",S50="",S51="",S52="",S53=""),"",(SUM(S44:S47,S50,S51)))</f>
        <v/>
      </c>
      <c r="T54" s="25" t="str">
        <f t="shared" ref="T54" si="110">IF(AND(T44="",T45="",T46="",T47="",T48="",T49="",T50="",T51="",T52="",T53=""),"",(SUM(T44:T47,T50,T51)))</f>
        <v/>
      </c>
      <c r="U54" s="25" t="str">
        <f t="shared" ref="U54" si="111">IF(AND(U44="",U45="",U46="",U47="",U48="",U49="",U50="",U51="",U52="",U53=""),"",(SUM(U44:U47,U50,U51)))</f>
        <v/>
      </c>
      <c r="V54" s="25" t="str">
        <f t="shared" ref="V54" si="112">IF(AND(V44="",V45="",V46="",V47="",V48="",V49="",V50="",V51="",V52="",V53=""),"",(SUM(V44:V47,V50,V51)))</f>
        <v/>
      </c>
      <c r="W54" s="25" t="str">
        <f t="shared" ref="W54" si="113">IF(AND(W44="",W45="",W46="",W47="",W48="",W49="",W50="",W51="",W52="",W53=""),"",(SUM(W44:W47,W50,W51)))</f>
        <v/>
      </c>
      <c r="X54" s="25" t="str">
        <f t="shared" ref="X54" si="114">IF(AND(X44="",X45="",X46="",X47="",X48="",X49="",X50="",X51="",X52="",X53=""),"",(SUM(X44:X47,X50,X51)))</f>
        <v/>
      </c>
      <c r="Y54" s="25" t="str">
        <f t="shared" ref="Y54" si="115">IF(AND(Y44="",Y45="",Y46="",Y47="",Y48="",Y49="",Y50="",Y51="",Y52="",Y53=""),"",(SUM(Y44:Y47,Y50,Y51)))</f>
        <v/>
      </c>
      <c r="Z54" s="48" t="str">
        <f t="shared" ref="Z54" si="116">IF(AND(Z44="",Z45="",Z46="",Z47="",Z48="",Z49="",Z50="",Z51="",Z52="",Z53=""),"",(SUM(Z44:Z47,Z50,Z51)))</f>
        <v/>
      </c>
    </row>
    <row r="55" spans="1:26" s="2" customFormat="1" ht="13.5" customHeight="1">
      <c r="A55" s="498"/>
      <c r="B55" s="36" t="s">
        <v>169</v>
      </c>
      <c r="C55" s="27" t="str">
        <f>IF(C54="","",IF(C54=0,0,((C54/(SUM(C44:C49))*100))))</f>
        <v/>
      </c>
      <c r="D55" s="28" t="str">
        <f t="shared" ref="D55" si="117">IF(D54="","",IF(D54=0,0,((D54/(SUM(D44:D49))*100))))</f>
        <v/>
      </c>
      <c r="E55" s="28" t="str">
        <f t="shared" ref="E55" si="118">IF(E54="","",IF(E54=0,0,((E54/(SUM(E44:E49))*100))))</f>
        <v/>
      </c>
      <c r="F55" s="28" t="str">
        <f t="shared" ref="F55" si="119">IF(F54="","",IF(F54=0,0,((F54/(SUM(F44:F49))*100))))</f>
        <v/>
      </c>
      <c r="G55" s="28" t="str">
        <f t="shared" ref="G55" si="120">IF(G54="","",IF(G54=0,0,((G54/(SUM(G44:G49))*100))))</f>
        <v/>
      </c>
      <c r="H55" s="28" t="str">
        <f t="shared" ref="H55" si="121">IF(H54="","",IF(H54=0,0,((H54/(SUM(H44:H49))*100))))</f>
        <v/>
      </c>
      <c r="I55" s="28" t="str">
        <f t="shared" ref="I55" si="122">IF(I54="","",IF(I54=0,0,((I54/(SUM(I44:I49))*100))))</f>
        <v/>
      </c>
      <c r="J55" s="46" t="str">
        <f t="shared" ref="J55" si="123">IF(J54="","",IF(J54=0,0,((J54/(SUM(J44:J49))*100))))</f>
        <v/>
      </c>
      <c r="K55" s="27" t="str">
        <f t="shared" ref="K55" si="124">IF(K54="","",IF(K54=0,0,((K54/(SUM(K44:K49))*100))))</f>
        <v/>
      </c>
      <c r="L55" s="28" t="str">
        <f t="shared" ref="L55" si="125">IF(L54="","",IF(L54=0,0,((L54/(SUM(L44:L49))*100))))</f>
        <v/>
      </c>
      <c r="M55" s="28" t="str">
        <f t="shared" ref="M55" si="126">IF(M54="","",IF(M54=0,0,((M54/(SUM(M44:M49))*100))))</f>
        <v/>
      </c>
      <c r="N55" s="28" t="str">
        <f t="shared" ref="N55" si="127">IF(N54="","",IF(N54=0,0,((N54/(SUM(N44:N49))*100))))</f>
        <v/>
      </c>
      <c r="O55" s="28" t="str">
        <f t="shared" ref="O55" si="128">IF(O54="","",IF(O54=0,0,((O54/(SUM(O44:O49))*100))))</f>
        <v/>
      </c>
      <c r="P55" s="28" t="str">
        <f t="shared" ref="P55" si="129">IF(P54="","",IF(P54=0,0,((P54/(SUM(P44:P49))*100))))</f>
        <v/>
      </c>
      <c r="Q55" s="28" t="str">
        <f t="shared" ref="Q55" si="130">IF(Q54="","",IF(Q54=0,0,((Q54/(SUM(Q44:Q49))*100))))</f>
        <v/>
      </c>
      <c r="R55" s="50" t="str">
        <f t="shared" ref="R55" si="131">IF(R54="","",IF(R54=0,0,((R54/(SUM(R44:R49))*100))))</f>
        <v/>
      </c>
      <c r="S55" s="51" t="str">
        <f t="shared" ref="S55" si="132">IF(S54="","",IF(S54=0,0,((S54/(SUM(S44:S49))*100))))</f>
        <v/>
      </c>
      <c r="T55" s="28" t="str">
        <f t="shared" ref="T55" si="133">IF(T54="","",IF(T54=0,0,((T54/(SUM(T44:T49))*100))))</f>
        <v/>
      </c>
      <c r="U55" s="28" t="str">
        <f t="shared" ref="U55" si="134">IF(U54="","",IF(U54=0,0,((U54/(SUM(U44:U49))*100))))</f>
        <v/>
      </c>
      <c r="V55" s="28" t="str">
        <f t="shared" ref="V55" si="135">IF(V54="","",IF(V54=0,0,((V54/(SUM(V44:V49))*100))))</f>
        <v/>
      </c>
      <c r="W55" s="28" t="str">
        <f t="shared" ref="W55" si="136">IF(W54="","",IF(W54=0,0,((W54/(SUM(W44:W49))*100))))</f>
        <v/>
      </c>
      <c r="X55" s="28" t="str">
        <f t="shared" ref="X55" si="137">IF(X54="","",IF(X54=0,0,((X54/(SUM(X44:X49))*100))))</f>
        <v/>
      </c>
      <c r="Y55" s="28" t="str">
        <f t="shared" ref="Y55" si="138">IF(Y54="","",IF(Y54=0,0,((Y54/(SUM(Y44:Y49))*100))))</f>
        <v/>
      </c>
      <c r="Z55" s="50" t="str">
        <f t="shared" ref="Z55" si="139">IF(Z54="","",IF(Z54=0,0,((Z54/(SUM(Z44:Z49))*100))))</f>
        <v/>
      </c>
    </row>
    <row r="56" spans="1:26" s="2" customFormat="1" ht="13.5" customHeight="1">
      <c r="A56" s="499" t="s">
        <v>165</v>
      </c>
      <c r="B56" s="29" t="s">
        <v>28</v>
      </c>
      <c r="C56" s="9" t="str">
        <f>IF(OR((COUNTA(E!$P$8:$P$62)=0),(COUNTA(E!$R$8:$R$62)=0)),"",COUNTIFS(E!$R$8:$R$62,"X01",E!$Q$8:$Q$62,"A"))</f>
        <v/>
      </c>
      <c r="D56" s="10" t="str">
        <f>IF(OR((COUNTA(E!$P$8:$P$62)=0),(COUNTA(E!$R$8:$R$62)=0)),"",COUNTIFS(E!$R$8:$R$62,"X02",E!$Q$8:$Q$62,"A"))</f>
        <v/>
      </c>
      <c r="E56" s="11" t="str">
        <f>IF(OR((COUNTA(E!$P$8:$P$62)=0),(COUNTA(E!$R$8:$R$62)=0)),"",COUNTIFS(E!$R$8:$R$62,"X03",E!$Q$8:$Q$62,"A"))</f>
        <v/>
      </c>
      <c r="F56" s="11" t="str">
        <f>IF(OR((COUNTA(E!$P$8:$P$62)=0),(COUNTA(E!$R$8:$R$62)=0)),"",COUNTIFS(E!$R$8:$R$62,"X04",E!$Q$8:$Q$62,"A"))</f>
        <v/>
      </c>
      <c r="G56" s="11" t="str">
        <f>IF(OR((COUNTA(E!$P$8:$P$62)=0),(COUNTA(E!$R$8:$R$62)=0)),"",COUNTIFS(E!$R$8:$R$62,"X05",E!$Q$8:$Q$62,"A"))</f>
        <v/>
      </c>
      <c r="H56" s="11" t="str">
        <f>IF(OR((COUNTA(E!$P$8:$P$62)=0),(COUNTA(E!$R$8:$R$62)=0)),"",COUNTIFS(E!$R$8:$R$62,"X06",E!$Q$8:$Q$62,"A"))</f>
        <v/>
      </c>
      <c r="I56" s="11" t="str">
        <f>IF(OR((COUNTA(E!$P$8:$P$62)=0),(COUNTA(E!$R$8:$R$62)=0)),"",COUNTIFS(E!$R$8:$R$62,"X07",E!$Q$8:$Q$62,"A"))</f>
        <v/>
      </c>
      <c r="J56" s="40" t="str">
        <f>IF(OR((COUNTA(E!$P$8:$P$62)=0),(COUNTA(E!$R$8:$R$62)=0)),"",COUNTIFS(E!$R$8:$R$62,"X08",E!$Q$8:$Q$62,"A"))</f>
        <v/>
      </c>
      <c r="K56" s="41" t="str">
        <f>IF(OR((COUNTA(E!$S$8:$S$62)=0),(COUNTA(E!$U$8:$U$62)=0)),"",COUNTIFS(E!$U$8:$U$62,"X09",E!$T$8:$T$62,"A"))</f>
        <v/>
      </c>
      <c r="L56" s="11" t="str">
        <f>IF(OR((COUNTA(E!$S$8:$S$62)=0),(COUNTA(E!$U$8:$U$62)=0)),"",COUNTIFS(E!$U$8:$U$62,"X10",E!$T$8:$T$62,"A"))</f>
        <v/>
      </c>
      <c r="M56" s="11" t="str">
        <f>IF(OR((COUNTA(E!$S$8:$S$62)=0),(COUNTA(E!$U$8:$U$62)=0)),"",COUNTIFS(E!$U$8:$U$62,"X11",E!$T$8:$T$62,"A"))</f>
        <v/>
      </c>
      <c r="N56" s="11" t="str">
        <f>IF(OR((COUNTA(E!$S$8:$S$62)=0),(COUNTA(E!$U$8:$U$62)=0)),"",COUNTIFS(E!$U$8:$U$62,"X12",E!$T$8:$T$62,"A"))</f>
        <v/>
      </c>
      <c r="O56" s="11" t="str">
        <f>IF(OR((COUNTA(E!$S$8:$S$62)=0),(COUNTA(E!$U$8:$U$62)=0)),"",COUNTIFS(E!$U$8:$U$62,"X13",E!$T$8:$T$62,"A"))</f>
        <v/>
      </c>
      <c r="P56" s="11" t="str">
        <f>IF(OR((COUNTA(E!$S$8:$S$62)=0),(COUNTA(E!$U$8:$U$62)=0)),"",COUNTIFS(E!$U$8:$U$62,"X14",E!$T$8:$T$62,"A"))</f>
        <v/>
      </c>
      <c r="Q56" s="11" t="str">
        <f>IF(OR((COUNTA(E!$S$8:$S$62)=0),(COUNTA(E!$U$8:$U$62)=0)),"",COUNTIFS(E!$U$8:$U$62,"X15",E!$T$8:$T$62,"A"))</f>
        <v/>
      </c>
      <c r="R56" s="40" t="str">
        <f>IF(OR((COUNTA(E!$S$8:$S$62)=0),(COUNTA(E!$U$8:$U$62)=0)),"",COUNTIFS(E!$U$8:$U$62,"X16",E!$T$8:$T$62,"A"))</f>
        <v/>
      </c>
      <c r="S56" s="41" t="str">
        <f>IF(OR((COUNTA(E!$V$8:$V$62)=0),(COUNTA(E!$X$8:$X$62)=0)),"",COUNTIFS(E!$X$8:$X$62,"X17",E!$W$8:$W$62,"A"))</f>
        <v/>
      </c>
      <c r="T56" s="11" t="str">
        <f>IF(OR((COUNTA(E!$V$8:$V$62)=0),(COUNTA(E!$X$8:$X$62)=0)),"",COUNTIFS(E!$X$8:$X$62,"X18",E!$W$8:$W$62,"A"))</f>
        <v/>
      </c>
      <c r="U56" s="11" t="str">
        <f>IF(OR((COUNTA(E!$V$8:$V$62)=0),(COUNTA(E!$X$8:$X$62)=0)),"",COUNTIFS(E!$X$8:$X$62,"X19",E!$W$8:$W$62,"A"))</f>
        <v/>
      </c>
      <c r="V56" s="11" t="str">
        <f>IF(OR((COUNTA(E!$V$8:$V$62)=0),(COUNTA(E!$X$8:$X$62)=0)),"",COUNTIFS(E!$X$8:$X$62,"X20",E!$W$8:$W$62,"A"))</f>
        <v/>
      </c>
      <c r="W56" s="11" t="str">
        <f>IF(OR((COUNTA(E!$V$8:$V$62)=0),(COUNTA(E!$X$8:$X$62)=0)),"",COUNTIFS(E!$X$8:$X$62,"X21",E!$W$8:$W$62,"A"))</f>
        <v/>
      </c>
      <c r="X56" s="11" t="str">
        <f>IF(OR((COUNTA(E!$V$8:$V$62)=0),(COUNTA(E!$X$8:$X$62)=0)),"",COUNTIFS(E!$X$8:$X$62,"X22",E!$W$8:$W$62,"A"))</f>
        <v/>
      </c>
      <c r="Y56" s="11" t="str">
        <f>IF(OR((COUNTA(E!$V$8:$V$62)=0),(COUNTA(E!$X$8:$X$62)=0)),"",COUNTIFS(E!$X$8:$X$62,"X23",E!$W$8:$W$62,"A"))</f>
        <v/>
      </c>
      <c r="Z56" s="40" t="str">
        <f>IF(OR((COUNTA(E!$V$8:$V$62)=0),(COUNTA(E!$X$8:$X$62)=0)),"",COUNTIFS(E!$X$8:$X$62,"X24",E!$W$8:$W$62,"A"))</f>
        <v/>
      </c>
    </row>
    <row r="57" spans="1:26" s="2" customFormat="1" ht="13.5" customHeight="1">
      <c r="A57" s="500"/>
      <c r="B57" s="30" t="s">
        <v>29</v>
      </c>
      <c r="C57" s="13" t="str">
        <f>IF(OR((COUNTA(E!$P$8:$P$62)=0),(COUNTA(E!$R$8:$R$62)=0)),"",COUNTIFS(E!$R$8:$R$62,"X01",E!$Q$8:$Q$62,"B"))</f>
        <v/>
      </c>
      <c r="D57" s="14" t="str">
        <f>IF(OR((COUNTA(E!$P$8:$P$62)=0),(COUNTA(E!$R$8:$R$62)=0)),"",COUNTIFS(E!$R$8:$R$62,"X02",E!$Q$8:$Q$62,"B"))</f>
        <v/>
      </c>
      <c r="E57" s="14" t="str">
        <f>IF(OR((COUNTA(E!$P$8:$P$62)=0),(COUNTA(E!$R$8:$R$62)=0)),"",COUNTIFS(E!$R$8:$R$62,"X03",E!$Q$8:$Q$62,"B"))</f>
        <v/>
      </c>
      <c r="F57" s="14" t="str">
        <f>IF(OR((COUNTA(E!$P$8:$P$62)=0),(COUNTA(E!$R$8:$R$62)=0)),"",COUNTIFS(E!$R$8:$R$62,"X04",E!$Q$8:$Q$62,"B"))</f>
        <v/>
      </c>
      <c r="G57" s="14" t="str">
        <f>IF(OR((COUNTA(E!$P$8:$P$62)=0),(COUNTA(E!$R$8:$R$62)=0)),"",COUNTIFS(E!$R$8:$R$62,"X05",E!$Q$8:$Q$62,"B"))</f>
        <v/>
      </c>
      <c r="H57" s="14" t="str">
        <f>IF(OR((COUNTA(E!$P$8:$P$62)=0),(COUNTA(E!$R$8:$R$62)=0)),"",COUNTIFS(E!$R$8:$R$62,"X06",E!$Q$8:$Q$62,"B"))</f>
        <v/>
      </c>
      <c r="I57" s="14" t="str">
        <f>IF(OR((COUNTA(E!$P$8:$P$62)=0),(COUNTA(E!$R$8:$R$62)=0)),"",COUNTIFS(E!$R$8:$R$62,"X07",E!$Q$8:$Q$62,"B"))</f>
        <v/>
      </c>
      <c r="J57" s="42" t="str">
        <f>IF(OR((COUNTA(E!$P$8:$P$62)=0),(COUNTA(E!$R$8:$R$62)=0)),"",COUNTIFS(E!$R$8:$R$62,"X08",E!$Q$8:$Q$62,"B"))</f>
        <v/>
      </c>
      <c r="K57" s="13" t="str">
        <f>IF(OR((COUNTA(E!$S$8:$S$62)=0),(COUNTA(E!$U$8:$U$62)=0)),"",COUNTIFS(E!$U$8:$U$62,"X09",E!$T$8:$T$62,"B"))</f>
        <v/>
      </c>
      <c r="L57" s="14" t="str">
        <f>IF(OR((COUNTA(E!$S$8:$S$62)=0),(COUNTA(E!$U$8:$U$62)=0)),"",COUNTIFS(E!$U$8:$U$62,"X10",E!$T$8:$T$62,"B"))</f>
        <v/>
      </c>
      <c r="M57" s="14" t="str">
        <f>IF(OR((COUNTA(E!$S$8:$S$62)=0),(COUNTA(E!$U$8:$U$62)=0)),"",COUNTIFS(E!$U$8:$U$62,"X11",E!$T$8:$T$62,"B"))</f>
        <v/>
      </c>
      <c r="N57" s="14" t="str">
        <f>IF(OR((COUNTA(E!$S$8:$S$62)=0),(COUNTA(E!$U$8:$U$62)=0)),"",COUNTIFS(E!$U$8:$U$62,"X12",E!$T$8:$T$62,"B"))</f>
        <v/>
      </c>
      <c r="O57" s="14" t="str">
        <f>IF(OR((COUNTA(E!$S$8:$S$62)=0),(COUNTA(E!$U$8:$U$62)=0)),"",COUNTIFS(E!$U$8:$U$62,"X13",E!$T$8:$T$62,"B"))</f>
        <v/>
      </c>
      <c r="P57" s="14" t="str">
        <f>IF(OR((COUNTA(E!$S$8:$S$62)=0),(COUNTA(E!$U$8:$U$62)=0)),"",COUNTIFS(E!$U$8:$U$62,"X14",E!$T$8:$T$62,"B"))</f>
        <v/>
      </c>
      <c r="Q57" s="14" t="str">
        <f>IF(OR((COUNTA(E!$S$8:$S$62)=0),(COUNTA(E!$U$8:$U$62)=0)),"",COUNTIFS(E!$U$8:$U$62,"X15",E!$T$8:$T$62,"B"))</f>
        <v/>
      </c>
      <c r="R57" s="42" t="str">
        <f>IF(OR((COUNTA(E!$S$8:$S$62)=0),(COUNTA(E!$U$8:$U$62)=0)),"",COUNTIFS(E!$U$8:$U$62,"X16",E!$T$8:$T$62,"B"))</f>
        <v/>
      </c>
      <c r="S57" s="13" t="str">
        <f>IF(OR((COUNTA(E!$V$8:$V$62)=0),(COUNTA(E!$X$8:$X$62)=0)),"",COUNTIFS(E!$X$8:$X$62,"X17",E!$W$8:$W$62,"B"))</f>
        <v/>
      </c>
      <c r="T57" s="14" t="str">
        <f>IF(OR((COUNTA(E!$V$8:$V$62)=0),(COUNTA(E!$X$8:$X$62)=0)),"",COUNTIFS(E!$X$8:$X$62,"X18",E!$W$8:$W$62,"B"))</f>
        <v/>
      </c>
      <c r="U57" s="14" t="str">
        <f>IF(OR((COUNTA(E!$V$8:$V$62)=0),(COUNTA(E!$X$8:$X$62)=0)),"",COUNTIFS(E!$X$8:$X$62,"X19",E!$W$8:$W$62,"B"))</f>
        <v/>
      </c>
      <c r="V57" s="14" t="str">
        <f>IF(OR((COUNTA(E!$V$8:$V$62)=0),(COUNTA(E!$X$8:$X$62)=0)),"",COUNTIFS(E!$X$8:$X$62,"X20",E!$W$8:$W$62,"B"))</f>
        <v/>
      </c>
      <c r="W57" s="14" t="str">
        <f>IF(OR((COUNTA(E!$V$8:$V$62)=0),(COUNTA(E!$X$8:$X$62)=0)),"",COUNTIFS(E!$X$8:$X$62,"X21",E!$W$8:$W$62,"B"))</f>
        <v/>
      </c>
      <c r="X57" s="14" t="str">
        <f>IF(OR((COUNTA(E!$V$8:$V$62)=0),(COUNTA(E!$X$8:$X$62)=0)),"",COUNTIFS(E!$X$8:$X$62,"X22",E!$W$8:$W$62,"B"))</f>
        <v/>
      </c>
      <c r="Y57" s="14" t="str">
        <f>IF(OR((COUNTA(E!$V$8:$V$62)=0),(COUNTA(E!$X$8:$X$62)=0)),"",COUNTIFS(E!$X$8:$X$62,"X23",E!$W$8:$W$62,"B"))</f>
        <v/>
      </c>
      <c r="Z57" s="42" t="str">
        <f>IF(OR((COUNTA(E!$V$8:$V$62)=0),(COUNTA(E!$X$8:$X$62)=0)),"",COUNTIFS(E!$X$8:$X$62,"X24",E!$W$8:$W$62,"B"))</f>
        <v/>
      </c>
    </row>
    <row r="58" spans="1:26" s="2" customFormat="1" ht="13.5" customHeight="1">
      <c r="A58" s="500"/>
      <c r="B58" s="30" t="s">
        <v>30</v>
      </c>
      <c r="C58" s="13" t="str">
        <f>IF(OR((COUNTA(E!$P$8:$P$62)=0),(COUNTA(E!$R$8:$R$62)=0)),"",COUNTIFS(E!$R$8:$R$62,"X01",E!$Q$8:$Q$62,"C"))</f>
        <v/>
      </c>
      <c r="D58" s="14" t="str">
        <f>IF(OR((COUNTA(E!$P$8:$P$62)=0),(COUNTA(E!$R$8:$R$62)=0)),"",COUNTIFS(E!$R$8:$R$62,"X02",E!$Q$8:$Q$62,"C"))</f>
        <v/>
      </c>
      <c r="E58" s="14" t="str">
        <f>IF(OR((COUNTA(E!$P$8:$P$62)=0),(COUNTA(E!$R$8:$R$62)=0)),"",COUNTIFS(E!$R$8:$R$62,"X03",E!$Q$8:$Q$62,"C"))</f>
        <v/>
      </c>
      <c r="F58" s="14" t="str">
        <f>IF(OR((COUNTA(E!$P$8:$P$62)=0),(COUNTA(E!$R$8:$R$62)=0)),"",COUNTIFS(E!$R$8:$R$62,"X04",E!$Q$8:$Q$62,"C"))</f>
        <v/>
      </c>
      <c r="G58" s="14" t="str">
        <f>IF(OR((COUNTA(E!$P$8:$P$62)=0),(COUNTA(E!$R$8:$R$62)=0)),"",COUNTIFS(E!$R$8:$R$62,"X05",E!$Q$8:$Q$62,"C"))</f>
        <v/>
      </c>
      <c r="H58" s="14" t="str">
        <f>IF(OR((COUNTA(E!$P$8:$P$62)=0),(COUNTA(E!$R$8:$R$62)=0)),"",COUNTIFS(E!$R$8:$R$62,"X06",E!$Q$8:$Q$62,"C"))</f>
        <v/>
      </c>
      <c r="I58" s="14" t="str">
        <f>IF(OR((COUNTA(E!$P$8:$P$62)=0),(COUNTA(E!$R$8:$R$62)=0)),"",COUNTIFS(E!$R$8:$R$62,"X07",E!$Q$8:$Q$62,"C"))</f>
        <v/>
      </c>
      <c r="J58" s="42" t="str">
        <f>IF(OR((COUNTA(E!$P$8:$P$62)=0),(COUNTA(E!$R$8:$R$62)=0)),"",COUNTIFS(E!$R$8:$R$62,"X08",E!$Q$8:$Q$62,"C"))</f>
        <v/>
      </c>
      <c r="K58" s="13" t="str">
        <f>IF(OR((COUNTA(E!$S$8:$S$62)=0),(COUNTA(E!$U$8:$U$62)=0)),"",COUNTIFS(E!$U$8:$U$62,"X09",E!$T$8:$T$62,"C"))</f>
        <v/>
      </c>
      <c r="L58" s="14" t="str">
        <f>IF(OR((COUNTA(E!$S$8:$S$62)=0),(COUNTA(E!$U$8:$U$62)=0)),"",COUNTIFS(E!$U$8:$U$62,"X10",E!$T$8:$T$62,"C"))</f>
        <v/>
      </c>
      <c r="M58" s="14" t="str">
        <f>IF(OR((COUNTA(E!$S$8:$S$62)=0),(COUNTA(E!$U$8:$U$62)=0)),"",COUNTIFS(E!$U$8:$U$62,"X11",E!$T$8:$T$62,"C"))</f>
        <v/>
      </c>
      <c r="N58" s="14" t="str">
        <f>IF(OR((COUNTA(E!$S$8:$S$62)=0),(COUNTA(E!$U$8:$U$62)=0)),"",COUNTIFS(E!$U$8:$U$62,"X12",E!$T$8:$T$62,"C"))</f>
        <v/>
      </c>
      <c r="O58" s="14" t="str">
        <f>IF(OR((COUNTA(E!$S$8:$S$62)=0),(COUNTA(E!$U$8:$U$62)=0)),"",COUNTIFS(E!$U$8:$U$62,"X13",E!$T$8:$T$62,"C"))</f>
        <v/>
      </c>
      <c r="P58" s="14" t="str">
        <f>IF(OR((COUNTA(E!$S$8:$S$62)=0),(COUNTA(E!$U$8:$U$62)=0)),"",COUNTIFS(E!$U$8:$U$62,"X14",E!$T$8:$T$62,"C"))</f>
        <v/>
      </c>
      <c r="Q58" s="14" t="str">
        <f>IF(OR((COUNTA(E!$S$8:$S$62)=0),(COUNTA(E!$U$8:$U$62)=0)),"",COUNTIFS(E!$U$8:$U$62,"X15",E!$T$8:$T$62,"C"))</f>
        <v/>
      </c>
      <c r="R58" s="42" t="str">
        <f>IF(OR((COUNTA(E!$S$8:$S$62)=0),(COUNTA(E!$U$8:$U$62)=0)),"",COUNTIFS(E!$U$8:$U$62,"X16",E!$T$8:$T$62,"C"))</f>
        <v/>
      </c>
      <c r="S58" s="13" t="str">
        <f>IF(OR((COUNTA(E!$V$8:$V$62)=0),(COUNTA(E!$X$8:$X$62)=0)),"",COUNTIFS(E!$X$8:$X$62,"X17",E!$W$8:$W$62,"C"))</f>
        <v/>
      </c>
      <c r="T58" s="14" t="str">
        <f>IF(OR((COUNTA(E!$V$8:$V$62)=0),(COUNTA(E!$X$8:$X$62)=0)),"",COUNTIFS(E!$X$8:$X$62,"X18",E!$W$8:$W$62,"C"))</f>
        <v/>
      </c>
      <c r="U58" s="14" t="str">
        <f>IF(OR((COUNTA(E!$V$8:$V$62)=0),(COUNTA(E!$X$8:$X$62)=0)),"",COUNTIFS(E!$X$8:$X$62,"X19",E!$W$8:$W$62,"C"))</f>
        <v/>
      </c>
      <c r="V58" s="14" t="str">
        <f>IF(OR((COUNTA(E!$V$8:$V$62)=0),(COUNTA(E!$X$8:$X$62)=0)),"",COUNTIFS(E!$X$8:$X$62,"X20",E!$W$8:$W$62,"C"))</f>
        <v/>
      </c>
      <c r="W58" s="14" t="str">
        <f>IF(OR((COUNTA(E!$V$8:$V$62)=0),(COUNTA(E!$X$8:$X$62)=0)),"",COUNTIFS(E!$X$8:$X$62,"X21",E!$W$8:$W$62,"C"))</f>
        <v/>
      </c>
      <c r="X58" s="14" t="str">
        <f>IF(OR((COUNTA(E!$V$8:$V$62)=0),(COUNTA(E!$X$8:$X$62)=0)),"",COUNTIFS(E!$X$8:$X$62,"X22",E!$W$8:$W$62,"C"))</f>
        <v/>
      </c>
      <c r="Y58" s="14" t="str">
        <f>IF(OR((COUNTA(E!$V$8:$V$62)=0),(COUNTA(E!$X$8:$X$62)=0)),"",COUNTIFS(E!$X$8:$X$62,"X23",E!$W$8:$W$62,"C"))</f>
        <v/>
      </c>
      <c r="Z58" s="42" t="str">
        <f>IF(OR((COUNTA(E!$V$8:$V$62)=0),(COUNTA(E!$X$8:$X$62)=0)),"",COUNTIFS(E!$X$8:$X$62,"X24",E!$W$8:$W$62,"C"))</f>
        <v/>
      </c>
    </row>
    <row r="59" spans="1:26" s="2" customFormat="1" ht="13.5" customHeight="1">
      <c r="A59" s="500"/>
      <c r="B59" s="30" t="s">
        <v>31</v>
      </c>
      <c r="C59" s="13" t="str">
        <f>IF(OR((COUNTA(E!$P$8:$P$62)=0),(COUNTA(E!$R$8:$R$62)=0)),"",COUNTIFS(E!$R$8:$R$62,"X01",E!$Q$8:$Q$62,"S"))</f>
        <v/>
      </c>
      <c r="D59" s="14" t="str">
        <f>IF(OR((COUNTA(E!$P$8:$P$62)=0),(COUNTA(E!$R$8:$R$62)=0)),"",COUNTIFS(E!$R$8:$R$62,"X02",E!$Q$8:$Q$62,"S"))</f>
        <v/>
      </c>
      <c r="E59" s="14" t="str">
        <f>IF(OR((COUNTA(E!$P$8:$P$62)=0),(COUNTA(E!$R$8:$R$62)=0)),"",COUNTIFS(E!$R$8:$R$62,"X03",E!$Q$8:$Q$62,"S"))</f>
        <v/>
      </c>
      <c r="F59" s="14" t="str">
        <f>IF(OR((COUNTA(E!$P$8:$P$62)=0),(COUNTA(E!$R$8:$R$62)=0)),"",COUNTIFS(E!$R$8:$R$62,"X04",E!$Q$8:$Q$62,"S"))</f>
        <v/>
      </c>
      <c r="G59" s="14" t="str">
        <f>IF(OR((COUNTA(E!$P$8:$P$62)=0),(COUNTA(E!$R$8:$R$62)=0)),"",COUNTIFS(E!$R$8:$R$62,"X05",E!$Q$8:$Q$62,"S"))</f>
        <v/>
      </c>
      <c r="H59" s="14" t="str">
        <f>IF(OR((COUNTA(E!$P$8:$P$62)=0),(COUNTA(E!$R$8:$R$62)=0)),"",COUNTIFS(E!$R$8:$R$62,"X06",E!$Q$8:$Q$62,"S"))</f>
        <v/>
      </c>
      <c r="I59" s="14" t="str">
        <f>IF(OR((COUNTA(E!$P$8:$P$62)=0),(COUNTA(E!$R$8:$R$62)=0)),"",COUNTIFS(E!$R$8:$R$62,"X07",E!$Q$8:$Q$62,"S"))</f>
        <v/>
      </c>
      <c r="J59" s="42" t="str">
        <f>IF(OR((COUNTA(E!$P$8:$P$62)=0),(COUNTA(E!$R$8:$R$62)=0)),"",COUNTIFS(E!$R$8:$R$62,"X08",E!$Q$8:$Q$62,"S"))</f>
        <v/>
      </c>
      <c r="K59" s="13" t="str">
        <f>IF(OR((COUNTA(E!$S$8:$S$62)=0),(COUNTA(E!$U$8:$U$62)=0)),"",COUNTIFS(E!$U$8:$U$62,"X09",E!$T$8:$T$62,"S"))</f>
        <v/>
      </c>
      <c r="L59" s="14" t="str">
        <f>IF(OR((COUNTA(E!$S$8:$S$62)=0),(COUNTA(E!$U$8:$U$62)=0)),"",COUNTIFS(E!$U$8:$U$62,"X10",E!$T$8:$T$62,"S"))</f>
        <v/>
      </c>
      <c r="M59" s="14" t="str">
        <f>IF(OR((COUNTA(E!$S$8:$S$62)=0),(COUNTA(E!$U$8:$U$62)=0)),"",COUNTIFS(E!$U$8:$U$62,"X11",E!$T$8:$T$62,"S"))</f>
        <v/>
      </c>
      <c r="N59" s="14" t="str">
        <f>IF(OR((COUNTA(E!$S$8:$S$62)=0),(COUNTA(E!$U$8:$U$62)=0)),"",COUNTIFS(E!$U$8:$U$62,"X12",E!$T$8:$T$62,"S"))</f>
        <v/>
      </c>
      <c r="O59" s="14" t="str">
        <f>IF(OR((COUNTA(E!$S$8:$S$62)=0),(COUNTA(E!$U$8:$U$62)=0)),"",COUNTIFS(E!$U$8:$U$62,"X13",E!$T$8:$T$62,"S"))</f>
        <v/>
      </c>
      <c r="P59" s="14" t="str">
        <f>IF(OR((COUNTA(E!$S$8:$S$62)=0),(COUNTA(E!$U$8:$U$62)=0)),"",COUNTIFS(E!$U$8:$U$62,"X14",E!$T$8:$T$62,"S"))</f>
        <v/>
      </c>
      <c r="Q59" s="14" t="str">
        <f>IF(OR((COUNTA(E!$S$8:$S$62)=0),(COUNTA(E!$U$8:$U$62)=0)),"",COUNTIFS(E!$U$8:$U$62,"X15",E!$T$8:$T$62,"S"))</f>
        <v/>
      </c>
      <c r="R59" s="42" t="str">
        <f>IF(OR((COUNTA(E!$S$8:$S$62)=0),(COUNTA(E!$U$8:$U$62)=0)),"",COUNTIFS(E!$U$8:$U$62,"X16",E!$T$8:$T$62,"S"))</f>
        <v/>
      </c>
      <c r="S59" s="13" t="str">
        <f>IF(OR((COUNTA(E!$V$8:$V$62)=0),(COUNTA(E!$X$8:$X$62)=0)),"",COUNTIFS(E!$X$8:$X$62,"X17",E!$W$8:$W$62,"S"))</f>
        <v/>
      </c>
      <c r="T59" s="14" t="str">
        <f>IF(OR((COUNTA(E!$V$8:$V$62)=0),(COUNTA(E!$X$8:$X$62)=0)),"",COUNTIFS(E!$X$8:$X$62,"X18",E!$W$8:$W$62,"S"))</f>
        <v/>
      </c>
      <c r="U59" s="14" t="str">
        <f>IF(OR((COUNTA(E!$V$8:$V$62)=0),(COUNTA(E!$X$8:$X$62)=0)),"",COUNTIFS(E!$X$8:$X$62,"X19",E!$W$8:$W$62,"S"))</f>
        <v/>
      </c>
      <c r="V59" s="14" t="str">
        <f>IF(OR((COUNTA(E!$V$8:$V$62)=0),(COUNTA(E!$X$8:$X$62)=0)),"",COUNTIFS(E!$X$8:$X$62,"X20",E!$W$8:$W$62,"S"))</f>
        <v/>
      </c>
      <c r="W59" s="14" t="str">
        <f>IF(OR((COUNTA(E!$V$8:$V$62)=0),(COUNTA(E!$X$8:$X$62)=0)),"",COUNTIFS(E!$X$8:$X$62,"X21",E!$W$8:$W$62,"S"))</f>
        <v/>
      </c>
      <c r="X59" s="14" t="str">
        <f>IF(OR((COUNTA(E!$V$8:$V$62)=0),(COUNTA(E!$X$8:$X$62)=0)),"",COUNTIFS(E!$X$8:$X$62,"X22",E!$W$8:$W$62,"S"))</f>
        <v/>
      </c>
      <c r="Y59" s="14" t="str">
        <f>IF(OR((COUNTA(E!$V$8:$V$62)=0),(COUNTA(E!$X$8:$X$62)=0)),"",COUNTIFS(E!$X$8:$X$62,"X23",E!$W$8:$W$62,"S"))</f>
        <v/>
      </c>
      <c r="Z59" s="42" t="str">
        <f>IF(OR((COUNTA(E!$V$8:$V$62)=0),(COUNTA(E!$X$8:$X$62)=0)),"",COUNTIFS(E!$X$8:$X$62,"X24",E!$W$8:$W$62,"S"))</f>
        <v/>
      </c>
    </row>
    <row r="60" spans="1:26" s="2" customFormat="1" ht="13.5" customHeight="1">
      <c r="A60" s="500"/>
      <c r="B60" s="31" t="s">
        <v>32</v>
      </c>
      <c r="C60" s="16" t="str">
        <f>IF(OR((COUNTA(E!$P$8:$P$62)=0),(COUNTA(E!$R$8:$R$62)=0)),"",COUNTIFS(E!$R$8:$R$62,"X01",E!$Q$8:$Q$62,"W"))</f>
        <v/>
      </c>
      <c r="D60" s="17" t="str">
        <f>IF(OR((COUNTA(E!$P$8:$P$62)=0),(COUNTA(E!$R$8:$R$62)=0)),"",COUNTIFS(E!$R$8:$R$62,"X02",E!$Q$8:$Q$62,"W"))</f>
        <v/>
      </c>
      <c r="E60" s="17" t="str">
        <f>IF(OR((COUNTA(E!$P$8:$P$62)=0),(COUNTA(E!$R$8:$R$62)=0)),"",COUNTIFS(E!$R$8:$R$62,"X03",E!$Q$8:$Q$62,"W"))</f>
        <v/>
      </c>
      <c r="F60" s="17" t="str">
        <f>IF(OR((COUNTA(E!$P$8:$P$62)=0),(COUNTA(E!$R$8:$R$62)=0)),"",COUNTIFS(E!$R$8:$R$62,"X04",E!$Q$8:$Q$62,"W"))</f>
        <v/>
      </c>
      <c r="G60" s="17" t="str">
        <f>IF(OR((COUNTA(E!$P$8:$P$62)=0),(COUNTA(E!$R$8:$R$62)=0)),"",COUNTIFS(E!$R$8:$R$62,"X05",E!$Q$8:$Q$62,"W"))</f>
        <v/>
      </c>
      <c r="H60" s="17" t="str">
        <f>IF(OR((COUNTA(E!$P$8:$P$62)=0),(COUNTA(E!$R$8:$R$62)=0)),"",COUNTIFS(E!$R$8:$R$62,"X06",E!$Q$8:$Q$62,"W"))</f>
        <v/>
      </c>
      <c r="I60" s="17" t="str">
        <f>IF(OR((COUNTA(E!$P$8:$P$62)=0),(COUNTA(E!$R$8:$R$62)=0)),"",COUNTIFS(E!$R$8:$R$62,"X07",E!$Q$8:$Q$62,"W"))</f>
        <v/>
      </c>
      <c r="J60" s="43" t="str">
        <f>IF(OR((COUNTA(E!$P$8:$P$62)=0),(COUNTA(E!$R$8:$R$62)=0)),"",COUNTIFS(E!$R$8:$R$62,"X08",E!$Q$8:$Q$62,"W"))</f>
        <v/>
      </c>
      <c r="K60" s="16" t="str">
        <f>IF(OR((COUNTA(E!$S$8:$S$62)=0),(COUNTA(E!$U$8:$U$62)=0)),"",COUNTIFS(E!$U$8:$U$62,"X09",E!$T$8:$T$62,"W"))</f>
        <v/>
      </c>
      <c r="L60" s="17" t="str">
        <f>IF(OR((COUNTA(E!$S$8:$S$62)=0),(COUNTA(E!$U$8:$U$62)=0)),"",COUNTIFS(E!$U$8:$U$62,"X10",E!$T$8:$T$62,"W"))</f>
        <v/>
      </c>
      <c r="M60" s="17" t="str">
        <f>IF(OR((COUNTA(E!$S$8:$S$62)=0),(COUNTA(E!$U$8:$U$62)=0)),"",COUNTIFS(E!$U$8:$U$62,"X11",E!$T$8:$T$62,"W"))</f>
        <v/>
      </c>
      <c r="N60" s="17" t="str">
        <f>IF(OR((COUNTA(E!$S$8:$S$62)=0),(COUNTA(E!$U$8:$U$62)=0)),"",COUNTIFS(E!$U$8:$U$62,"X12",E!$T$8:$T$62,"W"))</f>
        <v/>
      </c>
      <c r="O60" s="17" t="str">
        <f>IF(OR((COUNTA(E!$S$8:$S$62)=0),(COUNTA(E!$U$8:$U$62)=0)),"",COUNTIFS(E!$U$8:$U$62,"X13",E!$T$8:$T$62,"W"))</f>
        <v/>
      </c>
      <c r="P60" s="17" t="str">
        <f>IF(OR((COUNTA(E!$S$8:$S$62)=0),(COUNTA(E!$U$8:$U$62)=0)),"",COUNTIFS(E!$U$8:$U$62,"X14",E!$T$8:$T$62,"W"))</f>
        <v/>
      </c>
      <c r="Q60" s="17" t="str">
        <f>IF(OR((COUNTA(E!$S$8:$S$62)=0),(COUNTA(E!$U$8:$U$62)=0)),"",COUNTIFS(E!$U$8:$U$62,"X15",E!$T$8:$T$62,"W"))</f>
        <v/>
      </c>
      <c r="R60" s="43" t="str">
        <f>IF(OR((COUNTA(E!$S$8:$S$62)=0),(COUNTA(E!$U$8:$U$62)=0)),"",COUNTIFS(E!$U$8:$U$62,"X16",E!$T$8:$T$62,"W"))</f>
        <v/>
      </c>
      <c r="S60" s="16" t="str">
        <f>IF(OR((COUNTA(E!$V$8:$V$62)=0),(COUNTA(E!$X$8:$X$62)=0)),"",COUNTIFS(E!$X$8:$X$62,"X17",E!$W$8:$W$62,"W"))</f>
        <v/>
      </c>
      <c r="T60" s="17" t="str">
        <f>IF(OR((COUNTA(E!$V$8:$V$62)=0),(COUNTA(E!$X$8:$X$62)=0)),"",COUNTIFS(E!$X$8:$X$62,"X18",E!$W$8:$W$62,"W"))</f>
        <v/>
      </c>
      <c r="U60" s="17" t="str">
        <f>IF(OR((COUNTA(E!$V$8:$V$62)=0),(COUNTA(E!$X$8:$X$62)=0)),"",COUNTIFS(E!$X$8:$X$62,"X19",E!$W$8:$W$62,"W"))</f>
        <v/>
      </c>
      <c r="V60" s="17" t="str">
        <f>IF(OR((COUNTA(E!$V$8:$V$62)=0),(COUNTA(E!$X$8:$X$62)=0)),"",COUNTIFS(E!$X$8:$X$62,"X20",E!$W$8:$W$62,"W"))</f>
        <v/>
      </c>
      <c r="W60" s="17" t="str">
        <f>IF(OR((COUNTA(E!$V$8:$V$62)=0),(COUNTA(E!$X$8:$X$62)=0)),"",COUNTIFS(E!$X$8:$X$62,"X21",E!$W$8:$W$62,"W"))</f>
        <v/>
      </c>
      <c r="X60" s="17" t="str">
        <f>IF(OR((COUNTA(E!$V$8:$V$62)=0),(COUNTA(E!$X$8:$X$62)=0)),"",COUNTIFS(E!$X$8:$X$62,"X22",E!$W$8:$W$62,"W"))</f>
        <v/>
      </c>
      <c r="Y60" s="17" t="str">
        <f>IF(OR((COUNTA(E!$V$8:$V$62)=0),(COUNTA(E!$X$8:$X$62)=0)),"",COUNTIFS(E!$X$8:$X$62,"X23",E!$W$8:$W$62,"W"))</f>
        <v/>
      </c>
      <c r="Z60" s="43" t="str">
        <f>IF(OR((COUNTA(E!$V$8:$V$62)=0),(COUNTA(E!$X$8:$X$62)=0)),"",COUNTIFS(E!$X$8:$X$62,"X24",E!$W$8:$W$62,"W"))</f>
        <v/>
      </c>
    </row>
    <row r="61" spans="1:26" s="2" customFormat="1" ht="13.5" customHeight="1">
      <c r="A61" s="500"/>
      <c r="B61" s="31" t="s">
        <v>47</v>
      </c>
      <c r="C61" s="16" t="str">
        <f>IF(OR((COUNTA(E!$P$8:$P$62)=0),(COUNTA(E!$R$8:$R$62)=0)),"",COUNTIFS(E!$R$8:$R$62,"X01",E!$Q$8:$Q$62,"AB"))</f>
        <v/>
      </c>
      <c r="D61" s="17" t="str">
        <f>IF(OR((COUNTA(E!$P$8:$P$62)=0),(COUNTA(E!$R$8:$R$62)=0)),"",COUNTIFS(E!$R$8:$R$62,"X02",E!$Q$8:$Q$62,"AB"))</f>
        <v/>
      </c>
      <c r="E61" s="17" t="str">
        <f>IF(OR((COUNTA(E!$P$8:$P$62)=0),(COUNTA(E!$R$8:$R$62)=0)),"",COUNTIFS(E!$R$8:$R$62,"X03",E!$Q$8:$Q$62,"AB"))</f>
        <v/>
      </c>
      <c r="F61" s="17" t="str">
        <f>IF(OR((COUNTA(E!$P$8:$P$62)=0),(COUNTA(E!$R$8:$R$62)=0)),"",COUNTIFS(E!$R$8:$R$62,"X04",E!$Q$8:$Q$62,"AB"))</f>
        <v/>
      </c>
      <c r="G61" s="17" t="str">
        <f>IF(OR((COUNTA(E!$P$8:$P$62)=0),(COUNTA(E!$R$8:$R$62)=0)),"",COUNTIFS(E!$R$8:$R$62,"X05",E!$Q$8:$Q$62,"AB"))</f>
        <v/>
      </c>
      <c r="H61" s="17" t="str">
        <f>IF(OR((COUNTA(E!$P$8:$P$62)=0),(COUNTA(E!$R$8:$R$62)=0)),"",COUNTIFS(E!$R$8:$R$62,"X06",E!$Q$8:$Q$62,"AB"))</f>
        <v/>
      </c>
      <c r="I61" s="17" t="str">
        <f>IF(OR((COUNTA(E!$P$8:$P$62)=0),(COUNTA(E!$R$8:$R$62)=0)),"",COUNTIFS(E!$R$8:$R$62,"X07",E!$Q$8:$Q$62,"AB"))</f>
        <v/>
      </c>
      <c r="J61" s="43" t="str">
        <f>IF(OR((COUNTA(E!$P$8:$P$62)=0),(COUNTA(E!$R$8:$R$62)=0)),"",COUNTIFS(E!$R$8:$R$62,"X08",E!$Q$8:$Q$62,"AB"))</f>
        <v/>
      </c>
      <c r="K61" s="16" t="str">
        <f>IF(OR((COUNTA(E!$S$8:$S$62)=0),(COUNTA(E!$U$8:$U$62)=0)),"",COUNTIFS(E!$U$8:$U$62,"X09",E!$T$8:$T$62,"AB"))</f>
        <v/>
      </c>
      <c r="L61" s="17" t="str">
        <f>IF(OR((COUNTA(E!$S$8:$S$62)=0),(COUNTA(E!$U$8:$U$62)=0)),"",COUNTIFS(E!$U$8:$U$62,"X10",E!$T$8:$T$62,"AB"))</f>
        <v/>
      </c>
      <c r="M61" s="17" t="str">
        <f>IF(OR((COUNTA(E!$S$8:$S$62)=0),(COUNTA(E!$U$8:$U$62)=0)),"",COUNTIFS(E!$U$8:$U$62,"X11",E!$T$8:$T$62,"AB"))</f>
        <v/>
      </c>
      <c r="N61" s="17" t="str">
        <f>IF(OR((COUNTA(E!$S$8:$S$62)=0),(COUNTA(E!$U$8:$U$62)=0)),"",COUNTIFS(E!$U$8:$U$62,"X12",E!$T$8:$T$62,"AB"))</f>
        <v/>
      </c>
      <c r="O61" s="17" t="str">
        <f>IF(OR((COUNTA(E!$S$8:$S$62)=0),(COUNTA(E!$U$8:$U$62)=0)),"",COUNTIFS(E!$U$8:$U$62,"X13",E!$T$8:$T$62,"AB"))</f>
        <v/>
      </c>
      <c r="P61" s="17" t="str">
        <f>IF(OR((COUNTA(E!$S$8:$S$62)=0),(COUNTA(E!$U$8:$U$62)=0)),"",COUNTIFS(E!$U$8:$U$62,"X14",E!$T$8:$T$62,"AB"))</f>
        <v/>
      </c>
      <c r="Q61" s="17" t="str">
        <f>IF(OR((COUNTA(E!$S$8:$S$62)=0),(COUNTA(E!$U$8:$U$62)=0)),"",COUNTIFS(E!$U$8:$U$62,"X15",E!$T$8:$T$62,"AB"))</f>
        <v/>
      </c>
      <c r="R61" s="43" t="str">
        <f>IF(OR((COUNTA(E!$S$8:$S$62)=0),(COUNTA(E!$U$8:$U$62)=0)),"",COUNTIFS(E!$U$8:$U$62,"X16",E!$T$8:$T$62,"AB"))</f>
        <v/>
      </c>
      <c r="S61" s="16" t="str">
        <f>IF(OR((COUNTA(E!$V$8:$V$62)=0),(COUNTA(E!$X$8:$X$62)=0)),"",COUNTIFS(E!$X$8:$X$62,"X17",E!$W$8:$W$62,"AB"))</f>
        <v/>
      </c>
      <c r="T61" s="17" t="str">
        <f>IF(OR((COUNTA(E!$V$8:$V$62)=0),(COUNTA(E!$X$8:$X$62)=0)),"",COUNTIFS(E!$X$8:$X$62,"X18",E!$W$8:$W$62,"AB"))</f>
        <v/>
      </c>
      <c r="U61" s="17" t="str">
        <f>IF(OR((COUNTA(E!$V$8:$V$62)=0),(COUNTA(E!$X$8:$X$62)=0)),"",COUNTIFS(E!$X$8:$X$62,"X19",E!$W$8:$W$62,"AB"))</f>
        <v/>
      </c>
      <c r="V61" s="17" t="str">
        <f>IF(OR((COUNTA(E!$V$8:$V$62)=0),(COUNTA(E!$X$8:$X$62)=0)),"",COUNTIFS(E!$X$8:$X$62,"X20",E!$W$8:$W$62,"AB"))</f>
        <v/>
      </c>
      <c r="W61" s="17" t="str">
        <f>IF(OR((COUNTA(E!$V$8:$V$62)=0),(COUNTA(E!$X$8:$X$62)=0)),"",COUNTIFS(E!$X$8:$X$62,"X21",E!$W$8:$W$62,"AB"))</f>
        <v/>
      </c>
      <c r="X61" s="17" t="str">
        <f>IF(OR((COUNTA(E!$V$8:$V$62)=0),(COUNTA(E!$X$8:$X$62)=0)),"",COUNTIFS(E!$X$8:$X$62,"X22",E!$W$8:$W$62,"AB"))</f>
        <v/>
      </c>
      <c r="Y61" s="17" t="str">
        <f>IF(OR((COUNTA(E!$V$8:$V$62)=0),(COUNTA(E!$X$8:$X$62)=0)),"",COUNTIFS(E!$X$8:$X$62,"X23",E!$W$8:$W$62,"AB"))</f>
        <v/>
      </c>
      <c r="Z61" s="43" t="str">
        <f>IF(OR((COUNTA(E!$V$8:$V$62)=0),(COUNTA(E!$X$8:$X$62)=0)),"",COUNTIFS(E!$X$8:$X$62,"X24",E!$W$8:$W$62,"AB"))</f>
        <v/>
      </c>
    </row>
    <row r="62" spans="1:26" s="2" customFormat="1" ht="13.5" customHeight="1">
      <c r="A62" s="500"/>
      <c r="B62" s="32" t="s">
        <v>48</v>
      </c>
      <c r="C62" s="13" t="str">
        <f>IF(OR((COUNTA(E!$P$8:$P$62)=0),(COUNTA(E!$R$8:$R$62)=0)),"",COUNTIFS(E!$R$8:$R$62,"X01",E!$P$8:$P$62,"&lt;=39",E!$P$8:$P$62,"&gt;=30"))</f>
        <v/>
      </c>
      <c r="D62" s="14" t="str">
        <f>IF(OR((COUNTA(E!$P$8:$P$62)=0),(COUNTA(E!$R$8:$R$62)=0)),"",COUNTIFS(E!$R$8:$R$62,"X02",E!$P$8:$P$62,"&lt;=39",E!$P$8:$P$62,"&gt;=30"))</f>
        <v/>
      </c>
      <c r="E62" s="14" t="str">
        <f>IF(OR((COUNTA(E!$P$8:$P$62)=0),(COUNTA(E!$R$8:$R$62)=0)),"",COUNTIFS(E!$R$8:$R$62,"X03",E!$P$8:$P$62,"&lt;=39",E!$P$8:$P$62,"&gt;=30"))</f>
        <v/>
      </c>
      <c r="F62" s="14" t="str">
        <f>IF(OR((COUNTA(E!$P$8:$P$62)=0),(COUNTA(E!$R$8:$R$62)=0)),"",COUNTIFS(E!$R$8:$R$62,"X04",E!$P$8:$P$62,"&lt;=39",E!$P$8:$P$62,"&gt;=30"))</f>
        <v/>
      </c>
      <c r="G62" s="14" t="str">
        <f>IF(OR((COUNTA(E!$P$8:$P$62)=0),(COUNTA(E!$R$8:$R$62)=0)),"",COUNTIFS(E!$R$8:$R$62,"X05",E!$P$8:$P$62,"&lt;=39",E!$P$8:$P$62,"&gt;=30"))</f>
        <v/>
      </c>
      <c r="H62" s="14" t="str">
        <f>IF(OR((COUNTA(E!$P$8:$P$62)=0),(COUNTA(E!$R$8:$R$62)=0)),"",COUNTIFS(E!$R$8:$R$62,"X06",E!$P$8:$P$62,"&lt;=39",E!$P$8:$P$62,"&gt;=30"))</f>
        <v/>
      </c>
      <c r="I62" s="14" t="str">
        <f>IF(OR((COUNTA(E!$P$8:$P$62)=0),(COUNTA(E!$R$8:$R$62)=0)),"",COUNTIFS(E!$R$8:$R$62,"X07",E!$P$8:$P$62,"&lt;=39",E!$P$8:$P$62,"&gt;=30"))</f>
        <v/>
      </c>
      <c r="J62" s="42" t="str">
        <f>IF(OR((COUNTA(E!$P$8:$P$62)=0),(COUNTA(E!$R$8:$R$62)=0)),"",COUNTIFS(E!$R$8:$R$62,"X08",E!$P$8:$P$62,"&lt;=39",E!$P$8:$P$62,"&gt;=30"))</f>
        <v/>
      </c>
      <c r="K62" s="13" t="str">
        <f>IF(OR((COUNTA(E!$S$8:$S$62)=0),(COUNTA(E!$U$8:$U$62)=0)),"",COUNTIFS(E!$U$8:$U$62,"X09",E!$S$8:$S$62,"&lt;=39",E!$S$8:$S$62,"&gt;=30"))</f>
        <v/>
      </c>
      <c r="L62" s="14" t="str">
        <f>IF(OR((COUNTA(E!$S$8:$S$62)=0),(COUNTA(E!$U$8:$U$62)=0)),"",COUNTIFS(E!$U$8:$U$62,"X10",E!$S$8:$S$62,"&lt;=39",E!$S$8:$S$62,"&gt;=30"))</f>
        <v/>
      </c>
      <c r="M62" s="14" t="str">
        <f>IF(OR((COUNTA(E!$S$8:$S$62)=0),(COUNTA(E!$U$8:$U$62)=0)),"",COUNTIFS(E!$U$8:$U$62,"X11",E!$S$8:$S$62,"&lt;=39",E!$S$8:$S$62,"&gt;=30"))</f>
        <v/>
      </c>
      <c r="N62" s="14" t="str">
        <f>IF(OR((COUNTA(E!$S$8:$S$62)=0),(COUNTA(E!$U$8:$U$62)=0)),"",COUNTIFS(E!$U$8:$U$62,"X12",E!$S$8:$S$62,"&lt;=39",E!$S$8:$S$62,"&gt;=30"))</f>
        <v/>
      </c>
      <c r="O62" s="14" t="str">
        <f>IF(OR((COUNTA(E!$S$8:$S$62)=0),(COUNTA(E!$U$8:$U$62)=0)),"",COUNTIFS(E!$U$8:$U$62,"X13",E!$S$8:$S$62,"&lt;=39",E!$S$8:$S$62,"&gt;=30"))</f>
        <v/>
      </c>
      <c r="P62" s="14" t="str">
        <f>IF(OR((COUNTA(E!$S$8:$S$62)=0),(COUNTA(E!$U$8:$U$62)=0)),"",COUNTIFS(E!$U$8:$U$62,"X14",E!$S$8:$S$62,"&lt;=39",E!$S$8:$S$62,"&gt;=30"))</f>
        <v/>
      </c>
      <c r="Q62" s="14" t="str">
        <f>IF(OR((COUNTA(E!$S$8:$S$62)=0),(COUNTA(E!$U$8:$U$62)=0)),"",COUNTIFS(E!$U$8:$U$62,"X15",E!$S$8:$S$62,"&lt;=39",E!$S$8:$S$62,"&gt;=30"))</f>
        <v/>
      </c>
      <c r="R62" s="42" t="str">
        <f>IF(OR((COUNTA(E!$S$8:$S$62)=0),(COUNTA(E!$U$8:$U$62)=0)),"",COUNTIFS(E!$U$8:$U$62,"X16",E!$S$8:$S$62,"&lt;=39",E!$S$8:$S$62,"&gt;=30"))</f>
        <v/>
      </c>
      <c r="S62" s="13" t="str">
        <f>IF(OR((COUNTA(E!$V$8:$V$62)=0),(COUNTA(E!$X$8:$X$62)=0)),"",COUNTIFS(E!$X$8:$X$62,"X17",E!$V$8:$V$62,"&lt;=39",E!$V$8:$V$62,"&gt;=30"))</f>
        <v/>
      </c>
      <c r="T62" s="14" t="str">
        <f>IF(OR((COUNTA(E!$V$8:$V$62)=0),(COUNTA(E!$X$8:$X$62)=0)),"",COUNTIFS(E!$X$8:$X$62,"X18",E!$V$8:$V$62,"&lt;=39",E!$V$8:$V$62,"&gt;=30"))</f>
        <v/>
      </c>
      <c r="U62" s="14" t="str">
        <f>IF(OR((COUNTA(E!$V$8:$V$62)=0),(COUNTA(E!$X$8:$X$62)=0)),"",COUNTIFS(E!$X$8:$X$62,"X19",E!$V$8:$V$62,"&lt;=39",E!$V$8:$V$62,"&gt;=30"))</f>
        <v/>
      </c>
      <c r="V62" s="14" t="str">
        <f>IF(OR((COUNTA(E!$V$8:$V$62)=0),(COUNTA(E!$X$8:$X$62)=0)),"",COUNTIFS(E!$X$8:$X$62,"X20",E!$V$8:$V$62,"&lt;=39",E!$V$8:$V$62,"&gt;=30"))</f>
        <v/>
      </c>
      <c r="W62" s="14" t="str">
        <f>IF(OR((COUNTA(E!$V$8:$V$62)=0),(COUNTA(E!$X$8:$X$62)=0)),"",COUNTIFS(E!$X$8:$X$62,"X21",E!$V$8:$V$62,"&lt;=39",E!$V$8:$V$62,"&gt;=30"))</f>
        <v/>
      </c>
      <c r="X62" s="14" t="str">
        <f>IF(OR((COUNTA(E!$V$8:$V$62)=0),(COUNTA(E!$X$8:$X$62)=0)),"",COUNTIFS(E!$X$8:$X$62,"X22",E!$V$8:$V$62,"&lt;=39",E!$V$8:$V$62,"&gt;=30"))</f>
        <v/>
      </c>
      <c r="Y62" s="14" t="str">
        <f>IF(OR((COUNTA(E!$V$8:$V$62)=0),(COUNTA(E!$X$8:$X$62)=0)),"",COUNTIFS(E!$X$8:$X$62,"X23",E!$V$8:$V$62,"&lt;=39",E!$V$8:$V$62,"&gt;=30"))</f>
        <v/>
      </c>
      <c r="Z62" s="42" t="str">
        <f>IF(OR((COUNTA(E!$V$8:$V$62)=0),(COUNTA(E!$X$8:$X$62)=0)),"",COUNTIFS(E!$X$8:$X$62,"X24",E!$V$8:$V$62,"&lt;=39",E!$V$8:$V$62,"&gt;=30"))</f>
        <v/>
      </c>
    </row>
    <row r="63" spans="1:26" s="2" customFormat="1" ht="13.5" customHeight="1">
      <c r="A63" s="500"/>
      <c r="B63" s="32" t="s">
        <v>51</v>
      </c>
      <c r="C63" s="13" t="str">
        <f>IF(OR((COUNTA(E!$P$8:$P$62)=0),(COUNTA(E!$R$8:$R$62)=0)),"",COUNTIFS(E!$R$8:$R$62,"X01",E!$P$8:$P$62,"&lt;=29",E!$P$8:$P$62,"&gt;=20"))</f>
        <v/>
      </c>
      <c r="D63" s="14" t="str">
        <f>IF(OR((COUNTA(E!$P$8:$P$62)=0),(COUNTA(E!$R$8:$R$62)=0)),"",COUNTIFS(E!$R$8:$R$62,"X02",E!$P$8:$P$62,"&lt;=29",E!$P$8:$P$62,"&gt;=20"))</f>
        <v/>
      </c>
      <c r="E63" s="14" t="str">
        <f>IF(OR((COUNTA(E!$P$8:$P$62)=0),(COUNTA(E!$R$8:$R$62)=0)),"",COUNTIFS(E!$R$8:$R$62,"X03",E!$P$8:$P$62,"&lt;=29",E!$P$8:$P$62,"&gt;=20"))</f>
        <v/>
      </c>
      <c r="F63" s="14" t="str">
        <f>IF(OR((COUNTA(E!$P$8:$P$62)=0),(COUNTA(E!$R$8:$R$62)=0)),"",COUNTIFS(E!$R$8:$R$62,"X04",E!$P$8:$P$62,"&lt;=29",E!$P$8:$P$62,"&gt;=20"))</f>
        <v/>
      </c>
      <c r="G63" s="14" t="str">
        <f>IF(OR((COUNTA(E!$P$8:$P$62)=0),(COUNTA(E!$R$8:$R$62)=0)),"",COUNTIFS(E!$R$8:$R$62,"X05",E!$P$8:$P$62,"&lt;=29",E!$P$8:$P$62,"&gt;=20"))</f>
        <v/>
      </c>
      <c r="H63" s="14" t="str">
        <f>IF(OR((COUNTA(E!$P$8:$P$62)=0),(COUNTA(E!$R$8:$R$62)=0)),"",COUNTIFS(E!$R$8:$R$62,"X06",E!$P$8:$P$62,"&lt;=29",E!$P$8:$P$62,"&gt;=20"))</f>
        <v/>
      </c>
      <c r="I63" s="14" t="str">
        <f>IF(OR((COUNTA(E!$P$8:$P$62)=0),(COUNTA(E!$R$8:$R$62)=0)),"",COUNTIFS(E!$R$8:$R$62,"X07",E!$P$8:$P$62,"&lt;=29",E!$P$8:$P$62,"&gt;=20"))</f>
        <v/>
      </c>
      <c r="J63" s="42" t="str">
        <f>IF(OR((COUNTA(E!$P$8:$P$62)=0),(COUNTA(E!$R$8:$R$62)=0)),"",COUNTIFS(E!$R$8:$R$62,"X08",E!$P$8:$P$62,"&lt;=29",E!$P$8:$P$62,"&gt;=20"))</f>
        <v/>
      </c>
      <c r="K63" s="13" t="str">
        <f>IF(OR((COUNTA(E!$S$8:$S$62)=0),(COUNTA(E!$U$8:$U$62)=0)),"",COUNTIFS(E!$U$8:$U$62,"X09",E!$S$8:$S$62,"&lt;=29",E!$S$8:$S$62,"&gt;=20"))</f>
        <v/>
      </c>
      <c r="L63" s="14" t="str">
        <f>IF(OR((COUNTA(E!$S$8:$S$62)=0),(COUNTA(E!$U$8:$U$62)=0)),"",COUNTIFS(E!$U$8:$U$62,"X10",E!$S$8:$S$62,"&lt;=29",E!$S$8:$S$62,"&gt;=20"))</f>
        <v/>
      </c>
      <c r="M63" s="14" t="str">
        <f>IF(OR((COUNTA(E!$S$8:$S$62)=0),(COUNTA(E!$U$8:$U$62)=0)),"",COUNTIFS(E!$U$8:$U$62,"X11",E!$S$8:$S$62,"&lt;=29",E!$S$8:$S$62,"&gt;=20"))</f>
        <v/>
      </c>
      <c r="N63" s="14" t="str">
        <f>IF(OR((COUNTA(E!$S$8:$S$62)=0),(COUNTA(E!$U$8:$U$62)=0)),"",COUNTIFS(E!$U$8:$U$62,"X12",E!$S$8:$S$62,"&lt;=29",E!$S$8:$S$62,"&gt;=20"))</f>
        <v/>
      </c>
      <c r="O63" s="14" t="str">
        <f>IF(OR((COUNTA(E!$S$8:$S$62)=0),(COUNTA(E!$U$8:$U$62)=0)),"",COUNTIFS(E!$U$8:$U$62,"X13",E!$S$8:$S$62,"&lt;=29",E!$S$8:$S$62,"&gt;=20"))</f>
        <v/>
      </c>
      <c r="P63" s="14" t="str">
        <f>IF(OR((COUNTA(E!$S$8:$S$62)=0),(COUNTA(E!$U$8:$U$62)=0)),"",COUNTIFS(E!$U$8:$U$62,"X14",E!$S$8:$S$62,"&lt;=29",E!$S$8:$S$62,"&gt;=20"))</f>
        <v/>
      </c>
      <c r="Q63" s="14" t="str">
        <f>IF(OR((COUNTA(E!$S$8:$S$62)=0),(COUNTA(E!$U$8:$U$62)=0)),"",COUNTIFS(E!$U$8:$U$62,"X15",E!$S$8:$S$62,"&lt;=29",E!$S$8:$S$62,"&gt;=20"))</f>
        <v/>
      </c>
      <c r="R63" s="42" t="str">
        <f>IF(OR((COUNTA(E!$S$8:$S$62)=0),(COUNTA(E!$U$8:$U$62)=0)),"",COUNTIFS(E!$U$8:$U$62,"X16",E!$S$8:$S$62,"&lt;=29",E!$S$8:$S$62,"&gt;=20"))</f>
        <v/>
      </c>
      <c r="S63" s="13" t="str">
        <f>IF(OR((COUNTA(E!$V$8:$V$62)=0),(COUNTA(E!$X$8:$X$62)=0)),"",COUNTIFS(E!$X$8:$X$62,"X17",E!$V$8:$V$62,"&lt;=29",E!$V$8:$V$62,"&gt;=20"))</f>
        <v/>
      </c>
      <c r="T63" s="14" t="str">
        <f>IF(OR((COUNTA(E!$V$8:$V$62)=0),(COUNTA(E!$X$8:$X$62)=0)),"",COUNTIFS(E!$X$8:$X$62,"X18",E!$V$8:$V$62,"&lt;=29",E!$V$8:$V$62,"&gt;=20"))</f>
        <v/>
      </c>
      <c r="U63" s="14" t="str">
        <f>IF(OR((COUNTA(E!$V$8:$V$62)=0),(COUNTA(E!$X$8:$X$62)=0)),"",COUNTIFS(E!$X$8:$X$62,"X19",E!$V$8:$V$62,"&lt;=29",E!$V$8:$V$62,"&gt;=20"))</f>
        <v/>
      </c>
      <c r="V63" s="14" t="str">
        <f>IF(OR((COUNTA(E!$V$8:$V$62)=0),(COUNTA(E!$X$8:$X$62)=0)),"",COUNTIFS(E!$X$8:$X$62,"X20",E!$V$8:$V$62,"&lt;=29",E!$V$8:$V$62,"&gt;=20"))</f>
        <v/>
      </c>
      <c r="W63" s="14" t="str">
        <f>IF(OR((COUNTA(E!$V$8:$V$62)=0),(COUNTA(E!$X$8:$X$62)=0)),"",COUNTIFS(E!$X$8:$X$62,"X21",E!$V$8:$V$62,"&lt;=29",E!$V$8:$V$62,"&gt;=20"))</f>
        <v/>
      </c>
      <c r="X63" s="14" t="str">
        <f>IF(OR((COUNTA(E!$V$8:$V$62)=0),(COUNTA(E!$X$8:$X$62)=0)),"",COUNTIFS(E!$X$8:$X$62,"X22",E!$V$8:$V$62,"&lt;=29",E!$V$8:$V$62,"&gt;=20"))</f>
        <v/>
      </c>
      <c r="Y63" s="14" t="str">
        <f>IF(OR((COUNTA(E!$V$8:$V$62)=0),(COUNTA(E!$X$8:$X$62)=0)),"",COUNTIFS(E!$X$8:$X$62,"X23",E!$V$8:$V$62,"&lt;=29",E!$V$8:$V$62,"&gt;=20"))</f>
        <v/>
      </c>
      <c r="Z63" s="42" t="str">
        <f>IF(OR((COUNTA(E!$V$8:$V$62)=0),(COUNTA(E!$X$8:$X$62)=0)),"",COUNTIFS(E!$X$8:$X$62,"X24",E!$V$8:$V$62,"&lt;=29",E!$V$8:$V$62,"&gt;=20"))</f>
        <v/>
      </c>
    </row>
    <row r="64" spans="1:26" s="2" customFormat="1" ht="13.5" customHeight="1">
      <c r="A64" s="500"/>
      <c r="B64" s="33" t="s">
        <v>52</v>
      </c>
      <c r="C64" s="16" t="str">
        <f>IF(OR((COUNTA(E!$P$8:$P$62)=0),(COUNTA(E!$R$8:$R$62)=0)),"",COUNTIFS(E!$R$8:$R$62,"X01",E!$P$8:$P$62,"&lt;=19",E!$P$8:$P$62,"&gt;=10"))</f>
        <v/>
      </c>
      <c r="D64" s="17" t="str">
        <f>IF(OR((COUNTA(E!$P$8:$P$62)=0),(COUNTA(E!$R$8:$R$62)=0)),"",COUNTIFS(E!$R$8:$R$62,"X02",E!$P$8:$P$62,"&lt;=19",E!$P$8:$P$62,"&gt;=10"))</f>
        <v/>
      </c>
      <c r="E64" s="17" t="str">
        <f>IF(OR((COUNTA(E!$P$8:$P$62)=0),(COUNTA(E!$R$8:$R$62)=0)),"",COUNTIFS(E!$R$8:$R$62,"X03",E!$P$8:$P$62,"&lt;=19",E!$P$8:$P$62,"&gt;=10"))</f>
        <v/>
      </c>
      <c r="F64" s="17" t="str">
        <f>IF(OR((COUNTA(E!$P$8:$P$62)=0),(COUNTA(E!$R$8:$R$62)=0)),"",COUNTIFS(E!$R$8:$R$62,"X04",E!$P$8:$P$62,"&lt;=19",E!$P$8:$P$62,"&gt;=10"))</f>
        <v/>
      </c>
      <c r="G64" s="17" t="str">
        <f>IF(OR((COUNTA(E!$P$8:$P$62)=0),(COUNTA(E!$R$8:$R$62)=0)),"",COUNTIFS(E!$R$8:$R$62,"X05",E!$P$8:$P$62,"&lt;=19",E!$P$8:$P$62,"&gt;=10"))</f>
        <v/>
      </c>
      <c r="H64" s="17" t="str">
        <f>IF(OR((COUNTA(E!$P$8:$P$62)=0),(COUNTA(E!$R$8:$R$62)=0)),"",COUNTIFS(E!$R$8:$R$62,"X06",E!$P$8:$P$62,"&lt;=19",E!$P$8:$P$62,"&gt;=10"))</f>
        <v/>
      </c>
      <c r="I64" s="17" t="str">
        <f>IF(OR((COUNTA(E!$P$8:$P$62)=0),(COUNTA(E!$R$8:$R$62)=0)),"",COUNTIFS(E!$R$8:$R$62,"X07",E!$P$8:$P$62,"&lt;=19",E!$P$8:$P$62,"&gt;=10"))</f>
        <v/>
      </c>
      <c r="J64" s="43" t="str">
        <f>IF(OR((COUNTA(E!$P$8:$P$62)=0),(COUNTA(E!$R$8:$R$62)=0)),"",COUNTIFS(E!$R$8:$R$62,"X08",E!$P$8:$P$62,"&lt;=19",E!$P$8:$P$62,"&gt;=10"))</f>
        <v/>
      </c>
      <c r="K64" s="16" t="str">
        <f>IF(OR((COUNTA(E!$S$8:$S$62)=0),(COUNTA(E!$U$8:$U$62)=0)),"",COUNTIFS(E!$U$8:$U$62,"X09",E!$S$8:$S$62,"&lt;=19",E!$S$8:$S$62,"&gt;=10"))</f>
        <v/>
      </c>
      <c r="L64" s="17" t="str">
        <f>IF(OR((COUNTA(E!$S$8:$S$62)=0),(COUNTA(E!$U$8:$U$62)=0)),"",COUNTIFS(E!$U$8:$U$62,"X10",E!$S$8:$S$62,"&lt;=19",E!$S$8:$S$62,"&gt;=10"))</f>
        <v/>
      </c>
      <c r="M64" s="17" t="str">
        <f>IF(OR((COUNTA(E!$S$8:$S$62)=0),(COUNTA(E!$U$8:$U$62)=0)),"",COUNTIFS(E!$U$8:$U$62,"X11",E!$S$8:$S$62,"&lt;=19",E!$S$8:$S$62,"&gt;=10"))</f>
        <v/>
      </c>
      <c r="N64" s="17" t="str">
        <f>IF(OR((COUNTA(E!$S$8:$S$62)=0),(COUNTA(E!$U$8:$U$62)=0)),"",COUNTIFS(E!$U$8:$U$62,"X12",E!$S$8:$S$62,"&lt;=19",E!$S$8:$S$62,"&gt;=10"))</f>
        <v/>
      </c>
      <c r="O64" s="17" t="str">
        <f>IF(OR((COUNTA(E!$S$8:$S$62)=0),(COUNTA(E!$U$8:$U$62)=0)),"",COUNTIFS(E!$U$8:$U$62,"X13",E!$S$8:$S$62,"&lt;=19",E!$S$8:$S$62,"&gt;=10"))</f>
        <v/>
      </c>
      <c r="P64" s="17" t="str">
        <f>IF(OR((COUNTA(E!$S$8:$S$62)=0),(COUNTA(E!$U$8:$U$62)=0)),"",COUNTIFS(E!$U$8:$U$62,"X14",E!$S$8:$S$62,"&lt;=19",E!$S$8:$S$62,"&gt;=10"))</f>
        <v/>
      </c>
      <c r="Q64" s="17" t="str">
        <f>IF(OR((COUNTA(E!$S$8:$S$62)=0),(COUNTA(E!$U$8:$U$62)=0)),"",COUNTIFS(E!$U$8:$U$62,"X15",E!$S$8:$S$62,"&lt;=19",E!$S$8:$S$62,"&gt;=10"))</f>
        <v/>
      </c>
      <c r="R64" s="43" t="str">
        <f>IF(OR((COUNTA(E!$S$8:$S$62)=0),(COUNTA(E!$U$8:$U$62)=0)),"",COUNTIFS(E!$U$8:$U$62,"X16",E!$S$8:$S$62,"&lt;=19",E!$S$8:$S$62,"&gt;=10"))</f>
        <v/>
      </c>
      <c r="S64" s="16" t="str">
        <f>IF(OR((COUNTA(E!$V$8:$V$62)=0),(COUNTA(E!$X$8:$X$62)=0)),"",COUNTIFS(E!$X$8:$X$62,"X17",E!$V$8:$V$62,"&lt;=19",E!$V$8:$V$62,"&gt;=10"))</f>
        <v/>
      </c>
      <c r="T64" s="17" t="str">
        <f>IF(OR((COUNTA(E!$V$8:$V$62)=0),(COUNTA(E!$X$8:$X$62)=0)),"",COUNTIFS(E!$X$8:$X$62,"X18",E!$V$8:$V$62,"&lt;=19",E!$V$8:$V$62,"&gt;=10"))</f>
        <v/>
      </c>
      <c r="U64" s="17" t="str">
        <f>IF(OR((COUNTA(E!$V$8:$V$62)=0),(COUNTA(E!$X$8:$X$62)=0)),"",COUNTIFS(E!$X$8:$X$62,"X19",E!$V$8:$V$62,"&lt;=19",E!$V$8:$V$62,"&gt;=10"))</f>
        <v/>
      </c>
      <c r="V64" s="17" t="str">
        <f>IF(OR((COUNTA(E!$V$8:$V$62)=0),(COUNTA(E!$X$8:$X$62)=0)),"",COUNTIFS(E!$X$8:$X$62,"X20",E!$V$8:$V$62,"&lt;=19",E!$V$8:$V$62,"&gt;=10"))</f>
        <v/>
      </c>
      <c r="W64" s="17" t="str">
        <f>IF(OR((COUNTA(E!$V$8:$V$62)=0),(COUNTA(E!$X$8:$X$62)=0)),"",COUNTIFS(E!$X$8:$X$62,"X21",E!$V$8:$V$62,"&lt;=19",E!$V$8:$V$62,"&gt;=10"))</f>
        <v/>
      </c>
      <c r="X64" s="17" t="str">
        <f>IF(OR((COUNTA(E!$V$8:$V$62)=0),(COUNTA(E!$X$8:$X$62)=0)),"",COUNTIFS(E!$X$8:$X$62,"X22",E!$V$8:$V$62,"&lt;=19",E!$V$8:$V$62,"&gt;=10"))</f>
        <v/>
      </c>
      <c r="Y64" s="17" t="str">
        <f>IF(OR((COUNTA(E!$V$8:$V$62)=0),(COUNTA(E!$X$8:$X$62)=0)),"",COUNTIFS(E!$X$8:$X$62,"X23",E!$V$8:$V$62,"&lt;=19",E!$V$8:$V$62,"&gt;=10"))</f>
        <v/>
      </c>
      <c r="Z64" s="43" t="str">
        <f>IF(OR((COUNTA(E!$V$8:$V$62)=0),(COUNTA(E!$X$8:$X$62)=0)),"",COUNTIFS(E!$X$8:$X$62,"X24",E!$V$8:$V$62,"&lt;=19",E!$V$8:$V$62,"&gt;=10"))</f>
        <v/>
      </c>
    </row>
    <row r="65" spans="1:26" s="2" customFormat="1" ht="13.5" customHeight="1">
      <c r="A65" s="501"/>
      <c r="B65" s="34" t="s">
        <v>55</v>
      </c>
      <c r="C65" s="21" t="str">
        <f>IF(OR((COUNTA(E!$P$8:$P$62)=0),(COUNTA(E!$R$8:$R$62)=0)),"",COUNTIFS(E!$R$8:$R$62,"X01",E!$P$8:$P$62,"&lt;=9"))</f>
        <v/>
      </c>
      <c r="D65" s="22" t="str">
        <f>IF(OR((COUNTA(E!$P$8:$P$62)=0),(COUNTA(E!$R$8:$R$62)=0)),"",COUNTIFS(E!$R$8:$R$62,"X02",E!$P$8:$P$62,"&lt;=9"))</f>
        <v/>
      </c>
      <c r="E65" s="22" t="str">
        <f>IF(OR((COUNTA(E!$P$8:$P$62)=0),(COUNTA(E!$R$8:$R$62)=0)),"",COUNTIFS(E!$R$8:$R$62,"X03",E!$P$8:$P$62,"&lt;=9"))</f>
        <v/>
      </c>
      <c r="F65" s="22" t="str">
        <f>IF(OR((COUNTA(E!$P$8:$P$62)=0),(COUNTA(E!$R$8:$R$62)=0)),"",COUNTIFS(E!$R$8:$R$62,"X04",E!$P$8:$P$62,"&lt;=9"))</f>
        <v/>
      </c>
      <c r="G65" s="22" t="str">
        <f>IF(OR((COUNTA(E!$P$8:$P$62)=0),(COUNTA(E!$R$8:$R$62)=0)),"",COUNTIFS(E!$R$8:$R$62,"X05",E!$P$8:$P$62,"&lt;=9"))</f>
        <v/>
      </c>
      <c r="H65" s="22" t="str">
        <f>IF(OR((COUNTA(E!$P$8:$P$62)=0),(COUNTA(E!$R$8:$R$62)=0)),"",COUNTIFS(E!$R$8:$R$62,"X06",E!$P$8:$P$62,"&lt;=9"))</f>
        <v/>
      </c>
      <c r="I65" s="22" t="str">
        <f>IF(OR((COUNTA(E!$P$8:$P$62)=0),(COUNTA(E!$R$8:$R$62)=0)),"",COUNTIFS(E!$R$8:$R$62,"X07",E!$P$8:$P$62,"&lt;=9"))</f>
        <v/>
      </c>
      <c r="J65" s="44" t="str">
        <f>IF(OR((COUNTA(E!$P$8:$P$62)=0),(COUNTA(E!$R$8:$R$62)=0)),"",COUNTIFS(E!$R$8:$R$62,"X08",E!$P$8:$P$62,"&lt;=9"))</f>
        <v/>
      </c>
      <c r="K65" s="21" t="str">
        <f>IF(OR((COUNTA(E!$S$8:$S$62)=0),(COUNTA(E!$U$8:$U$62)=0)),"",COUNTIFS(E!$U$8:$U$62,"X09",E!$S$8:$S$62,"&lt;=9"))</f>
        <v/>
      </c>
      <c r="L65" s="22" t="str">
        <f>IF(OR((COUNTA(E!$S$8:$S$62)=0),(COUNTA(E!$U$8:$U$62)=0)),"",COUNTIFS(E!$U$8:$U$62,"X10",E!$S$8:$S$62,"&lt;=9"))</f>
        <v/>
      </c>
      <c r="M65" s="22" t="str">
        <f>IF(OR((COUNTA(E!$S$8:$S$62)=0),(COUNTA(E!$U$8:$U$62)=0)),"",COUNTIFS(E!$U$8:$U$62,"X11",E!$S$8:$S$62,"&lt;=9"))</f>
        <v/>
      </c>
      <c r="N65" s="22" t="str">
        <f>IF(OR((COUNTA(E!$S$8:$S$62)=0),(COUNTA(E!$U$8:$U$62)=0)),"",COUNTIFS(E!$U$8:$U$62,"X12",E!$S$8:$S$62,"&lt;=9"))</f>
        <v/>
      </c>
      <c r="O65" s="22" t="str">
        <f>IF(OR((COUNTA(E!$S$8:$S$62)=0),(COUNTA(E!$U$8:$U$62)=0)),"",COUNTIFS(E!$U$8:$U$62,"X13",E!$S$8:$S$62,"&lt;=9"))</f>
        <v/>
      </c>
      <c r="P65" s="22" t="str">
        <f>IF(OR((COUNTA(E!$S$8:$S$62)=0),(COUNTA(E!$U$8:$U$62)=0)),"",COUNTIFS(E!$U$8:$U$62,"X14",E!$S$8:$S$62,"&lt;=9"))</f>
        <v/>
      </c>
      <c r="Q65" s="22" t="str">
        <f>IF(OR((COUNTA(E!$S$8:$S$62)=0),(COUNTA(E!$U$8:$U$62)=0)),"",COUNTIFS(E!$U$8:$U$62,"X15",E!$S$8:$S$62,"&lt;=9"))</f>
        <v/>
      </c>
      <c r="R65" s="44" t="str">
        <f>IF(OR((COUNTA(E!$S$8:$S$62)=0),(COUNTA(E!$U$8:$U$62)=0)),"",COUNTIFS(E!$U$8:$U$62,"X16",E!$S$8:$S$62,"&lt;=9"))</f>
        <v/>
      </c>
      <c r="S65" s="21" t="str">
        <f>IF(OR((COUNTA(E!$V$8:$V$62)=0),(COUNTA(E!$X$8:$X$62)=0)),"",COUNTIFS(E!$X$8:$X$62,"X17",E!$V$8:$V$62,"&lt;=9"))</f>
        <v/>
      </c>
      <c r="T65" s="22" t="str">
        <f>IF(OR((COUNTA(E!$V$8:$V$62)=0),(COUNTA(E!$X$8:$X$62)=0)),"",COUNTIFS(E!$X$8:$X$62,"X18",E!$V$8:$V$62,"&lt;=9"))</f>
        <v/>
      </c>
      <c r="U65" s="22" t="str">
        <f>IF(OR((COUNTA(E!$V$8:$V$62)=0),(COUNTA(E!$X$8:$X$62)=0)),"",COUNTIFS(E!$X$8:$X$62,"X19",E!$V$8:$V$62,"&lt;=9"))</f>
        <v/>
      </c>
      <c r="V65" s="22" t="str">
        <f>IF(OR((COUNTA(E!$V$8:$V$62)=0),(COUNTA(E!$X$8:$X$62)=0)),"",COUNTIFS(E!$X$8:$X$62,"X20",E!$V$8:$V$62,"&lt;=9"))</f>
        <v/>
      </c>
      <c r="W65" s="22" t="str">
        <f>IF(OR((COUNTA(E!$V$8:$V$62)=0),(COUNTA(E!$X$8:$X$62)=0)),"",COUNTIFS(E!$X$8:$X$62,"X21",E!$V$8:$V$62,"&lt;=9"))</f>
        <v/>
      </c>
      <c r="X65" s="22" t="str">
        <f>IF(OR((COUNTA(E!$V$8:$V$62)=0),(COUNTA(E!$X$8:$X$62)=0)),"",COUNTIFS(E!$X$8:$X$62,"X22",E!$V$8:$V$62,"&lt;=9"))</f>
        <v/>
      </c>
      <c r="Y65" s="22" t="str">
        <f>IF(OR((COUNTA(E!$V$8:$V$62)=0),(COUNTA(E!$X$8:$X$62)=0)),"",COUNTIFS(E!$X$8:$X$62,"X23",E!$V$8:$V$62,"&lt;=9"))</f>
        <v/>
      </c>
      <c r="Z65" s="44" t="str">
        <f>IF(OR((COUNTA(E!$V$8:$V$62)=0),(COUNTA(E!$X$8:$X$62)=0)),"",COUNTIFS(E!$X$8:$X$62,"X24",E!$V$8:$V$62,"&lt;=9"))</f>
        <v/>
      </c>
    </row>
    <row r="66" spans="1:26" s="2" customFormat="1" ht="13.5" customHeight="1">
      <c r="A66" s="497" t="s">
        <v>174</v>
      </c>
      <c r="B66" s="35" t="s">
        <v>33</v>
      </c>
      <c r="C66" s="24" t="str">
        <f>IF(AND(C56="",C57="",C58="",C59="",C60="",C61="",C62="",C63="",C64="",C65=""),"",(SUM(C56:C59,C62,C63)))</f>
        <v/>
      </c>
      <c r="D66" s="25" t="str">
        <f t="shared" ref="D66" si="140">IF(AND(D56="",D57="",D58="",D59="",D60="",D61="",D62="",D63="",D64="",D65=""),"",(SUM(D56:D59,D62,D63)))</f>
        <v/>
      </c>
      <c r="E66" s="25" t="str">
        <f t="shared" ref="E66" si="141">IF(AND(E56="",E57="",E58="",E59="",E60="",E61="",E62="",E63="",E64="",E65=""),"",(SUM(E56:E59,E62,E63)))</f>
        <v/>
      </c>
      <c r="F66" s="25" t="str">
        <f t="shared" ref="F66" si="142">IF(AND(F56="",F57="",F58="",F59="",F60="",F61="",F62="",F63="",F64="",F65=""),"",(SUM(F56:F59,F62,F63)))</f>
        <v/>
      </c>
      <c r="G66" s="25" t="str">
        <f t="shared" ref="G66" si="143">IF(AND(G56="",G57="",G58="",G59="",G60="",G61="",G62="",G63="",G64="",G65=""),"",(SUM(G56:G59,G62,G63)))</f>
        <v/>
      </c>
      <c r="H66" s="25" t="str">
        <f t="shared" ref="H66" si="144">IF(AND(H56="",H57="",H58="",H59="",H60="",H61="",H62="",H63="",H64="",H65=""),"",(SUM(H56:H59,H62,H63)))</f>
        <v/>
      </c>
      <c r="I66" s="25" t="str">
        <f t="shared" ref="I66" si="145">IF(AND(I56="",I57="",I58="",I59="",I60="",I61="",I62="",I63="",I64="",I65=""),"",(SUM(I56:I59,I62,I63)))</f>
        <v/>
      </c>
      <c r="J66" s="45" t="str">
        <f t="shared" ref="J66" si="146">IF(AND(J56="",J57="",J58="",J59="",J60="",J61="",J62="",J63="",J64="",J65=""),"",(SUM(J56:J59,J62,J63)))</f>
        <v/>
      </c>
      <c r="K66" s="24" t="str">
        <f t="shared" ref="K66" si="147">IF(AND(K56="",K57="",K58="",K59="",K60="",K61="",K62="",K63="",K64="",K65=""),"",(SUM(K56:K59,K62,K63)))</f>
        <v/>
      </c>
      <c r="L66" s="25" t="str">
        <f t="shared" ref="L66" si="148">IF(AND(L56="",L57="",L58="",L59="",L60="",L61="",L62="",L63="",L64="",L65=""),"",(SUM(L56:L59,L62,L63)))</f>
        <v/>
      </c>
      <c r="M66" s="25" t="str">
        <f t="shared" ref="M66" si="149">IF(AND(M56="",M57="",M58="",M59="",M60="",M61="",M62="",M63="",M64="",M65=""),"",(SUM(M56:M59,M62,M63)))</f>
        <v/>
      </c>
      <c r="N66" s="25" t="str">
        <f t="shared" ref="N66" si="150">IF(AND(N56="",N57="",N58="",N59="",N60="",N61="",N62="",N63="",N64="",N65=""),"",(SUM(N56:N59,N62,N63)))</f>
        <v/>
      </c>
      <c r="O66" s="25" t="str">
        <f t="shared" ref="O66" si="151">IF(AND(O56="",O57="",O58="",O59="",O60="",O61="",O62="",O63="",O64="",O65=""),"",(SUM(O56:O59,O62,O63)))</f>
        <v/>
      </c>
      <c r="P66" s="25" t="str">
        <f t="shared" ref="P66" si="152">IF(AND(P56="",P57="",P58="",P59="",P60="",P61="",P62="",P63="",P64="",P65=""),"",(SUM(P56:P59,P62,P63)))</f>
        <v/>
      </c>
      <c r="Q66" s="25" t="str">
        <f t="shared" ref="Q66" si="153">IF(AND(Q56="",Q57="",Q58="",Q59="",Q60="",Q61="",Q62="",Q63="",Q64="",Q65=""),"",(SUM(Q56:Q59,Q62,Q63)))</f>
        <v/>
      </c>
      <c r="R66" s="48" t="str">
        <f t="shared" ref="R66" si="154">IF(AND(R56="",R57="",R58="",R59="",R60="",R61="",R62="",R63="",R64="",R65=""),"",(SUM(R56:R59,R62,R63)))</f>
        <v/>
      </c>
      <c r="S66" s="49" t="str">
        <f t="shared" ref="S66" si="155">IF(AND(S56="",S57="",S58="",S59="",S60="",S61="",S62="",S63="",S64="",S65=""),"",(SUM(S56:S59,S62,S63)))</f>
        <v/>
      </c>
      <c r="T66" s="25" t="str">
        <f t="shared" ref="T66" si="156">IF(AND(T56="",T57="",T58="",T59="",T60="",T61="",T62="",T63="",T64="",T65=""),"",(SUM(T56:T59,T62,T63)))</f>
        <v/>
      </c>
      <c r="U66" s="25" t="str">
        <f t="shared" ref="U66" si="157">IF(AND(U56="",U57="",U58="",U59="",U60="",U61="",U62="",U63="",U64="",U65=""),"",(SUM(U56:U59,U62,U63)))</f>
        <v/>
      </c>
      <c r="V66" s="25" t="str">
        <f t="shared" ref="V66" si="158">IF(AND(V56="",V57="",V58="",V59="",V60="",V61="",V62="",V63="",V64="",V65=""),"",(SUM(V56:V59,V62,V63)))</f>
        <v/>
      </c>
      <c r="W66" s="25" t="str">
        <f t="shared" ref="W66" si="159">IF(AND(W56="",W57="",W58="",W59="",W60="",W61="",W62="",W63="",W64="",W65=""),"",(SUM(W56:W59,W62,W63)))</f>
        <v/>
      </c>
      <c r="X66" s="25" t="str">
        <f t="shared" ref="X66" si="160">IF(AND(X56="",X57="",X58="",X59="",X60="",X61="",X62="",X63="",X64="",X65=""),"",(SUM(X56:X59,X62,X63)))</f>
        <v/>
      </c>
      <c r="Y66" s="25" t="str">
        <f t="shared" ref="Y66" si="161">IF(AND(Y56="",Y57="",Y58="",Y59="",Y60="",Y61="",Y62="",Y63="",Y64="",Y65=""),"",(SUM(Y56:Y59,Y62,Y63)))</f>
        <v/>
      </c>
      <c r="Z66" s="48" t="str">
        <f t="shared" ref="Z66" si="162">IF(AND(Z56="",Z57="",Z58="",Z59="",Z60="",Z61="",Z62="",Z63="",Z64="",Z65=""),"",(SUM(Z56:Z59,Z62,Z63)))</f>
        <v/>
      </c>
    </row>
    <row r="67" spans="1:26" s="2" customFormat="1" ht="13.5" customHeight="1">
      <c r="A67" s="498"/>
      <c r="B67" s="36" t="s">
        <v>169</v>
      </c>
      <c r="C67" s="27" t="str">
        <f>IF(C66="","",IF(C66=0,0,((C66/(SUM(C56:C61))*100))))</f>
        <v/>
      </c>
      <c r="D67" s="28" t="str">
        <f t="shared" ref="D67" si="163">IF(D66="","",IF(D66=0,0,((D66/(SUM(D56:D61))*100))))</f>
        <v/>
      </c>
      <c r="E67" s="28" t="str">
        <f t="shared" ref="E67" si="164">IF(E66="","",IF(E66=0,0,((E66/(SUM(E56:E61))*100))))</f>
        <v/>
      </c>
      <c r="F67" s="28" t="str">
        <f t="shared" ref="F67" si="165">IF(F66="","",IF(F66=0,0,((F66/(SUM(F56:F61))*100))))</f>
        <v/>
      </c>
      <c r="G67" s="28" t="str">
        <f t="shared" ref="G67" si="166">IF(G66="","",IF(G66=0,0,((G66/(SUM(G56:G61))*100))))</f>
        <v/>
      </c>
      <c r="H67" s="28" t="str">
        <f t="shared" ref="H67" si="167">IF(H66="","",IF(H66=0,0,((H66/(SUM(H56:H61))*100))))</f>
        <v/>
      </c>
      <c r="I67" s="28" t="str">
        <f t="shared" ref="I67" si="168">IF(I66="","",IF(I66=0,0,((I66/(SUM(I56:I61))*100))))</f>
        <v/>
      </c>
      <c r="J67" s="46" t="str">
        <f t="shared" ref="J67" si="169">IF(J66="","",IF(J66=0,0,((J66/(SUM(J56:J61))*100))))</f>
        <v/>
      </c>
      <c r="K67" s="27" t="str">
        <f t="shared" ref="K67" si="170">IF(K66="","",IF(K66=0,0,((K66/(SUM(K56:K61))*100))))</f>
        <v/>
      </c>
      <c r="L67" s="28" t="str">
        <f t="shared" ref="L67" si="171">IF(L66="","",IF(L66=0,0,((L66/(SUM(L56:L61))*100))))</f>
        <v/>
      </c>
      <c r="M67" s="28" t="str">
        <f t="shared" ref="M67" si="172">IF(M66="","",IF(M66=0,0,((M66/(SUM(M56:M61))*100))))</f>
        <v/>
      </c>
      <c r="N67" s="28" t="str">
        <f t="shared" ref="N67" si="173">IF(N66="","",IF(N66=0,0,((N66/(SUM(N56:N61))*100))))</f>
        <v/>
      </c>
      <c r="O67" s="28" t="str">
        <f t="shared" ref="O67" si="174">IF(O66="","",IF(O66=0,0,((O66/(SUM(O56:O61))*100))))</f>
        <v/>
      </c>
      <c r="P67" s="28" t="str">
        <f t="shared" ref="P67" si="175">IF(P66="","",IF(P66=0,0,((P66/(SUM(P56:P61))*100))))</f>
        <v/>
      </c>
      <c r="Q67" s="28" t="str">
        <f t="shared" ref="Q67" si="176">IF(Q66="","",IF(Q66=0,0,((Q66/(SUM(Q56:Q61))*100))))</f>
        <v/>
      </c>
      <c r="R67" s="50" t="str">
        <f t="shared" ref="R67" si="177">IF(R66="","",IF(R66=0,0,((R66/(SUM(R56:R61))*100))))</f>
        <v/>
      </c>
      <c r="S67" s="51" t="str">
        <f t="shared" ref="S67" si="178">IF(S66="","",IF(S66=0,0,((S66/(SUM(S56:S61))*100))))</f>
        <v/>
      </c>
      <c r="T67" s="28" t="str">
        <f t="shared" ref="T67" si="179">IF(T66="","",IF(T66=0,0,((T66/(SUM(T56:T61))*100))))</f>
        <v/>
      </c>
      <c r="U67" s="28" t="str">
        <f t="shared" ref="U67" si="180">IF(U66="","",IF(U66=0,0,((U66/(SUM(U56:U61))*100))))</f>
        <v/>
      </c>
      <c r="V67" s="28" t="str">
        <f t="shared" ref="V67" si="181">IF(V66="","",IF(V66=0,0,((V66/(SUM(V56:V61))*100))))</f>
        <v/>
      </c>
      <c r="W67" s="28" t="str">
        <f t="shared" ref="W67" si="182">IF(W66="","",IF(W66=0,0,((W66/(SUM(W56:W61))*100))))</f>
        <v/>
      </c>
      <c r="X67" s="28" t="str">
        <f t="shared" ref="X67" si="183">IF(X66="","",IF(X66=0,0,((X66/(SUM(X56:X61))*100))))</f>
        <v/>
      </c>
      <c r="Y67" s="28" t="str">
        <f t="shared" ref="Y67" si="184">IF(Y66="","",IF(Y66=0,0,((Y66/(SUM(Y56:Y61))*100))))</f>
        <v/>
      </c>
      <c r="Z67" s="50" t="str">
        <f t="shared" ref="Z67" si="185">IF(Z66="","",IF(Z66=0,0,((Z66/(SUM(Z56:Z61))*100))))</f>
        <v/>
      </c>
    </row>
    <row r="68" spans="1:26" s="2" customFormat="1" ht="13.5" customHeight="1">
      <c r="A68" s="499" t="s">
        <v>71</v>
      </c>
      <c r="B68" s="29" t="s">
        <v>28</v>
      </c>
      <c r="C68" s="9" t="str">
        <f>IF(OR((COUNTA(F!$P$8:$P$62)=0),(COUNTA(F!$R$8:$R$62)=0)),"",COUNTIFS(F!$R$8:$R$62,"X01",F!$Q$8:$Q$62,"A"))</f>
        <v/>
      </c>
      <c r="D68" s="10" t="str">
        <f>IF(OR((COUNTA(F!$P$8:$P$62)=0),(COUNTA(F!$R$8:$R$62)=0)),"",COUNTIFS(F!$R$8:$R$62,"X02",F!$Q$8:$Q$62,"A"))</f>
        <v/>
      </c>
      <c r="E68" s="11" t="str">
        <f>IF(OR((COUNTA(F!$P$8:$P$62)=0),(COUNTA(F!$R$8:$R$62)=0)),"",COUNTIFS(F!$R$8:$R$62,"X03",F!$Q$8:$Q$62,"A"))</f>
        <v/>
      </c>
      <c r="F68" s="11" t="str">
        <f>IF(OR((COUNTA(F!$P$8:$P$62)=0),(COUNTA(F!$R$8:$R$62)=0)),"",COUNTIFS(F!$R$8:$R$62,"X04",F!$Q$8:$Q$62,"A"))</f>
        <v/>
      </c>
      <c r="G68" s="11" t="str">
        <f>IF(OR((COUNTA(F!$P$8:$P$62)=0),(COUNTA(F!$R$8:$R$62)=0)),"",COUNTIFS(F!$R$8:$R$62,"X05",F!$Q$8:$Q$62,"A"))</f>
        <v/>
      </c>
      <c r="H68" s="11" t="str">
        <f>IF(OR((COUNTA(F!$P$8:$P$62)=0),(COUNTA(F!$R$8:$R$62)=0)),"",COUNTIFS(F!$R$8:$R$62,"X06",F!$Q$8:$Q$62,"A"))</f>
        <v/>
      </c>
      <c r="I68" s="11" t="str">
        <f>IF(OR((COUNTA(F!$P$8:$P$62)=0),(COUNTA(F!$R$8:$R$62)=0)),"",COUNTIFS(F!$R$8:$R$62,"X07",F!$Q$8:$Q$62,"A"))</f>
        <v/>
      </c>
      <c r="J68" s="40" t="str">
        <f>IF(OR((COUNTA(F!$P$8:$P$62)=0),(COUNTA(F!$R$8:$R$62)=0)),"",COUNTIFS(F!$R$8:$R$62,"X08",F!$Q$8:$Q$62,"A"))</f>
        <v/>
      </c>
      <c r="K68" s="41" t="str">
        <f>IF(OR((COUNTA(F!$S$8:$S$62)=0),(COUNTA(F!$U$8:$U$62)=0)),"",COUNTIFS(F!$U$8:$U$62,"X09",F!$T$8:$T$62,"A"))</f>
        <v/>
      </c>
      <c r="L68" s="11" t="str">
        <f>IF(OR((COUNTA(F!$S$8:$S$62)=0),(COUNTA(F!$U$8:$U$62)=0)),"",COUNTIFS(F!$U$8:$U$62,"X10",F!$T$8:$T$62,"A"))</f>
        <v/>
      </c>
      <c r="M68" s="11" t="str">
        <f>IF(OR((COUNTA(F!$S$8:$S$62)=0),(COUNTA(F!$U$8:$U$62)=0)),"",COUNTIFS(F!$U$8:$U$62,"X11",F!$T$8:$T$62,"A"))</f>
        <v/>
      </c>
      <c r="N68" s="11" t="str">
        <f>IF(OR((COUNTA(F!$S$8:$S$62)=0),(COUNTA(F!$U$8:$U$62)=0)),"",COUNTIFS(F!$U$8:$U$62,"X12",F!$T$8:$T$62,"A"))</f>
        <v/>
      </c>
      <c r="O68" s="11" t="str">
        <f>IF(OR((COUNTA(F!$S$8:$S$62)=0),(COUNTA(F!$U$8:$U$62)=0)),"",COUNTIFS(F!$U$8:$U$62,"X13",F!$T$8:$T$62,"A"))</f>
        <v/>
      </c>
      <c r="P68" s="11" t="str">
        <f>IF(OR((COUNTA(F!$S$8:$S$62)=0),(COUNTA(F!$U$8:$U$62)=0)),"",COUNTIFS(F!$U$8:$U$62,"X14",F!$T$8:$T$62,"A"))</f>
        <v/>
      </c>
      <c r="Q68" s="11" t="str">
        <f>IF(OR((COUNTA(F!$S$8:$S$62)=0),(COUNTA(F!$U$8:$U$62)=0)),"",COUNTIFS(F!$U$8:$U$62,"X15",F!$T$8:$T$62,"A"))</f>
        <v/>
      </c>
      <c r="R68" s="40" t="str">
        <f>IF(OR((COUNTA(F!$S$8:$S$62)=0),(COUNTA(F!$U$8:$U$62)=0)),"",COUNTIFS(F!$U$8:$U$62,"X16",F!$T$8:$T$62,"A"))</f>
        <v/>
      </c>
      <c r="S68" s="41" t="str">
        <f>IF(OR((COUNTA(F!$V$8:$V$62)=0),(COUNTA(F!$X$8:$X$62)=0)),"",COUNTIFS(F!$X$8:$X$62,"X17",F!$W$8:$W$62,"A"))</f>
        <v/>
      </c>
      <c r="T68" s="11" t="str">
        <f>IF(OR((COUNTA(F!$V$8:$V$62)=0),(COUNTA(F!$X$8:$X$62)=0)),"",COUNTIFS(F!$X$8:$X$62,"X18",F!$W$8:$W$62,"A"))</f>
        <v/>
      </c>
      <c r="U68" s="11" t="str">
        <f>IF(OR((COUNTA(F!$V$8:$V$62)=0),(COUNTA(F!$X$8:$X$62)=0)),"",COUNTIFS(F!$X$8:$X$62,"X19",F!$W$8:$W$62,"A"))</f>
        <v/>
      </c>
      <c r="V68" s="11" t="str">
        <f>IF(OR((COUNTA(F!$V$8:$V$62)=0),(COUNTA(F!$X$8:$X$62)=0)),"",COUNTIFS(F!$X$8:$X$62,"X20",F!$W$8:$W$62,"A"))</f>
        <v/>
      </c>
      <c r="W68" s="11" t="str">
        <f>IF(OR((COUNTA(F!$V$8:$V$62)=0),(COUNTA(F!$X$8:$X$62)=0)),"",COUNTIFS(F!$X$8:$X$62,"X21",F!$W$8:$W$62,"A"))</f>
        <v/>
      </c>
      <c r="X68" s="11" t="str">
        <f>IF(OR((COUNTA(F!$V$8:$V$62)=0),(COUNTA(F!$X$8:$X$62)=0)),"",COUNTIFS(F!$X$8:$X$62,"X22",F!$W$8:$W$62,"A"))</f>
        <v/>
      </c>
      <c r="Y68" s="11" t="str">
        <f>IF(OR((COUNTA(F!$V$8:$V$62)=0),(COUNTA(F!$X$8:$X$62)=0)),"",COUNTIFS(F!$X$8:$X$62,"X23",F!$W$8:$W$62,"A"))</f>
        <v/>
      </c>
      <c r="Z68" s="40" t="str">
        <f>IF(OR((COUNTA(F!$V$8:$V$62)=0),(COUNTA(F!$X$8:$X$62)=0)),"",COUNTIFS(F!$X$8:$X$62,"X24",F!$W$8:$W$62,"A"))</f>
        <v/>
      </c>
    </row>
    <row r="69" spans="1:26" s="2" customFormat="1" ht="13.5" customHeight="1">
      <c r="A69" s="500"/>
      <c r="B69" s="30" t="s">
        <v>29</v>
      </c>
      <c r="C69" s="13" t="str">
        <f>IF(OR((COUNTA(F!$P$8:$P$62)=0),(COUNTA(F!$R$8:$R$62)=0)),"",COUNTIFS(F!$R$8:$R$62,"X01",F!$Q$8:$Q$62,"B"))</f>
        <v/>
      </c>
      <c r="D69" s="14" t="str">
        <f>IF(OR((COUNTA(F!$P$8:$P$62)=0),(COUNTA(F!$R$8:$R$62)=0)),"",COUNTIFS(F!$R$8:$R$62,"X02",F!$Q$8:$Q$62,"B"))</f>
        <v/>
      </c>
      <c r="E69" s="14" t="str">
        <f>IF(OR((COUNTA(F!$P$8:$P$62)=0),(COUNTA(F!$R$8:$R$62)=0)),"",COUNTIFS(F!$R$8:$R$62,"X03",F!$Q$8:$Q$62,"B"))</f>
        <v/>
      </c>
      <c r="F69" s="14" t="str">
        <f>IF(OR((COUNTA(F!$P$8:$P$62)=0),(COUNTA(F!$R$8:$R$62)=0)),"",COUNTIFS(F!$R$8:$R$62,"X04",F!$Q$8:$Q$62,"B"))</f>
        <v/>
      </c>
      <c r="G69" s="14" t="str">
        <f>IF(OR((COUNTA(F!$P$8:$P$62)=0),(COUNTA(F!$R$8:$R$62)=0)),"",COUNTIFS(F!$R$8:$R$62,"X05",F!$Q$8:$Q$62,"B"))</f>
        <v/>
      </c>
      <c r="H69" s="14" t="str">
        <f>IF(OR((COUNTA(F!$P$8:$P$62)=0),(COUNTA(F!$R$8:$R$62)=0)),"",COUNTIFS(F!$R$8:$R$62,"X06",F!$Q$8:$Q$62,"B"))</f>
        <v/>
      </c>
      <c r="I69" s="14" t="str">
        <f>IF(OR((COUNTA(F!$P$8:$P$62)=0),(COUNTA(F!$R$8:$R$62)=0)),"",COUNTIFS(F!$R$8:$R$62,"X07",F!$Q$8:$Q$62,"B"))</f>
        <v/>
      </c>
      <c r="J69" s="42" t="str">
        <f>IF(OR((COUNTA(F!$P$8:$P$62)=0),(COUNTA(F!$R$8:$R$62)=0)),"",COUNTIFS(F!$R$8:$R$62,"X08",F!$Q$8:$Q$62,"B"))</f>
        <v/>
      </c>
      <c r="K69" s="13" t="str">
        <f>IF(OR((COUNTA(F!$S$8:$S$62)=0),(COUNTA(F!$U$8:$U$62)=0)),"",COUNTIFS(F!$U$8:$U$62,"X09",F!$T$8:$T$62,"B"))</f>
        <v/>
      </c>
      <c r="L69" s="14" t="str">
        <f>IF(OR((COUNTA(F!$S$8:$S$62)=0),(COUNTA(F!$U$8:$U$62)=0)),"",COUNTIFS(F!$U$8:$U$62,"X10",F!$T$8:$T$62,"B"))</f>
        <v/>
      </c>
      <c r="M69" s="14" t="str">
        <f>IF(OR((COUNTA(F!$S$8:$S$62)=0),(COUNTA(F!$U$8:$U$62)=0)),"",COUNTIFS(F!$U$8:$U$62,"X11",F!$T$8:$T$62,"B"))</f>
        <v/>
      </c>
      <c r="N69" s="14" t="str">
        <f>IF(OR((COUNTA(F!$S$8:$S$62)=0),(COUNTA(F!$U$8:$U$62)=0)),"",COUNTIFS(F!$U$8:$U$62,"X12",F!$T$8:$T$62,"B"))</f>
        <v/>
      </c>
      <c r="O69" s="14" t="str">
        <f>IF(OR((COUNTA(F!$S$8:$S$62)=0),(COUNTA(F!$U$8:$U$62)=0)),"",COUNTIFS(F!$U$8:$U$62,"X13",F!$T$8:$T$62,"B"))</f>
        <v/>
      </c>
      <c r="P69" s="14" t="str">
        <f>IF(OR((COUNTA(F!$S$8:$S$62)=0),(COUNTA(F!$U$8:$U$62)=0)),"",COUNTIFS(F!$U$8:$U$62,"X14",F!$T$8:$T$62,"B"))</f>
        <v/>
      </c>
      <c r="Q69" s="14" t="str">
        <f>IF(OR((COUNTA(F!$S$8:$S$62)=0),(COUNTA(F!$U$8:$U$62)=0)),"",COUNTIFS(F!$U$8:$U$62,"X15",F!$T$8:$T$62,"B"))</f>
        <v/>
      </c>
      <c r="R69" s="42" t="str">
        <f>IF(OR((COUNTA(F!$S$8:$S$62)=0),(COUNTA(F!$U$8:$U$62)=0)),"",COUNTIFS(F!$U$8:$U$62,"X16",F!$T$8:$T$62,"B"))</f>
        <v/>
      </c>
      <c r="S69" s="13" t="str">
        <f>IF(OR((COUNTA(F!$V$8:$V$62)=0),(COUNTA(F!$X$8:$X$62)=0)),"",COUNTIFS(F!$X$8:$X$62,"X17",F!$W$8:$W$62,"B"))</f>
        <v/>
      </c>
      <c r="T69" s="14" t="str">
        <f>IF(OR((COUNTA(F!$V$8:$V$62)=0),(COUNTA(F!$X$8:$X$62)=0)),"",COUNTIFS(F!$X$8:$X$62,"X18",F!$W$8:$W$62,"B"))</f>
        <v/>
      </c>
      <c r="U69" s="14" t="str">
        <f>IF(OR((COUNTA(F!$V$8:$V$62)=0),(COUNTA(F!$X$8:$X$62)=0)),"",COUNTIFS(F!$X$8:$X$62,"X19",F!$W$8:$W$62,"B"))</f>
        <v/>
      </c>
      <c r="V69" s="14" t="str">
        <f>IF(OR((COUNTA(F!$V$8:$V$62)=0),(COUNTA(F!$X$8:$X$62)=0)),"",COUNTIFS(F!$X$8:$X$62,"X20",F!$W$8:$W$62,"B"))</f>
        <v/>
      </c>
      <c r="W69" s="14" t="str">
        <f>IF(OR((COUNTA(F!$V$8:$V$62)=0),(COUNTA(F!$X$8:$X$62)=0)),"",COUNTIFS(F!$X$8:$X$62,"X21",F!$W$8:$W$62,"B"))</f>
        <v/>
      </c>
      <c r="X69" s="14" t="str">
        <f>IF(OR((COUNTA(F!$V$8:$V$62)=0),(COUNTA(F!$X$8:$X$62)=0)),"",COUNTIFS(F!$X$8:$X$62,"X22",F!$W$8:$W$62,"B"))</f>
        <v/>
      </c>
      <c r="Y69" s="14" t="str">
        <f>IF(OR((COUNTA(F!$V$8:$V$62)=0),(COUNTA(F!$X$8:$X$62)=0)),"",COUNTIFS(F!$X$8:$X$62,"X23",F!$W$8:$W$62,"B"))</f>
        <v/>
      </c>
      <c r="Z69" s="42" t="str">
        <f>IF(OR((COUNTA(F!$V$8:$V$62)=0),(COUNTA(F!$X$8:$X$62)=0)),"",COUNTIFS(F!$X$8:$X$62,"X24",F!$W$8:$W$62,"B"))</f>
        <v/>
      </c>
    </row>
    <row r="70" spans="1:26" s="2" customFormat="1" ht="13.5" customHeight="1">
      <c r="A70" s="500"/>
      <c r="B70" s="30" t="s">
        <v>30</v>
      </c>
      <c r="C70" s="13" t="str">
        <f>IF(OR((COUNTA(F!$P$8:$P$62)=0),(COUNTA(F!$R$8:$R$62)=0)),"",COUNTIFS(F!$R$8:$R$62,"X01",F!$Q$8:$Q$62,"C"))</f>
        <v/>
      </c>
      <c r="D70" s="14" t="str">
        <f>IF(OR((COUNTA(F!$P$8:$P$62)=0),(COUNTA(F!$R$8:$R$62)=0)),"",COUNTIFS(F!$R$8:$R$62,"X02",F!$Q$8:$Q$62,"C"))</f>
        <v/>
      </c>
      <c r="E70" s="14" t="str">
        <f>IF(OR((COUNTA(F!$P$8:$P$62)=0),(COUNTA(F!$R$8:$R$62)=0)),"",COUNTIFS(F!$R$8:$R$62,"X03",F!$Q$8:$Q$62,"C"))</f>
        <v/>
      </c>
      <c r="F70" s="14" t="str">
        <f>IF(OR((COUNTA(F!$P$8:$P$62)=0),(COUNTA(F!$R$8:$R$62)=0)),"",COUNTIFS(F!$R$8:$R$62,"X04",F!$Q$8:$Q$62,"C"))</f>
        <v/>
      </c>
      <c r="G70" s="14" t="str">
        <f>IF(OR((COUNTA(F!$P$8:$P$62)=0),(COUNTA(F!$R$8:$R$62)=0)),"",COUNTIFS(F!$R$8:$R$62,"X05",F!$Q$8:$Q$62,"C"))</f>
        <v/>
      </c>
      <c r="H70" s="14" t="str">
        <f>IF(OR((COUNTA(F!$P$8:$P$62)=0),(COUNTA(F!$R$8:$R$62)=0)),"",COUNTIFS(F!$R$8:$R$62,"X06",F!$Q$8:$Q$62,"C"))</f>
        <v/>
      </c>
      <c r="I70" s="14" t="str">
        <f>IF(OR((COUNTA(F!$P$8:$P$62)=0),(COUNTA(F!$R$8:$R$62)=0)),"",COUNTIFS(F!$R$8:$R$62,"X07",F!$Q$8:$Q$62,"C"))</f>
        <v/>
      </c>
      <c r="J70" s="42" t="str">
        <f>IF(OR((COUNTA(F!$P$8:$P$62)=0),(COUNTA(F!$R$8:$R$62)=0)),"",COUNTIFS(F!$R$8:$R$62,"X08",F!$Q$8:$Q$62,"C"))</f>
        <v/>
      </c>
      <c r="K70" s="13" t="str">
        <f>IF(OR((COUNTA(F!$S$8:$S$62)=0),(COUNTA(F!$U$8:$U$62)=0)),"",COUNTIFS(F!$U$8:$U$62,"X09",F!$T$8:$T$62,"C"))</f>
        <v/>
      </c>
      <c r="L70" s="14" t="str">
        <f>IF(OR((COUNTA(F!$S$8:$S$62)=0),(COUNTA(F!$U$8:$U$62)=0)),"",COUNTIFS(F!$U$8:$U$62,"X10",F!$T$8:$T$62,"C"))</f>
        <v/>
      </c>
      <c r="M70" s="14" t="str">
        <f>IF(OR((COUNTA(F!$S$8:$S$62)=0),(COUNTA(F!$U$8:$U$62)=0)),"",COUNTIFS(F!$U$8:$U$62,"X11",F!$T$8:$T$62,"C"))</f>
        <v/>
      </c>
      <c r="N70" s="14" t="str">
        <f>IF(OR((COUNTA(F!$S$8:$S$62)=0),(COUNTA(F!$U$8:$U$62)=0)),"",COUNTIFS(F!$U$8:$U$62,"X12",F!$T$8:$T$62,"C"))</f>
        <v/>
      </c>
      <c r="O70" s="14" t="str">
        <f>IF(OR((COUNTA(F!$S$8:$S$62)=0),(COUNTA(F!$U$8:$U$62)=0)),"",COUNTIFS(F!$U$8:$U$62,"X13",F!$T$8:$T$62,"C"))</f>
        <v/>
      </c>
      <c r="P70" s="14" t="str">
        <f>IF(OR((COUNTA(F!$S$8:$S$62)=0),(COUNTA(F!$U$8:$U$62)=0)),"",COUNTIFS(F!$U$8:$U$62,"X14",F!$T$8:$T$62,"C"))</f>
        <v/>
      </c>
      <c r="Q70" s="14" t="str">
        <f>IF(OR((COUNTA(F!$S$8:$S$62)=0),(COUNTA(F!$U$8:$U$62)=0)),"",COUNTIFS(F!$U$8:$U$62,"X15",F!$T$8:$T$62,"C"))</f>
        <v/>
      </c>
      <c r="R70" s="42" t="str">
        <f>IF(OR((COUNTA(F!$S$8:$S$62)=0),(COUNTA(F!$U$8:$U$62)=0)),"",COUNTIFS(F!$U$8:$U$62,"X16",F!$T$8:$T$62,"C"))</f>
        <v/>
      </c>
      <c r="S70" s="13" t="str">
        <f>IF(OR((COUNTA(F!$V$8:$V$62)=0),(COUNTA(F!$X$8:$X$62)=0)),"",COUNTIFS(F!$X$8:$X$62,"X17",F!$W$8:$W$62,"C"))</f>
        <v/>
      </c>
      <c r="T70" s="14" t="str">
        <f>IF(OR((COUNTA(F!$V$8:$V$62)=0),(COUNTA(F!$X$8:$X$62)=0)),"",COUNTIFS(F!$X$8:$X$62,"X18",F!$W$8:$W$62,"C"))</f>
        <v/>
      </c>
      <c r="U70" s="14" t="str">
        <f>IF(OR((COUNTA(F!$V$8:$V$62)=0),(COUNTA(F!$X$8:$X$62)=0)),"",COUNTIFS(F!$X$8:$X$62,"X19",F!$W$8:$W$62,"C"))</f>
        <v/>
      </c>
      <c r="V70" s="14" t="str">
        <f>IF(OR((COUNTA(F!$V$8:$V$62)=0),(COUNTA(F!$X$8:$X$62)=0)),"",COUNTIFS(F!$X$8:$X$62,"X20",F!$W$8:$W$62,"C"))</f>
        <v/>
      </c>
      <c r="W70" s="14" t="str">
        <f>IF(OR((COUNTA(F!$V$8:$V$62)=0),(COUNTA(F!$X$8:$X$62)=0)),"",COUNTIFS(F!$X$8:$X$62,"X21",F!$W$8:$W$62,"C"))</f>
        <v/>
      </c>
      <c r="X70" s="14" t="str">
        <f>IF(OR((COUNTA(F!$V$8:$V$62)=0),(COUNTA(F!$X$8:$X$62)=0)),"",COUNTIFS(F!$X$8:$X$62,"X22",F!$W$8:$W$62,"C"))</f>
        <v/>
      </c>
      <c r="Y70" s="14" t="str">
        <f>IF(OR((COUNTA(F!$V$8:$V$62)=0),(COUNTA(F!$X$8:$X$62)=0)),"",COUNTIFS(F!$X$8:$X$62,"X23",F!$W$8:$W$62,"C"))</f>
        <v/>
      </c>
      <c r="Z70" s="42" t="str">
        <f>IF(OR((COUNTA(F!$V$8:$V$62)=0),(COUNTA(F!$X$8:$X$62)=0)),"",COUNTIFS(F!$X$8:$X$62,"X24",F!$W$8:$W$62,"C"))</f>
        <v/>
      </c>
    </row>
    <row r="71" spans="1:26" s="2" customFormat="1" ht="13.5" customHeight="1">
      <c r="A71" s="500"/>
      <c r="B71" s="30" t="s">
        <v>31</v>
      </c>
      <c r="C71" s="13" t="str">
        <f>IF(OR((COUNTA(F!$P$8:$P$62)=0),(COUNTA(F!$R$8:$R$62)=0)),"",COUNTIFS(F!$R$8:$R$62,"X01",F!$Q$8:$Q$62,"S"))</f>
        <v/>
      </c>
      <c r="D71" s="14" t="str">
        <f>IF(OR((COUNTA(F!$P$8:$P$62)=0),(COUNTA(F!$R$8:$R$62)=0)),"",COUNTIFS(F!$R$8:$R$62,"X02",F!$Q$8:$Q$62,"S"))</f>
        <v/>
      </c>
      <c r="E71" s="14" t="str">
        <f>IF(OR((COUNTA(F!$P$8:$P$62)=0),(COUNTA(F!$R$8:$R$62)=0)),"",COUNTIFS(F!$R$8:$R$62,"X03",F!$Q$8:$Q$62,"S"))</f>
        <v/>
      </c>
      <c r="F71" s="14" t="str">
        <f>IF(OR((COUNTA(F!$P$8:$P$62)=0),(COUNTA(F!$R$8:$R$62)=0)),"",COUNTIFS(F!$R$8:$R$62,"X04",F!$Q$8:$Q$62,"S"))</f>
        <v/>
      </c>
      <c r="G71" s="14" t="str">
        <f>IF(OR((COUNTA(F!$P$8:$P$62)=0),(COUNTA(F!$R$8:$R$62)=0)),"",COUNTIFS(F!$R$8:$R$62,"X05",F!$Q$8:$Q$62,"S"))</f>
        <v/>
      </c>
      <c r="H71" s="14" t="str">
        <f>IF(OR((COUNTA(F!$P$8:$P$62)=0),(COUNTA(F!$R$8:$R$62)=0)),"",COUNTIFS(F!$R$8:$R$62,"X06",F!$Q$8:$Q$62,"S"))</f>
        <v/>
      </c>
      <c r="I71" s="14" t="str">
        <f>IF(OR((COUNTA(F!$P$8:$P$62)=0),(COUNTA(F!$R$8:$R$62)=0)),"",COUNTIFS(F!$R$8:$R$62,"X07",F!$Q$8:$Q$62,"S"))</f>
        <v/>
      </c>
      <c r="J71" s="42" t="str">
        <f>IF(OR((COUNTA(F!$P$8:$P$62)=0),(COUNTA(F!$R$8:$R$62)=0)),"",COUNTIFS(F!$R$8:$R$62,"X08",F!$Q$8:$Q$62,"S"))</f>
        <v/>
      </c>
      <c r="K71" s="13" t="str">
        <f>IF(OR((COUNTA(F!$S$8:$S$62)=0),(COUNTA(F!$U$8:$U$62)=0)),"",COUNTIFS(F!$U$8:$U$62,"X09",F!$T$8:$T$62,"S"))</f>
        <v/>
      </c>
      <c r="L71" s="14" t="str">
        <f>IF(OR((COUNTA(F!$S$8:$S$62)=0),(COUNTA(F!$U$8:$U$62)=0)),"",COUNTIFS(F!$U$8:$U$62,"X10",F!$T$8:$T$62,"S"))</f>
        <v/>
      </c>
      <c r="M71" s="14" t="str">
        <f>IF(OR((COUNTA(F!$S$8:$S$62)=0),(COUNTA(F!$U$8:$U$62)=0)),"",COUNTIFS(F!$U$8:$U$62,"X11",F!$T$8:$T$62,"S"))</f>
        <v/>
      </c>
      <c r="N71" s="14" t="str">
        <f>IF(OR((COUNTA(F!$S$8:$S$62)=0),(COUNTA(F!$U$8:$U$62)=0)),"",COUNTIFS(F!$U$8:$U$62,"X12",F!$T$8:$T$62,"S"))</f>
        <v/>
      </c>
      <c r="O71" s="14" t="str">
        <f>IF(OR((COUNTA(F!$S$8:$S$62)=0),(COUNTA(F!$U$8:$U$62)=0)),"",COUNTIFS(F!$U$8:$U$62,"X13",F!$T$8:$T$62,"S"))</f>
        <v/>
      </c>
      <c r="P71" s="14" t="str">
        <f>IF(OR((COUNTA(F!$S$8:$S$62)=0),(COUNTA(F!$U$8:$U$62)=0)),"",COUNTIFS(F!$U$8:$U$62,"X14",F!$T$8:$T$62,"S"))</f>
        <v/>
      </c>
      <c r="Q71" s="14" t="str">
        <f>IF(OR((COUNTA(F!$S$8:$S$62)=0),(COUNTA(F!$U$8:$U$62)=0)),"",COUNTIFS(F!$U$8:$U$62,"X15",F!$T$8:$T$62,"S"))</f>
        <v/>
      </c>
      <c r="R71" s="42" t="str">
        <f>IF(OR((COUNTA(F!$S$8:$S$62)=0),(COUNTA(F!$U$8:$U$62)=0)),"",COUNTIFS(F!$U$8:$U$62,"X16",F!$T$8:$T$62,"S"))</f>
        <v/>
      </c>
      <c r="S71" s="13" t="str">
        <f>IF(OR((COUNTA(F!$V$8:$V$62)=0),(COUNTA(F!$X$8:$X$62)=0)),"",COUNTIFS(F!$X$8:$X$62,"X17",F!$W$8:$W$62,"S"))</f>
        <v/>
      </c>
      <c r="T71" s="14" t="str">
        <f>IF(OR((COUNTA(F!$V$8:$V$62)=0),(COUNTA(F!$X$8:$X$62)=0)),"",COUNTIFS(F!$X$8:$X$62,"X18",F!$W$8:$W$62,"S"))</f>
        <v/>
      </c>
      <c r="U71" s="14" t="str">
        <f>IF(OR((COUNTA(F!$V$8:$V$62)=0),(COUNTA(F!$X$8:$X$62)=0)),"",COUNTIFS(F!$X$8:$X$62,"X19",F!$W$8:$W$62,"S"))</f>
        <v/>
      </c>
      <c r="V71" s="14" t="str">
        <f>IF(OR((COUNTA(F!$V$8:$V$62)=0),(COUNTA(F!$X$8:$X$62)=0)),"",COUNTIFS(F!$X$8:$X$62,"X20",F!$W$8:$W$62,"S"))</f>
        <v/>
      </c>
      <c r="W71" s="14" t="str">
        <f>IF(OR((COUNTA(F!$V$8:$V$62)=0),(COUNTA(F!$X$8:$X$62)=0)),"",COUNTIFS(F!$X$8:$X$62,"X21",F!$W$8:$W$62,"S"))</f>
        <v/>
      </c>
      <c r="X71" s="14" t="str">
        <f>IF(OR((COUNTA(F!$V$8:$V$62)=0),(COUNTA(F!$X$8:$X$62)=0)),"",COUNTIFS(F!$X$8:$X$62,"X22",F!$W$8:$W$62,"S"))</f>
        <v/>
      </c>
      <c r="Y71" s="14" t="str">
        <f>IF(OR((COUNTA(F!$V$8:$V$62)=0),(COUNTA(F!$X$8:$X$62)=0)),"",COUNTIFS(F!$X$8:$X$62,"X23",F!$W$8:$W$62,"S"))</f>
        <v/>
      </c>
      <c r="Z71" s="42" t="str">
        <f>IF(OR((COUNTA(F!$V$8:$V$62)=0),(COUNTA(F!$X$8:$X$62)=0)),"",COUNTIFS(F!$X$8:$X$62,"X24",F!$W$8:$W$62,"S"))</f>
        <v/>
      </c>
    </row>
    <row r="72" spans="1:26" s="2" customFormat="1" ht="13.5" customHeight="1">
      <c r="A72" s="500"/>
      <c r="B72" s="31" t="s">
        <v>32</v>
      </c>
      <c r="C72" s="16" t="str">
        <f>IF(OR((COUNTA(F!$P$8:$P$62)=0),(COUNTA(F!$R$8:$R$62)=0)),"",COUNTIFS(F!$R$8:$R$62,"X01",F!$Q$8:$Q$62,"W"))</f>
        <v/>
      </c>
      <c r="D72" s="17" t="str">
        <f>IF(OR((COUNTA(F!$P$8:$P$62)=0),(COUNTA(F!$R$8:$R$62)=0)),"",COUNTIFS(F!$R$8:$R$62,"X02",F!$Q$8:$Q$62,"W"))</f>
        <v/>
      </c>
      <c r="E72" s="17" t="str">
        <f>IF(OR((COUNTA(F!$P$8:$P$62)=0),(COUNTA(F!$R$8:$R$62)=0)),"",COUNTIFS(F!$R$8:$R$62,"X03",F!$Q$8:$Q$62,"W"))</f>
        <v/>
      </c>
      <c r="F72" s="17" t="str">
        <f>IF(OR((COUNTA(F!$P$8:$P$62)=0),(COUNTA(F!$R$8:$R$62)=0)),"",COUNTIFS(F!$R$8:$R$62,"X04",F!$Q$8:$Q$62,"W"))</f>
        <v/>
      </c>
      <c r="G72" s="17" t="str">
        <f>IF(OR((COUNTA(F!$P$8:$P$62)=0),(COUNTA(F!$R$8:$R$62)=0)),"",COUNTIFS(F!$R$8:$R$62,"X05",F!$Q$8:$Q$62,"W"))</f>
        <v/>
      </c>
      <c r="H72" s="17" t="str">
        <f>IF(OR((COUNTA(F!$P$8:$P$62)=0),(COUNTA(F!$R$8:$R$62)=0)),"",COUNTIFS(F!$R$8:$R$62,"X06",F!$Q$8:$Q$62,"W"))</f>
        <v/>
      </c>
      <c r="I72" s="17" t="str">
        <f>IF(OR((COUNTA(F!$P$8:$P$62)=0),(COUNTA(F!$R$8:$R$62)=0)),"",COUNTIFS(F!$R$8:$R$62,"X07",F!$Q$8:$Q$62,"W"))</f>
        <v/>
      </c>
      <c r="J72" s="43" t="str">
        <f>IF(OR((COUNTA(F!$P$8:$P$62)=0),(COUNTA(F!$R$8:$R$62)=0)),"",COUNTIFS(F!$R$8:$R$62,"X08",F!$Q$8:$Q$62,"W"))</f>
        <v/>
      </c>
      <c r="K72" s="16" t="str">
        <f>IF(OR((COUNTA(F!$S$8:$S$62)=0),(COUNTA(F!$U$8:$U$62)=0)),"",COUNTIFS(F!$U$8:$U$62,"X09",F!$T$8:$T$62,"W"))</f>
        <v/>
      </c>
      <c r="L72" s="17" t="str">
        <f>IF(OR((COUNTA(F!$S$8:$S$62)=0),(COUNTA(F!$U$8:$U$62)=0)),"",COUNTIFS(F!$U$8:$U$62,"X10",F!$T$8:$T$62,"W"))</f>
        <v/>
      </c>
      <c r="M72" s="17" t="str">
        <f>IF(OR((COUNTA(F!$S$8:$S$62)=0),(COUNTA(F!$U$8:$U$62)=0)),"",COUNTIFS(F!$U$8:$U$62,"X11",F!$T$8:$T$62,"W"))</f>
        <v/>
      </c>
      <c r="N72" s="17" t="str">
        <f>IF(OR((COUNTA(F!$S$8:$S$62)=0),(COUNTA(F!$U$8:$U$62)=0)),"",COUNTIFS(F!$U$8:$U$62,"X12",F!$T$8:$T$62,"W"))</f>
        <v/>
      </c>
      <c r="O72" s="17" t="str">
        <f>IF(OR((COUNTA(F!$S$8:$S$62)=0),(COUNTA(F!$U$8:$U$62)=0)),"",COUNTIFS(F!$U$8:$U$62,"X13",F!$T$8:$T$62,"W"))</f>
        <v/>
      </c>
      <c r="P72" s="17" t="str">
        <f>IF(OR((COUNTA(F!$S$8:$S$62)=0),(COUNTA(F!$U$8:$U$62)=0)),"",COUNTIFS(F!$U$8:$U$62,"X14",F!$T$8:$T$62,"W"))</f>
        <v/>
      </c>
      <c r="Q72" s="17" t="str">
        <f>IF(OR((COUNTA(F!$S$8:$S$62)=0),(COUNTA(F!$U$8:$U$62)=0)),"",COUNTIFS(F!$U$8:$U$62,"X15",F!$T$8:$T$62,"W"))</f>
        <v/>
      </c>
      <c r="R72" s="43" t="str">
        <f>IF(OR((COUNTA(F!$S$8:$S$62)=0),(COUNTA(F!$U$8:$U$62)=0)),"",COUNTIFS(F!$U$8:$U$62,"X16",F!$T$8:$T$62,"W"))</f>
        <v/>
      </c>
      <c r="S72" s="16" t="str">
        <f>IF(OR((COUNTA(F!$V$8:$V$62)=0),(COUNTA(F!$X$8:$X$62)=0)),"",COUNTIFS(F!$X$8:$X$62,"X17",F!$W$8:$W$62,"W"))</f>
        <v/>
      </c>
      <c r="T72" s="17" t="str">
        <f>IF(OR((COUNTA(F!$V$8:$V$62)=0),(COUNTA(F!$X$8:$X$62)=0)),"",COUNTIFS(F!$X$8:$X$62,"X18",F!$W$8:$W$62,"W"))</f>
        <v/>
      </c>
      <c r="U72" s="17" t="str">
        <f>IF(OR((COUNTA(F!$V$8:$V$62)=0),(COUNTA(F!$X$8:$X$62)=0)),"",COUNTIFS(F!$X$8:$X$62,"X19",F!$W$8:$W$62,"W"))</f>
        <v/>
      </c>
      <c r="V72" s="17" t="str">
        <f>IF(OR((COUNTA(F!$V$8:$V$62)=0),(COUNTA(F!$X$8:$X$62)=0)),"",COUNTIFS(F!$X$8:$X$62,"X20",F!$W$8:$W$62,"W"))</f>
        <v/>
      </c>
      <c r="W72" s="17" t="str">
        <f>IF(OR((COUNTA(F!$V$8:$V$62)=0),(COUNTA(F!$X$8:$X$62)=0)),"",COUNTIFS(F!$X$8:$X$62,"X21",F!$W$8:$W$62,"W"))</f>
        <v/>
      </c>
      <c r="X72" s="17" t="str">
        <f>IF(OR((COUNTA(F!$V$8:$V$62)=0),(COUNTA(F!$X$8:$X$62)=0)),"",COUNTIFS(F!$X$8:$X$62,"X22",F!$W$8:$W$62,"W"))</f>
        <v/>
      </c>
      <c r="Y72" s="17" t="str">
        <f>IF(OR((COUNTA(F!$V$8:$V$62)=0),(COUNTA(F!$X$8:$X$62)=0)),"",COUNTIFS(F!$X$8:$X$62,"X23",F!$W$8:$W$62,"W"))</f>
        <v/>
      </c>
      <c r="Z72" s="43" t="str">
        <f>IF(OR((COUNTA(F!$V$8:$V$62)=0),(COUNTA(F!$X$8:$X$62)=0)),"",COUNTIFS(F!$X$8:$X$62,"X24",F!$W$8:$W$62,"W"))</f>
        <v/>
      </c>
    </row>
    <row r="73" spans="1:26" s="2" customFormat="1" ht="13.5" customHeight="1">
      <c r="A73" s="500"/>
      <c r="B73" s="31" t="s">
        <v>47</v>
      </c>
      <c r="C73" s="16" t="str">
        <f>IF(OR((COUNTA(F!$P$8:$P$62)=0),(COUNTA(F!$R$8:$R$62)=0)),"",COUNTIFS(F!$R$8:$R$62,"X01",F!$Q$8:$Q$62,"AB"))</f>
        <v/>
      </c>
      <c r="D73" s="17" t="str">
        <f>IF(OR((COUNTA(F!$P$8:$P$62)=0),(COUNTA(F!$R$8:$R$62)=0)),"",COUNTIFS(F!$R$8:$R$62,"X02",F!$Q$8:$Q$62,"AB"))</f>
        <v/>
      </c>
      <c r="E73" s="17" t="str">
        <f>IF(OR((COUNTA(F!$P$8:$P$62)=0),(COUNTA(F!$R$8:$R$62)=0)),"",COUNTIFS(F!$R$8:$R$62,"X03",F!$Q$8:$Q$62,"AB"))</f>
        <v/>
      </c>
      <c r="F73" s="17" t="str">
        <f>IF(OR((COUNTA(F!$P$8:$P$62)=0),(COUNTA(F!$R$8:$R$62)=0)),"",COUNTIFS(F!$R$8:$R$62,"X04",F!$Q$8:$Q$62,"AB"))</f>
        <v/>
      </c>
      <c r="G73" s="17" t="str">
        <f>IF(OR((COUNTA(F!$P$8:$P$62)=0),(COUNTA(F!$R$8:$R$62)=0)),"",COUNTIFS(F!$R$8:$R$62,"X05",F!$Q$8:$Q$62,"AB"))</f>
        <v/>
      </c>
      <c r="H73" s="17" t="str">
        <f>IF(OR((COUNTA(F!$P$8:$P$62)=0),(COUNTA(F!$R$8:$R$62)=0)),"",COUNTIFS(F!$R$8:$R$62,"X06",F!$Q$8:$Q$62,"AB"))</f>
        <v/>
      </c>
      <c r="I73" s="17" t="str">
        <f>IF(OR((COUNTA(F!$P$8:$P$62)=0),(COUNTA(F!$R$8:$R$62)=0)),"",COUNTIFS(F!$R$8:$R$62,"X07",F!$Q$8:$Q$62,"AB"))</f>
        <v/>
      </c>
      <c r="J73" s="43" t="str">
        <f>IF(OR((COUNTA(F!$P$8:$P$62)=0),(COUNTA(F!$R$8:$R$62)=0)),"",COUNTIFS(F!$R$8:$R$62,"X08",F!$Q$8:$Q$62,"AB"))</f>
        <v/>
      </c>
      <c r="K73" s="16" t="str">
        <f>IF(OR((COUNTA(F!$S$8:$S$62)=0),(COUNTA(F!$U$8:$U$62)=0)),"",COUNTIFS(F!$U$8:$U$62,"X09",F!$T$8:$T$62,"AB"))</f>
        <v/>
      </c>
      <c r="L73" s="17" t="str">
        <f>IF(OR((COUNTA(F!$S$8:$S$62)=0),(COUNTA(F!$U$8:$U$62)=0)),"",COUNTIFS(F!$U$8:$U$62,"X10",F!$T$8:$T$62,"AB"))</f>
        <v/>
      </c>
      <c r="M73" s="17" t="str">
        <f>IF(OR((COUNTA(F!$S$8:$S$62)=0),(COUNTA(F!$U$8:$U$62)=0)),"",COUNTIFS(F!$U$8:$U$62,"X11",F!$T$8:$T$62,"AB"))</f>
        <v/>
      </c>
      <c r="N73" s="17" t="str">
        <f>IF(OR((COUNTA(F!$S$8:$S$62)=0),(COUNTA(F!$U$8:$U$62)=0)),"",COUNTIFS(F!$U$8:$U$62,"X12",F!$T$8:$T$62,"AB"))</f>
        <v/>
      </c>
      <c r="O73" s="17" t="str">
        <f>IF(OR((COUNTA(F!$S$8:$S$62)=0),(COUNTA(F!$U$8:$U$62)=0)),"",COUNTIFS(F!$U$8:$U$62,"X13",F!$T$8:$T$62,"AB"))</f>
        <v/>
      </c>
      <c r="P73" s="17" t="str">
        <f>IF(OR((COUNTA(F!$S$8:$S$62)=0),(COUNTA(F!$U$8:$U$62)=0)),"",COUNTIFS(F!$U$8:$U$62,"X14",F!$T$8:$T$62,"AB"))</f>
        <v/>
      </c>
      <c r="Q73" s="17" t="str">
        <f>IF(OR((COUNTA(F!$S$8:$S$62)=0),(COUNTA(F!$U$8:$U$62)=0)),"",COUNTIFS(F!$U$8:$U$62,"X15",F!$T$8:$T$62,"AB"))</f>
        <v/>
      </c>
      <c r="R73" s="43" t="str">
        <f>IF(OR((COUNTA(F!$S$8:$S$62)=0),(COUNTA(F!$U$8:$U$62)=0)),"",COUNTIFS(F!$U$8:$U$62,"X16",F!$T$8:$T$62,"AB"))</f>
        <v/>
      </c>
      <c r="S73" s="16" t="str">
        <f>IF(OR((COUNTA(F!$V$8:$V$62)=0),(COUNTA(F!$X$8:$X$62)=0)),"",COUNTIFS(F!$X$8:$X$62,"X17",F!$W$8:$W$62,"AB"))</f>
        <v/>
      </c>
      <c r="T73" s="17" t="str">
        <f>IF(OR((COUNTA(F!$V$8:$V$62)=0),(COUNTA(F!$X$8:$X$62)=0)),"",COUNTIFS(F!$X$8:$X$62,"X18",F!$W$8:$W$62,"AB"))</f>
        <v/>
      </c>
      <c r="U73" s="17" t="str">
        <f>IF(OR((COUNTA(F!$V$8:$V$62)=0),(COUNTA(F!$X$8:$X$62)=0)),"",COUNTIFS(F!$X$8:$X$62,"X19",F!$W$8:$W$62,"AB"))</f>
        <v/>
      </c>
      <c r="V73" s="17" t="str">
        <f>IF(OR((COUNTA(F!$V$8:$V$62)=0),(COUNTA(F!$X$8:$X$62)=0)),"",COUNTIFS(F!$X$8:$X$62,"X20",F!$W$8:$W$62,"AB"))</f>
        <v/>
      </c>
      <c r="W73" s="17" t="str">
        <f>IF(OR((COUNTA(F!$V$8:$V$62)=0),(COUNTA(F!$X$8:$X$62)=0)),"",COUNTIFS(F!$X$8:$X$62,"X21",F!$W$8:$W$62,"AB"))</f>
        <v/>
      </c>
      <c r="X73" s="17" t="str">
        <f>IF(OR((COUNTA(F!$V$8:$V$62)=0),(COUNTA(F!$X$8:$X$62)=0)),"",COUNTIFS(F!$X$8:$X$62,"X22",F!$W$8:$W$62,"AB"))</f>
        <v/>
      </c>
      <c r="Y73" s="17" t="str">
        <f>IF(OR((COUNTA(F!$V$8:$V$62)=0),(COUNTA(F!$X$8:$X$62)=0)),"",COUNTIFS(F!$X$8:$X$62,"X23",F!$W$8:$W$62,"AB"))</f>
        <v/>
      </c>
      <c r="Z73" s="43" t="str">
        <f>IF(OR((COUNTA(F!$V$8:$V$62)=0),(COUNTA(F!$X$8:$X$62)=0)),"",COUNTIFS(F!$X$8:$X$62,"X24",F!$W$8:$W$62,"AB"))</f>
        <v/>
      </c>
    </row>
    <row r="74" spans="1:26" s="2" customFormat="1" ht="13.5" customHeight="1">
      <c r="A74" s="500"/>
      <c r="B74" s="32" t="s">
        <v>48</v>
      </c>
      <c r="C74" s="13" t="str">
        <f>IF(OR((COUNTA(F!$P$8:$P$62)=0),(COUNTA(F!$R$8:$R$62)=0)),"",COUNTIFS(F!$R$8:$R$62,"X01",F!$P$8:$P$62,"&lt;=39",F!$P$8:$P$62,"&gt;=30"))</f>
        <v/>
      </c>
      <c r="D74" s="14" t="str">
        <f>IF(OR((COUNTA(F!$P$8:$P$62)=0),(COUNTA(F!$R$8:$R$62)=0)),"",COUNTIFS(F!$R$8:$R$62,"X02",F!$P$8:$P$62,"&lt;=39",F!$P$8:$P$62,"&gt;=30"))</f>
        <v/>
      </c>
      <c r="E74" s="14" t="str">
        <f>IF(OR((COUNTA(F!$P$8:$P$62)=0),(COUNTA(F!$R$8:$R$62)=0)),"",COUNTIFS(F!$R$8:$R$62,"X03",F!$P$8:$P$62,"&lt;=39",F!$P$8:$P$62,"&gt;=30"))</f>
        <v/>
      </c>
      <c r="F74" s="14" t="str">
        <f>IF(OR((COUNTA(F!$P$8:$P$62)=0),(COUNTA(F!$R$8:$R$62)=0)),"",COUNTIFS(F!$R$8:$R$62,"X04",F!$P$8:$P$62,"&lt;=39",F!$P$8:$P$62,"&gt;=30"))</f>
        <v/>
      </c>
      <c r="G74" s="14" t="str">
        <f>IF(OR((COUNTA(F!$P$8:$P$62)=0),(COUNTA(F!$R$8:$R$62)=0)),"",COUNTIFS(F!$R$8:$R$62,"X05",F!$P$8:$P$62,"&lt;=39",F!$P$8:$P$62,"&gt;=30"))</f>
        <v/>
      </c>
      <c r="H74" s="14" t="str">
        <f>IF(OR((COUNTA(F!$P$8:$P$62)=0),(COUNTA(F!$R$8:$R$62)=0)),"",COUNTIFS(F!$R$8:$R$62,"X06",F!$P$8:$P$62,"&lt;=39",F!$P$8:$P$62,"&gt;=30"))</f>
        <v/>
      </c>
      <c r="I74" s="14" t="str">
        <f>IF(OR((COUNTA(F!$P$8:$P$62)=0),(COUNTA(F!$R$8:$R$62)=0)),"",COUNTIFS(F!$R$8:$R$62,"X07",F!$P$8:$P$62,"&lt;=39",F!$P$8:$P$62,"&gt;=30"))</f>
        <v/>
      </c>
      <c r="J74" s="42" t="str">
        <f>IF(OR((COUNTA(F!$P$8:$P$62)=0),(COUNTA(F!$R$8:$R$62)=0)),"",COUNTIFS(F!$R$8:$R$62,"X08",F!$P$8:$P$62,"&lt;=39",F!$P$8:$P$62,"&gt;=30"))</f>
        <v/>
      </c>
      <c r="K74" s="13" t="str">
        <f>IF(OR((COUNTA(F!$S$8:$S$62)=0),(COUNTA(F!$U$8:$U$62)=0)),"",COUNTIFS(F!$U$8:$U$62,"X09",F!$S$8:$S$62,"&lt;=39",F!$S$8:$S$62,"&gt;=30"))</f>
        <v/>
      </c>
      <c r="L74" s="14" t="str">
        <f>IF(OR((COUNTA(F!$S$8:$S$62)=0),(COUNTA(F!$U$8:$U$62)=0)),"",COUNTIFS(F!$U$8:$U$62,"X10",F!$S$8:$S$62,"&lt;=39",F!$S$8:$S$62,"&gt;=30"))</f>
        <v/>
      </c>
      <c r="M74" s="14" t="str">
        <f>IF(OR((COUNTA(F!$S$8:$S$62)=0),(COUNTA(F!$U$8:$U$62)=0)),"",COUNTIFS(F!$U$8:$U$62,"X11",F!$S$8:$S$62,"&lt;=39",F!$S$8:$S$62,"&gt;=30"))</f>
        <v/>
      </c>
      <c r="N74" s="14" t="str">
        <f>IF(OR((COUNTA(F!$S$8:$S$62)=0),(COUNTA(F!$U$8:$U$62)=0)),"",COUNTIFS(F!$U$8:$U$62,"X12",F!$S$8:$S$62,"&lt;=39",F!$S$8:$S$62,"&gt;=30"))</f>
        <v/>
      </c>
      <c r="O74" s="14" t="str">
        <f>IF(OR((COUNTA(F!$S$8:$S$62)=0),(COUNTA(F!$U$8:$U$62)=0)),"",COUNTIFS(F!$U$8:$U$62,"X13",F!$S$8:$S$62,"&lt;=39",F!$S$8:$S$62,"&gt;=30"))</f>
        <v/>
      </c>
      <c r="P74" s="14" t="str">
        <f>IF(OR((COUNTA(F!$S$8:$S$62)=0),(COUNTA(F!$U$8:$U$62)=0)),"",COUNTIFS(F!$U$8:$U$62,"X14",F!$S$8:$S$62,"&lt;=39",F!$S$8:$S$62,"&gt;=30"))</f>
        <v/>
      </c>
      <c r="Q74" s="14" t="str">
        <f>IF(OR((COUNTA(F!$S$8:$S$62)=0),(COUNTA(F!$U$8:$U$62)=0)),"",COUNTIFS(F!$U$8:$U$62,"X15",F!$S$8:$S$62,"&lt;=39",F!$S$8:$S$62,"&gt;=30"))</f>
        <v/>
      </c>
      <c r="R74" s="42" t="str">
        <f>IF(OR((COUNTA(F!$S$8:$S$62)=0),(COUNTA(F!$U$8:$U$62)=0)),"",COUNTIFS(F!$U$8:$U$62,"X16",F!$S$8:$S$62,"&lt;=39",F!$S$8:$S$62,"&gt;=30"))</f>
        <v/>
      </c>
      <c r="S74" s="13" t="str">
        <f>IF(OR((COUNTA(F!$V$8:$V$62)=0),(COUNTA(F!$X$8:$X$62)=0)),"",COUNTIFS(F!$X$8:$X$62,"X17",F!$V$8:$V$62,"&lt;=39",F!$V$8:$V$62,"&gt;=30"))</f>
        <v/>
      </c>
      <c r="T74" s="14" t="str">
        <f>IF(OR((COUNTA(F!$V$8:$V$62)=0),(COUNTA(F!$X$8:$X$62)=0)),"",COUNTIFS(F!$X$8:$X$62,"X18",F!$V$8:$V$62,"&lt;=39",F!$V$8:$V$62,"&gt;=30"))</f>
        <v/>
      </c>
      <c r="U74" s="14" t="str">
        <f>IF(OR((COUNTA(F!$V$8:$V$62)=0),(COUNTA(F!$X$8:$X$62)=0)),"",COUNTIFS(F!$X$8:$X$62,"X19",F!$V$8:$V$62,"&lt;=39",F!$V$8:$V$62,"&gt;=30"))</f>
        <v/>
      </c>
      <c r="V74" s="14" t="str">
        <f>IF(OR((COUNTA(F!$V$8:$V$62)=0),(COUNTA(F!$X$8:$X$62)=0)),"",COUNTIFS(F!$X$8:$X$62,"X20",F!$V$8:$V$62,"&lt;=39",F!$V$8:$V$62,"&gt;=30"))</f>
        <v/>
      </c>
      <c r="W74" s="14" t="str">
        <f>IF(OR((COUNTA(F!$V$8:$V$62)=0),(COUNTA(F!$X$8:$X$62)=0)),"",COUNTIFS(F!$X$8:$X$62,"X21",F!$V$8:$V$62,"&lt;=39",F!$V$8:$V$62,"&gt;=30"))</f>
        <v/>
      </c>
      <c r="X74" s="14" t="str">
        <f>IF(OR((COUNTA(F!$V$8:$V$62)=0),(COUNTA(F!$X$8:$X$62)=0)),"",COUNTIFS(F!$X$8:$X$62,"X22",F!$V$8:$V$62,"&lt;=39",F!$V$8:$V$62,"&gt;=30"))</f>
        <v/>
      </c>
      <c r="Y74" s="14" t="str">
        <f>IF(OR((COUNTA(F!$V$8:$V$62)=0),(COUNTA(F!$X$8:$X$62)=0)),"",COUNTIFS(F!$X$8:$X$62,"X23",F!$V$8:$V$62,"&lt;=39",F!$V$8:$V$62,"&gt;=30"))</f>
        <v/>
      </c>
      <c r="Z74" s="42" t="str">
        <f>IF(OR((COUNTA(F!$V$8:$V$62)=0),(COUNTA(F!$X$8:$X$62)=0)),"",COUNTIFS(F!$X$8:$X$62,"X24",F!$V$8:$V$62,"&lt;=39",F!$V$8:$V$62,"&gt;=30"))</f>
        <v/>
      </c>
    </row>
    <row r="75" spans="1:26" s="2" customFormat="1" ht="13.5" customHeight="1">
      <c r="A75" s="500"/>
      <c r="B75" s="32" t="s">
        <v>51</v>
      </c>
      <c r="C75" s="13" t="str">
        <f>IF(OR((COUNTA(F!$P$8:$P$62)=0),(COUNTA(F!$R$8:$R$62)=0)),"",COUNTIFS(F!$R$8:$R$62,"X01",F!$P$8:$P$62,"&lt;=29",F!$P$8:$P$62,"&gt;=20"))</f>
        <v/>
      </c>
      <c r="D75" s="14" t="str">
        <f>IF(OR((COUNTA(F!$P$8:$P$62)=0),(COUNTA(F!$R$8:$R$62)=0)),"",COUNTIFS(F!$R$8:$R$62,"X02",F!$P$8:$P$62,"&lt;=29",F!$P$8:$P$62,"&gt;=20"))</f>
        <v/>
      </c>
      <c r="E75" s="14" t="str">
        <f>IF(OR((COUNTA(F!$P$8:$P$62)=0),(COUNTA(F!$R$8:$R$62)=0)),"",COUNTIFS(F!$R$8:$R$62,"X03",F!$P$8:$P$62,"&lt;=29",F!$P$8:$P$62,"&gt;=20"))</f>
        <v/>
      </c>
      <c r="F75" s="14" t="str">
        <f>IF(OR((COUNTA(F!$P$8:$P$62)=0),(COUNTA(F!$R$8:$R$62)=0)),"",COUNTIFS(F!$R$8:$R$62,"X04",F!$P$8:$P$62,"&lt;=29",F!$P$8:$P$62,"&gt;=20"))</f>
        <v/>
      </c>
      <c r="G75" s="14" t="str">
        <f>IF(OR((COUNTA(F!$P$8:$P$62)=0),(COUNTA(F!$R$8:$R$62)=0)),"",COUNTIFS(F!$R$8:$R$62,"X05",F!$P$8:$P$62,"&lt;=29",F!$P$8:$P$62,"&gt;=20"))</f>
        <v/>
      </c>
      <c r="H75" s="14" t="str">
        <f>IF(OR((COUNTA(F!$P$8:$P$62)=0),(COUNTA(F!$R$8:$R$62)=0)),"",COUNTIFS(F!$R$8:$R$62,"X06",F!$P$8:$P$62,"&lt;=29",F!$P$8:$P$62,"&gt;=20"))</f>
        <v/>
      </c>
      <c r="I75" s="14" t="str">
        <f>IF(OR((COUNTA(F!$P$8:$P$62)=0),(COUNTA(F!$R$8:$R$62)=0)),"",COUNTIFS(F!$R$8:$R$62,"X07",F!$P$8:$P$62,"&lt;=29",F!$P$8:$P$62,"&gt;=20"))</f>
        <v/>
      </c>
      <c r="J75" s="42" t="str">
        <f>IF(OR((COUNTA(F!$P$8:$P$62)=0),(COUNTA(F!$R$8:$R$62)=0)),"",COUNTIFS(F!$R$8:$R$62,"X08",F!$P$8:$P$62,"&lt;=29",F!$P$8:$P$62,"&gt;=20"))</f>
        <v/>
      </c>
      <c r="K75" s="13" t="str">
        <f>IF(OR((COUNTA(F!$S$8:$S$62)=0),(COUNTA(F!$U$8:$U$62)=0)),"",COUNTIFS(F!$U$8:$U$62,"X09",F!$S$8:$S$62,"&lt;=29",F!$S$8:$S$62,"&gt;=20"))</f>
        <v/>
      </c>
      <c r="L75" s="14" t="str">
        <f>IF(OR((COUNTA(F!$S$8:$S$62)=0),(COUNTA(F!$U$8:$U$62)=0)),"",COUNTIFS(F!$U$8:$U$62,"X10",F!$S$8:$S$62,"&lt;=29",F!$S$8:$S$62,"&gt;=20"))</f>
        <v/>
      </c>
      <c r="M75" s="14" t="str">
        <f>IF(OR((COUNTA(F!$S$8:$S$62)=0),(COUNTA(F!$U$8:$U$62)=0)),"",COUNTIFS(F!$U$8:$U$62,"X11",F!$S$8:$S$62,"&lt;=29",F!$S$8:$S$62,"&gt;=20"))</f>
        <v/>
      </c>
      <c r="N75" s="14" t="str">
        <f>IF(OR((COUNTA(F!$S$8:$S$62)=0),(COUNTA(F!$U$8:$U$62)=0)),"",COUNTIFS(F!$U$8:$U$62,"X12",F!$S$8:$S$62,"&lt;=29",F!$S$8:$S$62,"&gt;=20"))</f>
        <v/>
      </c>
      <c r="O75" s="14" t="str">
        <f>IF(OR((COUNTA(F!$S$8:$S$62)=0),(COUNTA(F!$U$8:$U$62)=0)),"",COUNTIFS(F!$U$8:$U$62,"X13",F!$S$8:$S$62,"&lt;=29",F!$S$8:$S$62,"&gt;=20"))</f>
        <v/>
      </c>
      <c r="P75" s="14" t="str">
        <f>IF(OR((COUNTA(F!$S$8:$S$62)=0),(COUNTA(F!$U$8:$U$62)=0)),"",COUNTIFS(F!$U$8:$U$62,"X14",F!$S$8:$S$62,"&lt;=29",F!$S$8:$S$62,"&gt;=20"))</f>
        <v/>
      </c>
      <c r="Q75" s="14" t="str">
        <f>IF(OR((COUNTA(F!$S$8:$S$62)=0),(COUNTA(F!$U$8:$U$62)=0)),"",COUNTIFS(F!$U$8:$U$62,"X15",F!$S$8:$S$62,"&lt;=29",F!$S$8:$S$62,"&gt;=20"))</f>
        <v/>
      </c>
      <c r="R75" s="42" t="str">
        <f>IF(OR((COUNTA(F!$S$8:$S$62)=0),(COUNTA(F!$U$8:$U$62)=0)),"",COUNTIFS(F!$U$8:$U$62,"X16",F!$S$8:$S$62,"&lt;=29",F!$S$8:$S$62,"&gt;=20"))</f>
        <v/>
      </c>
      <c r="S75" s="13" t="str">
        <f>IF(OR((COUNTA(F!$V$8:$V$62)=0),(COUNTA(F!$X$8:$X$62)=0)),"",COUNTIFS(F!$X$8:$X$62,"X17",F!$V$8:$V$62,"&lt;=29",F!$V$8:$V$62,"&gt;=20"))</f>
        <v/>
      </c>
      <c r="T75" s="14" t="str">
        <f>IF(OR((COUNTA(F!$V$8:$V$62)=0),(COUNTA(F!$X$8:$X$62)=0)),"",COUNTIFS(F!$X$8:$X$62,"X18",F!$V$8:$V$62,"&lt;=29",F!$V$8:$V$62,"&gt;=20"))</f>
        <v/>
      </c>
      <c r="U75" s="14" t="str">
        <f>IF(OR((COUNTA(F!$V$8:$V$62)=0),(COUNTA(F!$X$8:$X$62)=0)),"",COUNTIFS(F!$X$8:$X$62,"X19",F!$V$8:$V$62,"&lt;=29",F!$V$8:$V$62,"&gt;=20"))</f>
        <v/>
      </c>
      <c r="V75" s="14" t="str">
        <f>IF(OR((COUNTA(F!$V$8:$V$62)=0),(COUNTA(F!$X$8:$X$62)=0)),"",COUNTIFS(F!$X$8:$X$62,"X20",F!$V$8:$V$62,"&lt;=29",F!$V$8:$V$62,"&gt;=20"))</f>
        <v/>
      </c>
      <c r="W75" s="14" t="str">
        <f>IF(OR((COUNTA(F!$V$8:$V$62)=0),(COUNTA(F!$X$8:$X$62)=0)),"",COUNTIFS(F!$X$8:$X$62,"X21",F!$V$8:$V$62,"&lt;=29",F!$V$8:$V$62,"&gt;=20"))</f>
        <v/>
      </c>
      <c r="X75" s="14" t="str">
        <f>IF(OR((COUNTA(F!$V$8:$V$62)=0),(COUNTA(F!$X$8:$X$62)=0)),"",COUNTIFS(F!$X$8:$X$62,"X22",F!$V$8:$V$62,"&lt;=29",F!$V$8:$V$62,"&gt;=20"))</f>
        <v/>
      </c>
      <c r="Y75" s="14" t="str">
        <f>IF(OR((COUNTA(F!$V$8:$V$62)=0),(COUNTA(F!$X$8:$X$62)=0)),"",COUNTIFS(F!$X$8:$X$62,"X23",F!$V$8:$V$62,"&lt;=29",F!$V$8:$V$62,"&gt;=20"))</f>
        <v/>
      </c>
      <c r="Z75" s="42" t="str">
        <f>IF(OR((COUNTA(F!$V$8:$V$62)=0),(COUNTA(F!$X$8:$X$62)=0)),"",COUNTIFS(F!$X$8:$X$62,"X24",F!$V$8:$V$62,"&lt;=29",F!$V$8:$V$62,"&gt;=20"))</f>
        <v/>
      </c>
    </row>
    <row r="76" spans="1:26" s="2" customFormat="1" ht="13.5" customHeight="1">
      <c r="A76" s="500"/>
      <c r="B76" s="33" t="s">
        <v>52</v>
      </c>
      <c r="C76" s="16" t="str">
        <f>IF(OR((COUNTA(F!$P$8:$P$62)=0),(COUNTA(F!$R$8:$R$62)=0)),"",COUNTIFS(F!$R$8:$R$62,"X01",F!$P$8:$P$62,"&lt;=19",F!$P$8:$P$62,"&gt;=10"))</f>
        <v/>
      </c>
      <c r="D76" s="17" t="str">
        <f>IF(OR((COUNTA(F!$P$8:$P$62)=0),(COUNTA(F!$R$8:$R$62)=0)),"",COUNTIFS(F!$R$8:$R$62,"X02",F!$P$8:$P$62,"&lt;=19",F!$P$8:$P$62,"&gt;=10"))</f>
        <v/>
      </c>
      <c r="E76" s="17" t="str">
        <f>IF(OR((COUNTA(F!$P$8:$P$62)=0),(COUNTA(F!$R$8:$R$62)=0)),"",COUNTIFS(F!$R$8:$R$62,"X03",F!$P$8:$P$62,"&lt;=19",F!$P$8:$P$62,"&gt;=10"))</f>
        <v/>
      </c>
      <c r="F76" s="17" t="str">
        <f>IF(OR((COUNTA(F!$P$8:$P$62)=0),(COUNTA(F!$R$8:$R$62)=0)),"",COUNTIFS(F!$R$8:$R$62,"X04",F!$P$8:$P$62,"&lt;=19",F!$P$8:$P$62,"&gt;=10"))</f>
        <v/>
      </c>
      <c r="G76" s="17" t="str">
        <f>IF(OR((COUNTA(F!$P$8:$P$62)=0),(COUNTA(F!$R$8:$R$62)=0)),"",COUNTIFS(F!$R$8:$R$62,"X05",F!$P$8:$P$62,"&lt;=19",F!$P$8:$P$62,"&gt;=10"))</f>
        <v/>
      </c>
      <c r="H76" s="17" t="str">
        <f>IF(OR((COUNTA(F!$P$8:$P$62)=0),(COUNTA(F!$R$8:$R$62)=0)),"",COUNTIFS(F!$R$8:$R$62,"X06",F!$P$8:$P$62,"&lt;=19",F!$P$8:$P$62,"&gt;=10"))</f>
        <v/>
      </c>
      <c r="I76" s="17" t="str">
        <f>IF(OR((COUNTA(F!$P$8:$P$62)=0),(COUNTA(F!$R$8:$R$62)=0)),"",COUNTIFS(F!$R$8:$R$62,"X07",F!$P$8:$P$62,"&lt;=19",F!$P$8:$P$62,"&gt;=10"))</f>
        <v/>
      </c>
      <c r="J76" s="43" t="str">
        <f>IF(OR((COUNTA(F!$P$8:$P$62)=0),(COUNTA(F!$R$8:$R$62)=0)),"",COUNTIFS(F!$R$8:$R$62,"X08",F!$P$8:$P$62,"&lt;=19",F!$P$8:$P$62,"&gt;=10"))</f>
        <v/>
      </c>
      <c r="K76" s="16" t="str">
        <f>IF(OR((COUNTA(F!$S$8:$S$62)=0),(COUNTA(F!$U$8:$U$62)=0)),"",COUNTIFS(F!$U$8:$U$62,"X09",F!$S$8:$S$62,"&lt;=19",F!$S$8:$S$62,"&gt;=10"))</f>
        <v/>
      </c>
      <c r="L76" s="17" t="str">
        <f>IF(OR((COUNTA(F!$S$8:$S$62)=0),(COUNTA(F!$U$8:$U$62)=0)),"",COUNTIFS(F!$U$8:$U$62,"X10",F!$S$8:$S$62,"&lt;=19",F!$S$8:$S$62,"&gt;=10"))</f>
        <v/>
      </c>
      <c r="M76" s="17" t="str">
        <f>IF(OR((COUNTA(F!$S$8:$S$62)=0),(COUNTA(F!$U$8:$U$62)=0)),"",COUNTIFS(F!$U$8:$U$62,"X11",F!$S$8:$S$62,"&lt;=19",F!$S$8:$S$62,"&gt;=10"))</f>
        <v/>
      </c>
      <c r="N76" s="17" t="str">
        <f>IF(OR((COUNTA(F!$S$8:$S$62)=0),(COUNTA(F!$U$8:$U$62)=0)),"",COUNTIFS(F!$U$8:$U$62,"X12",F!$S$8:$S$62,"&lt;=19",F!$S$8:$S$62,"&gt;=10"))</f>
        <v/>
      </c>
      <c r="O76" s="17" t="str">
        <f>IF(OR((COUNTA(F!$S$8:$S$62)=0),(COUNTA(F!$U$8:$U$62)=0)),"",COUNTIFS(F!$U$8:$U$62,"X13",F!$S$8:$S$62,"&lt;=19",F!$S$8:$S$62,"&gt;=10"))</f>
        <v/>
      </c>
      <c r="P76" s="17" t="str">
        <f>IF(OR((COUNTA(F!$S$8:$S$62)=0),(COUNTA(F!$U$8:$U$62)=0)),"",COUNTIFS(F!$U$8:$U$62,"X14",F!$S$8:$S$62,"&lt;=19",F!$S$8:$S$62,"&gt;=10"))</f>
        <v/>
      </c>
      <c r="Q76" s="17" t="str">
        <f>IF(OR((COUNTA(F!$S$8:$S$62)=0),(COUNTA(F!$U$8:$U$62)=0)),"",COUNTIFS(F!$U$8:$U$62,"X15",F!$S$8:$S$62,"&lt;=19",F!$S$8:$S$62,"&gt;=10"))</f>
        <v/>
      </c>
      <c r="R76" s="43" t="str">
        <f>IF(OR((COUNTA(F!$S$8:$S$62)=0),(COUNTA(F!$U$8:$U$62)=0)),"",COUNTIFS(F!$U$8:$U$62,"X16",F!$S$8:$S$62,"&lt;=19",F!$S$8:$S$62,"&gt;=10"))</f>
        <v/>
      </c>
      <c r="S76" s="16" t="str">
        <f>IF(OR((COUNTA(F!$V$8:$V$62)=0),(COUNTA(F!$X$8:$X$62)=0)),"",COUNTIFS(F!$X$8:$X$62,"X17",F!$V$8:$V$62,"&lt;=19",F!$V$8:$V$62,"&gt;=10"))</f>
        <v/>
      </c>
      <c r="T76" s="17" t="str">
        <f>IF(OR((COUNTA(F!$V$8:$V$62)=0),(COUNTA(F!$X$8:$X$62)=0)),"",COUNTIFS(F!$X$8:$X$62,"X18",F!$V$8:$V$62,"&lt;=19",F!$V$8:$V$62,"&gt;=10"))</f>
        <v/>
      </c>
      <c r="U76" s="17" t="str">
        <f>IF(OR((COUNTA(F!$V$8:$V$62)=0),(COUNTA(F!$X$8:$X$62)=0)),"",COUNTIFS(F!$X$8:$X$62,"X19",F!$V$8:$V$62,"&lt;=19",F!$V$8:$V$62,"&gt;=10"))</f>
        <v/>
      </c>
      <c r="V76" s="17" t="str">
        <f>IF(OR((COUNTA(F!$V$8:$V$62)=0),(COUNTA(F!$X$8:$X$62)=0)),"",COUNTIFS(F!$X$8:$X$62,"X20",F!$V$8:$V$62,"&lt;=19",F!$V$8:$V$62,"&gt;=10"))</f>
        <v/>
      </c>
      <c r="W76" s="17" t="str">
        <f>IF(OR((COUNTA(F!$V$8:$V$62)=0),(COUNTA(F!$X$8:$X$62)=0)),"",COUNTIFS(F!$X$8:$X$62,"X21",F!$V$8:$V$62,"&lt;=19",F!$V$8:$V$62,"&gt;=10"))</f>
        <v/>
      </c>
      <c r="X76" s="17" t="str">
        <f>IF(OR((COUNTA(F!$V$8:$V$62)=0),(COUNTA(F!$X$8:$X$62)=0)),"",COUNTIFS(F!$X$8:$X$62,"X22",F!$V$8:$V$62,"&lt;=19",F!$V$8:$V$62,"&gt;=10"))</f>
        <v/>
      </c>
      <c r="Y76" s="17" t="str">
        <f>IF(OR((COUNTA(F!$V$8:$V$62)=0),(COUNTA(F!$X$8:$X$62)=0)),"",COUNTIFS(F!$X$8:$X$62,"X23",F!$V$8:$V$62,"&lt;=19",F!$V$8:$V$62,"&gt;=10"))</f>
        <v/>
      </c>
      <c r="Z76" s="43" t="str">
        <f>IF(OR((COUNTA(F!$V$8:$V$62)=0),(COUNTA(F!$X$8:$X$62)=0)),"",COUNTIFS(F!$X$8:$X$62,"X24",F!$V$8:$V$62,"&lt;=19",F!$V$8:$V$62,"&gt;=10"))</f>
        <v/>
      </c>
    </row>
    <row r="77" spans="1:26" s="2" customFormat="1" ht="13.5" customHeight="1">
      <c r="A77" s="501"/>
      <c r="B77" s="34" t="s">
        <v>55</v>
      </c>
      <c r="C77" s="21" t="str">
        <f>IF(OR((COUNTA(F!$P$8:$P$62)=0),(COUNTA(F!$R$8:$R$62)=0)),"",COUNTIFS(F!$R$8:$R$62,"X01",F!$P$8:$P$62,"&lt;=9"))</f>
        <v/>
      </c>
      <c r="D77" s="22" t="str">
        <f>IF(OR((COUNTA(F!$P$8:$P$62)=0),(COUNTA(F!$R$8:$R$62)=0)),"",COUNTIFS(F!$R$8:$R$62,"X02",F!$P$8:$P$62,"&lt;=9"))</f>
        <v/>
      </c>
      <c r="E77" s="22" t="str">
        <f>IF(OR((COUNTA(F!$P$8:$P$62)=0),(COUNTA(F!$R$8:$R$62)=0)),"",COUNTIFS(F!$R$8:$R$62,"X03",F!$P$8:$P$62,"&lt;=9"))</f>
        <v/>
      </c>
      <c r="F77" s="22" t="str">
        <f>IF(OR((COUNTA(F!$P$8:$P$62)=0),(COUNTA(F!$R$8:$R$62)=0)),"",COUNTIFS(F!$R$8:$R$62,"X04",F!$P$8:$P$62,"&lt;=9"))</f>
        <v/>
      </c>
      <c r="G77" s="22" t="str">
        <f>IF(OR((COUNTA(F!$P$8:$P$62)=0),(COUNTA(F!$R$8:$R$62)=0)),"",COUNTIFS(F!$R$8:$R$62,"X05",F!$P$8:$P$62,"&lt;=9"))</f>
        <v/>
      </c>
      <c r="H77" s="22" t="str">
        <f>IF(OR((COUNTA(F!$P$8:$P$62)=0),(COUNTA(F!$R$8:$R$62)=0)),"",COUNTIFS(F!$R$8:$R$62,"X06",F!$P$8:$P$62,"&lt;=9"))</f>
        <v/>
      </c>
      <c r="I77" s="22" t="str">
        <f>IF(OR((COUNTA(F!$P$8:$P$62)=0),(COUNTA(F!$R$8:$R$62)=0)),"",COUNTIFS(F!$R$8:$R$62,"X07",F!$P$8:$P$62,"&lt;=9"))</f>
        <v/>
      </c>
      <c r="J77" s="44" t="str">
        <f>IF(OR((COUNTA(F!$P$8:$P$62)=0),(COUNTA(F!$R$8:$R$62)=0)),"",COUNTIFS(F!$R$8:$R$62,"X08",F!$P$8:$P$62,"&lt;=9"))</f>
        <v/>
      </c>
      <c r="K77" s="21" t="str">
        <f>IF(OR((COUNTA(F!$S$8:$S$62)=0),(COUNTA(F!$U$8:$U$62)=0)),"",COUNTIFS(F!$U$8:$U$62,"X09",F!$S$8:$S$62,"&lt;=9"))</f>
        <v/>
      </c>
      <c r="L77" s="22" t="str">
        <f>IF(OR((COUNTA(F!$S$8:$S$62)=0),(COUNTA(F!$U$8:$U$62)=0)),"",COUNTIFS(F!$U$8:$U$62,"X10",F!$S$8:$S$62,"&lt;=9"))</f>
        <v/>
      </c>
      <c r="M77" s="22" t="str">
        <f>IF(OR((COUNTA(F!$S$8:$S$62)=0),(COUNTA(F!$U$8:$U$62)=0)),"",COUNTIFS(F!$U$8:$U$62,"X11",F!$S$8:$S$62,"&lt;=9"))</f>
        <v/>
      </c>
      <c r="N77" s="22" t="str">
        <f>IF(OR((COUNTA(F!$S$8:$S$62)=0),(COUNTA(F!$U$8:$U$62)=0)),"",COUNTIFS(F!$U$8:$U$62,"X12",F!$S$8:$S$62,"&lt;=9"))</f>
        <v/>
      </c>
      <c r="O77" s="22" t="str">
        <f>IF(OR((COUNTA(F!$S$8:$S$62)=0),(COUNTA(F!$U$8:$U$62)=0)),"",COUNTIFS(F!$U$8:$U$62,"X13",F!$S$8:$S$62,"&lt;=9"))</f>
        <v/>
      </c>
      <c r="P77" s="22" t="str">
        <f>IF(OR((COUNTA(F!$S$8:$S$62)=0),(COUNTA(F!$U$8:$U$62)=0)),"",COUNTIFS(F!$U$8:$U$62,"X14",F!$S$8:$S$62,"&lt;=9"))</f>
        <v/>
      </c>
      <c r="Q77" s="22" t="str">
        <f>IF(OR((COUNTA(F!$S$8:$S$62)=0),(COUNTA(F!$U$8:$U$62)=0)),"",COUNTIFS(F!$U$8:$U$62,"X15",F!$S$8:$S$62,"&lt;=9"))</f>
        <v/>
      </c>
      <c r="R77" s="44" t="str">
        <f>IF(OR((COUNTA(F!$S$8:$S$62)=0),(COUNTA(F!$U$8:$U$62)=0)),"",COUNTIFS(F!$U$8:$U$62,"X16",F!$S$8:$S$62,"&lt;=9"))</f>
        <v/>
      </c>
      <c r="S77" s="21" t="str">
        <f>IF(OR((COUNTA(F!$V$8:$V$62)=0),(COUNTA(F!$X$8:$X$62)=0)),"",COUNTIFS(F!$X$8:$X$62,"X17",F!$V$8:$V$62,"&lt;=9"))</f>
        <v/>
      </c>
      <c r="T77" s="22" t="str">
        <f>IF(OR((COUNTA(F!$V$8:$V$62)=0),(COUNTA(F!$X$8:$X$62)=0)),"",COUNTIFS(F!$X$8:$X$62,"X18",F!$V$8:$V$62,"&lt;=9"))</f>
        <v/>
      </c>
      <c r="U77" s="22" t="str">
        <f>IF(OR((COUNTA(F!$V$8:$V$62)=0),(COUNTA(F!$X$8:$X$62)=0)),"",COUNTIFS(F!$X$8:$X$62,"X19",F!$V$8:$V$62,"&lt;=9"))</f>
        <v/>
      </c>
      <c r="V77" s="22" t="str">
        <f>IF(OR((COUNTA(F!$V$8:$V$62)=0),(COUNTA(F!$X$8:$X$62)=0)),"",COUNTIFS(F!$X$8:$X$62,"X20",F!$V$8:$V$62,"&lt;=9"))</f>
        <v/>
      </c>
      <c r="W77" s="22" t="str">
        <f>IF(OR((COUNTA(F!$V$8:$V$62)=0),(COUNTA(F!$X$8:$X$62)=0)),"",COUNTIFS(F!$X$8:$X$62,"X21",F!$V$8:$V$62,"&lt;=9"))</f>
        <v/>
      </c>
      <c r="X77" s="22" t="str">
        <f>IF(OR((COUNTA(F!$V$8:$V$62)=0),(COUNTA(F!$X$8:$X$62)=0)),"",COUNTIFS(F!$X$8:$X$62,"X22",F!$V$8:$V$62,"&lt;=9"))</f>
        <v/>
      </c>
      <c r="Y77" s="22" t="str">
        <f>IF(OR((COUNTA(F!$V$8:$V$62)=0),(COUNTA(F!$X$8:$X$62)=0)),"",COUNTIFS(F!$X$8:$X$62,"X23",F!$V$8:$V$62,"&lt;=9"))</f>
        <v/>
      </c>
      <c r="Z77" s="44" t="str">
        <f>IF(OR((COUNTA(F!$V$8:$V$62)=0),(COUNTA(F!$X$8:$X$62)=0)),"",COUNTIFS(F!$X$8:$X$62,"X24",F!$V$8:$V$62,"&lt;=9"))</f>
        <v/>
      </c>
    </row>
    <row r="78" spans="1:26" s="2" customFormat="1" ht="13.5" customHeight="1">
      <c r="A78" s="497" t="s">
        <v>174</v>
      </c>
      <c r="B78" s="35" t="s">
        <v>33</v>
      </c>
      <c r="C78" s="24" t="str">
        <f>IF(AND(C68="",C69="",C70="",C71="",C72="",C73="",C74="",C75="",C76="",C77=""),"",(SUM(C68:C71,C74,C75)))</f>
        <v/>
      </c>
      <c r="D78" s="25" t="str">
        <f t="shared" ref="D78" si="186">IF(AND(D68="",D69="",D70="",D71="",D72="",D73="",D74="",D75="",D76="",D77=""),"",(SUM(D68:D71,D74,D75)))</f>
        <v/>
      </c>
      <c r="E78" s="25" t="str">
        <f t="shared" ref="E78" si="187">IF(AND(E68="",E69="",E70="",E71="",E72="",E73="",E74="",E75="",E76="",E77=""),"",(SUM(E68:E71,E74,E75)))</f>
        <v/>
      </c>
      <c r="F78" s="25" t="str">
        <f t="shared" ref="F78" si="188">IF(AND(F68="",F69="",F70="",F71="",F72="",F73="",F74="",F75="",F76="",F77=""),"",(SUM(F68:F71,F74,F75)))</f>
        <v/>
      </c>
      <c r="G78" s="25" t="str">
        <f t="shared" ref="G78" si="189">IF(AND(G68="",G69="",G70="",G71="",G72="",G73="",G74="",G75="",G76="",G77=""),"",(SUM(G68:G71,G74,G75)))</f>
        <v/>
      </c>
      <c r="H78" s="25" t="str">
        <f t="shared" ref="H78" si="190">IF(AND(H68="",H69="",H70="",H71="",H72="",H73="",H74="",H75="",H76="",H77=""),"",(SUM(H68:H71,H74,H75)))</f>
        <v/>
      </c>
      <c r="I78" s="25" t="str">
        <f t="shared" ref="I78" si="191">IF(AND(I68="",I69="",I70="",I71="",I72="",I73="",I74="",I75="",I76="",I77=""),"",(SUM(I68:I71,I74,I75)))</f>
        <v/>
      </c>
      <c r="J78" s="45" t="str">
        <f t="shared" ref="J78" si="192">IF(AND(J68="",J69="",J70="",J71="",J72="",J73="",J74="",J75="",J76="",J77=""),"",(SUM(J68:J71,J74,J75)))</f>
        <v/>
      </c>
      <c r="K78" s="24" t="str">
        <f t="shared" ref="K78" si="193">IF(AND(K68="",K69="",K70="",K71="",K72="",K73="",K74="",K75="",K76="",K77=""),"",(SUM(K68:K71,K74,K75)))</f>
        <v/>
      </c>
      <c r="L78" s="25" t="str">
        <f t="shared" ref="L78" si="194">IF(AND(L68="",L69="",L70="",L71="",L72="",L73="",L74="",L75="",L76="",L77=""),"",(SUM(L68:L71,L74,L75)))</f>
        <v/>
      </c>
      <c r="M78" s="25" t="str">
        <f t="shared" ref="M78" si="195">IF(AND(M68="",M69="",M70="",M71="",M72="",M73="",M74="",M75="",M76="",M77=""),"",(SUM(M68:M71,M74,M75)))</f>
        <v/>
      </c>
      <c r="N78" s="25" t="str">
        <f t="shared" ref="N78" si="196">IF(AND(N68="",N69="",N70="",N71="",N72="",N73="",N74="",N75="",N76="",N77=""),"",(SUM(N68:N71,N74,N75)))</f>
        <v/>
      </c>
      <c r="O78" s="25" t="str">
        <f t="shared" ref="O78" si="197">IF(AND(O68="",O69="",O70="",O71="",O72="",O73="",O74="",O75="",O76="",O77=""),"",(SUM(O68:O71,O74,O75)))</f>
        <v/>
      </c>
      <c r="P78" s="25" t="str">
        <f t="shared" ref="P78" si="198">IF(AND(P68="",P69="",P70="",P71="",P72="",P73="",P74="",P75="",P76="",P77=""),"",(SUM(P68:P71,P74,P75)))</f>
        <v/>
      </c>
      <c r="Q78" s="25" t="str">
        <f t="shared" ref="Q78" si="199">IF(AND(Q68="",Q69="",Q70="",Q71="",Q72="",Q73="",Q74="",Q75="",Q76="",Q77=""),"",(SUM(Q68:Q71,Q74,Q75)))</f>
        <v/>
      </c>
      <c r="R78" s="48" t="str">
        <f t="shared" ref="R78" si="200">IF(AND(R68="",R69="",R70="",R71="",R72="",R73="",R74="",R75="",R76="",R77=""),"",(SUM(R68:R71,R74,R75)))</f>
        <v/>
      </c>
      <c r="S78" s="49" t="str">
        <f t="shared" ref="S78" si="201">IF(AND(S68="",S69="",S70="",S71="",S72="",S73="",S74="",S75="",S76="",S77=""),"",(SUM(S68:S71,S74,S75)))</f>
        <v/>
      </c>
      <c r="T78" s="25" t="str">
        <f t="shared" ref="T78" si="202">IF(AND(T68="",T69="",T70="",T71="",T72="",T73="",T74="",T75="",T76="",T77=""),"",(SUM(T68:T71,T74,T75)))</f>
        <v/>
      </c>
      <c r="U78" s="25" t="str">
        <f t="shared" ref="U78" si="203">IF(AND(U68="",U69="",U70="",U71="",U72="",U73="",U74="",U75="",U76="",U77=""),"",(SUM(U68:U71,U74,U75)))</f>
        <v/>
      </c>
      <c r="V78" s="25" t="str">
        <f t="shared" ref="V78" si="204">IF(AND(V68="",V69="",V70="",V71="",V72="",V73="",V74="",V75="",V76="",V77=""),"",(SUM(V68:V71,V74,V75)))</f>
        <v/>
      </c>
      <c r="W78" s="25" t="str">
        <f t="shared" ref="W78" si="205">IF(AND(W68="",W69="",W70="",W71="",W72="",W73="",W74="",W75="",W76="",W77=""),"",(SUM(W68:W71,W74,W75)))</f>
        <v/>
      </c>
      <c r="X78" s="25" t="str">
        <f t="shared" ref="X78" si="206">IF(AND(X68="",X69="",X70="",X71="",X72="",X73="",X74="",X75="",X76="",X77=""),"",(SUM(X68:X71,X74,X75)))</f>
        <v/>
      </c>
      <c r="Y78" s="25" t="str">
        <f t="shared" ref="Y78" si="207">IF(AND(Y68="",Y69="",Y70="",Y71="",Y72="",Y73="",Y74="",Y75="",Y76="",Y77=""),"",(SUM(Y68:Y71,Y74,Y75)))</f>
        <v/>
      </c>
      <c r="Z78" s="48" t="str">
        <f t="shared" ref="Z78" si="208">IF(AND(Z68="",Z69="",Z70="",Z71="",Z72="",Z73="",Z74="",Z75="",Z76="",Z77=""),"",(SUM(Z68:Z71,Z74,Z75)))</f>
        <v/>
      </c>
    </row>
    <row r="79" spans="1:26" s="2" customFormat="1" ht="13.5" customHeight="1">
      <c r="A79" s="498"/>
      <c r="B79" s="36" t="s">
        <v>169</v>
      </c>
      <c r="C79" s="27" t="str">
        <f>IF(C78="","",IF(C78=0,0,((C78/(SUM(C68:C73))*100))))</f>
        <v/>
      </c>
      <c r="D79" s="28" t="str">
        <f t="shared" ref="D79" si="209">IF(D78="","",IF(D78=0,0,((D78/(SUM(D68:D73))*100))))</f>
        <v/>
      </c>
      <c r="E79" s="28" t="str">
        <f t="shared" ref="E79" si="210">IF(E78="","",IF(E78=0,0,((E78/(SUM(E68:E73))*100))))</f>
        <v/>
      </c>
      <c r="F79" s="28" t="str">
        <f t="shared" ref="F79" si="211">IF(F78="","",IF(F78=0,0,((F78/(SUM(F68:F73))*100))))</f>
        <v/>
      </c>
      <c r="G79" s="28" t="str">
        <f t="shared" ref="G79" si="212">IF(G78="","",IF(G78=0,0,((G78/(SUM(G68:G73))*100))))</f>
        <v/>
      </c>
      <c r="H79" s="28" t="str">
        <f t="shared" ref="H79" si="213">IF(H78="","",IF(H78=0,0,((H78/(SUM(H68:H73))*100))))</f>
        <v/>
      </c>
      <c r="I79" s="28" t="str">
        <f t="shared" ref="I79" si="214">IF(I78="","",IF(I78=0,0,((I78/(SUM(I68:I73))*100))))</f>
        <v/>
      </c>
      <c r="J79" s="46" t="str">
        <f t="shared" ref="J79" si="215">IF(J78="","",IF(J78=0,0,((J78/(SUM(J68:J73))*100))))</f>
        <v/>
      </c>
      <c r="K79" s="27" t="str">
        <f t="shared" ref="K79" si="216">IF(K78="","",IF(K78=0,0,((K78/(SUM(K68:K73))*100))))</f>
        <v/>
      </c>
      <c r="L79" s="28" t="str">
        <f t="shared" ref="L79" si="217">IF(L78="","",IF(L78=0,0,((L78/(SUM(L68:L73))*100))))</f>
        <v/>
      </c>
      <c r="M79" s="28" t="str">
        <f t="shared" ref="M79" si="218">IF(M78="","",IF(M78=0,0,((M78/(SUM(M68:M73))*100))))</f>
        <v/>
      </c>
      <c r="N79" s="28" t="str">
        <f t="shared" ref="N79" si="219">IF(N78="","",IF(N78=0,0,((N78/(SUM(N68:N73))*100))))</f>
        <v/>
      </c>
      <c r="O79" s="28" t="str">
        <f t="shared" ref="O79" si="220">IF(O78="","",IF(O78=0,0,((O78/(SUM(O68:O73))*100))))</f>
        <v/>
      </c>
      <c r="P79" s="28" t="str">
        <f t="shared" ref="P79" si="221">IF(P78="","",IF(P78=0,0,((P78/(SUM(P68:P73))*100))))</f>
        <v/>
      </c>
      <c r="Q79" s="28" t="str">
        <f t="shared" ref="Q79" si="222">IF(Q78="","",IF(Q78=0,0,((Q78/(SUM(Q68:Q73))*100))))</f>
        <v/>
      </c>
      <c r="R79" s="50" t="str">
        <f t="shared" ref="R79" si="223">IF(R78="","",IF(R78=0,0,((R78/(SUM(R68:R73))*100))))</f>
        <v/>
      </c>
      <c r="S79" s="51" t="str">
        <f t="shared" ref="S79" si="224">IF(S78="","",IF(S78=0,0,((S78/(SUM(S68:S73))*100))))</f>
        <v/>
      </c>
      <c r="T79" s="28" t="str">
        <f t="shared" ref="T79" si="225">IF(T78="","",IF(T78=0,0,((T78/(SUM(T68:T73))*100))))</f>
        <v/>
      </c>
      <c r="U79" s="28" t="str">
        <f t="shared" ref="U79" si="226">IF(U78="","",IF(U78=0,0,((U78/(SUM(U68:U73))*100))))</f>
        <v/>
      </c>
      <c r="V79" s="28" t="str">
        <f t="shared" ref="V79" si="227">IF(V78="","",IF(V78=0,0,((V78/(SUM(V68:V73))*100))))</f>
        <v/>
      </c>
      <c r="W79" s="28" t="str">
        <f t="shared" ref="W79" si="228">IF(W78="","",IF(W78=0,0,((W78/(SUM(W68:W73))*100))))</f>
        <v/>
      </c>
      <c r="X79" s="28" t="str">
        <f t="shared" ref="X79" si="229">IF(X78="","",IF(X78=0,0,((X78/(SUM(X68:X73))*100))))</f>
        <v/>
      </c>
      <c r="Y79" s="28" t="str">
        <f t="shared" ref="Y79" si="230">IF(Y78="","",IF(Y78=0,0,((Y78/(SUM(Y68:Y73))*100))))</f>
        <v/>
      </c>
      <c r="Z79" s="50" t="str">
        <f t="shared" ref="Z79" si="231">IF(Z78="","",IF(Z78=0,0,((Z78/(SUM(Z68:Z73))*100))))</f>
        <v/>
      </c>
    </row>
    <row r="80" spans="1:26" s="2" customFormat="1" ht="13.5" customHeight="1">
      <c r="A80" s="499" t="s">
        <v>26</v>
      </c>
      <c r="B80" s="29" t="s">
        <v>28</v>
      </c>
      <c r="C80" s="9">
        <f>IF(OR((COUNTA(G!$P$8:$P$62)=0),(COUNTA(G!$R$8:$R$62)=0)),"",COUNTIFS(G!$R$8:$R$62,"X01",G!$Q$8:$Q$62,"A"))</f>
        <v>0</v>
      </c>
      <c r="D80" s="10">
        <f>IF(OR((COUNTA(G!$P$8:$P$62)=0),(COUNTA(G!$R$8:$R$62)=0)),"",COUNTIFS(G!$R$8:$R$62,"X02",G!$Q$8:$Q$62,"A"))</f>
        <v>0</v>
      </c>
      <c r="E80" s="11">
        <f>IF(OR((COUNTA(G!$P$8:$P$62)=0),(COUNTA(G!$R$8:$R$62)=0)),"",COUNTIFS(G!$R$8:$R$62,"X03",G!$Q$8:$Q$62,"A"))</f>
        <v>0</v>
      </c>
      <c r="F80" s="11">
        <f>IF(OR((COUNTA(G!$P$8:$P$62)=0),(COUNTA(G!$R$8:$R$62)=0)),"",COUNTIFS(G!$R$8:$R$62,"X04",G!$Q$8:$Q$62,"A"))</f>
        <v>15</v>
      </c>
      <c r="G80" s="11">
        <f>IF(OR((COUNTA(G!$P$8:$P$62)=0),(COUNTA(G!$R$8:$R$62)=0)),"",COUNTIFS(G!$R$8:$R$62,"X05",G!$Q$8:$Q$62,"A"))</f>
        <v>0</v>
      </c>
      <c r="H80" s="11">
        <f>IF(OR((COUNTA(G!$P$8:$P$62)=0),(COUNTA(G!$R$8:$R$62)=0)),"",COUNTIFS(G!$R$8:$R$62,"X06",G!$Q$8:$Q$62,"A"))</f>
        <v>0</v>
      </c>
      <c r="I80" s="11">
        <f>IF(OR((COUNTA(G!$P$8:$P$62)=0),(COUNTA(G!$R$8:$R$62)=0)),"",COUNTIFS(G!$R$8:$R$62,"X07",G!$Q$8:$Q$62,"A"))</f>
        <v>0</v>
      </c>
      <c r="J80" s="40">
        <f>IF(OR((COUNTA(G!$P$8:$P$62)=0),(COUNTA(G!$R$8:$R$62)=0)),"",COUNTIFS(G!$R$8:$R$62,"X08",G!$Q$8:$Q$62,"A"))</f>
        <v>0</v>
      </c>
      <c r="K80" s="41">
        <f>IF(OR((COUNTA(G!$S$8:$S$62)=0),(COUNTA(G!$U$8:$U$62)=0)),"",COUNTIFS(G!$U$8:$U$62,"X09",G!$T$8:$T$62,"A"))</f>
        <v>2</v>
      </c>
      <c r="L80" s="11">
        <f>IF(OR((COUNTA(G!$S$8:$S$62)=0),(COUNTA(G!$U$8:$U$62)=0)),"",COUNTIFS(G!$U$8:$U$62,"X10",G!$T$8:$T$62,"A"))</f>
        <v>0</v>
      </c>
      <c r="M80" s="11">
        <f>IF(OR((COUNTA(G!$S$8:$S$62)=0),(COUNTA(G!$U$8:$U$62)=0)),"",COUNTIFS(G!$U$8:$U$62,"X11",G!$T$8:$T$62,"A"))</f>
        <v>0</v>
      </c>
      <c r="N80" s="11">
        <f>IF(OR((COUNTA(G!$S$8:$S$62)=0),(COUNTA(G!$U$8:$U$62)=0)),"",COUNTIFS(G!$U$8:$U$62,"X12",G!$T$8:$T$62,"A"))</f>
        <v>2</v>
      </c>
      <c r="O80" s="11">
        <f>IF(OR((COUNTA(G!$S$8:$S$62)=0),(COUNTA(G!$U$8:$U$62)=0)),"",COUNTIFS(G!$U$8:$U$62,"X13",G!$T$8:$T$62,"A"))</f>
        <v>0</v>
      </c>
      <c r="P80" s="11">
        <f>IF(OR((COUNTA(G!$S$8:$S$62)=0),(COUNTA(G!$U$8:$U$62)=0)),"",COUNTIFS(G!$U$8:$U$62,"X14",G!$T$8:$T$62,"A"))</f>
        <v>0</v>
      </c>
      <c r="Q80" s="11">
        <f>IF(OR((COUNTA(G!$S$8:$S$62)=0),(COUNTA(G!$U$8:$U$62)=0)),"",COUNTIFS(G!$U$8:$U$62,"X15",G!$T$8:$T$62,"A"))</f>
        <v>0</v>
      </c>
      <c r="R80" s="40">
        <f>IF(OR((COUNTA(G!$S$8:$S$62)=0),(COUNTA(G!$U$8:$U$62)=0)),"",COUNTIFS(G!$U$8:$U$62,"X16",G!$T$8:$T$62,"A"))</f>
        <v>0</v>
      </c>
      <c r="S80" s="41">
        <f>IF(OR((COUNTA(G!$V$8:$V$62)=0),(COUNTA(G!$X$8:$X$62)=0)),"",COUNTIFS(G!$X$8:$X$62,"X17",G!$W$8:$W$62,"A"))</f>
        <v>0</v>
      </c>
      <c r="T80" s="11">
        <f>IF(OR((COUNTA(G!$V$8:$V$62)=0),(COUNTA(G!$X$8:$X$62)=0)),"",COUNTIFS(G!$X$8:$X$62,"X18",G!$W$8:$W$62,"A"))</f>
        <v>9</v>
      </c>
      <c r="U80" s="11">
        <f>IF(OR((COUNTA(G!$V$8:$V$62)=0),(COUNTA(G!$X$8:$X$62)=0)),"",COUNTIFS(G!$X$8:$X$62,"X19",G!$W$8:$W$62,"A"))</f>
        <v>0</v>
      </c>
      <c r="V80" s="11">
        <f>IF(OR((COUNTA(G!$V$8:$V$62)=0),(COUNTA(G!$X$8:$X$62)=0)),"",COUNTIFS(G!$X$8:$X$62,"X20",G!$W$8:$W$62,"A"))</f>
        <v>0</v>
      </c>
      <c r="W80" s="11">
        <f>IF(OR((COUNTA(G!$V$8:$V$62)=0),(COUNTA(G!$X$8:$X$62)=0)),"",COUNTIFS(G!$X$8:$X$62,"X21",G!$W$8:$W$62,"A"))</f>
        <v>0</v>
      </c>
      <c r="X80" s="11">
        <f>IF(OR((COUNTA(G!$V$8:$V$62)=0),(COUNTA(G!$X$8:$X$62)=0)),"",COUNTIFS(G!$X$8:$X$62,"X22",G!$W$8:$W$62,"A"))</f>
        <v>0</v>
      </c>
      <c r="Y80" s="11">
        <f>IF(OR((COUNTA(G!$V$8:$V$62)=0),(COUNTA(G!$X$8:$X$62)=0)),"",COUNTIFS(G!$X$8:$X$62,"X23",G!$W$8:$W$62,"A"))</f>
        <v>0</v>
      </c>
      <c r="Z80" s="40">
        <f>IF(OR((COUNTA(G!$V$8:$V$62)=0),(COUNTA(G!$X$8:$X$62)=0)),"",COUNTIFS(G!$X$8:$X$62,"X24",G!$W$8:$W$62,"A"))</f>
        <v>0</v>
      </c>
    </row>
    <row r="81" spans="1:26" s="2" customFormat="1" ht="13.5" customHeight="1">
      <c r="A81" s="500"/>
      <c r="B81" s="30" t="s">
        <v>29</v>
      </c>
      <c r="C81" s="13">
        <f>IF(OR((COUNTA(G!$P$8:$P$62)=0),(COUNTA(G!$R$8:$R$62)=0)),"",COUNTIFS(G!$R$8:$R$62,"X01",G!$Q$8:$Q$62,"B"))</f>
        <v>0</v>
      </c>
      <c r="D81" s="14">
        <f>IF(OR((COUNTA(G!$P$8:$P$62)=0),(COUNTA(G!$R$8:$R$62)=0)),"",COUNTIFS(G!$R$8:$R$62,"X02",G!$Q$8:$Q$62,"B"))</f>
        <v>0</v>
      </c>
      <c r="E81" s="14">
        <f>IF(OR((COUNTA(G!$P$8:$P$62)=0),(COUNTA(G!$R$8:$R$62)=0)),"",COUNTIFS(G!$R$8:$R$62,"X03",G!$Q$8:$Q$62,"B"))</f>
        <v>0</v>
      </c>
      <c r="F81" s="14">
        <f>IF(OR((COUNTA(G!$P$8:$P$62)=0),(COUNTA(G!$R$8:$R$62)=0)),"",COUNTIFS(G!$R$8:$R$62,"X04",G!$Q$8:$Q$62,"B"))</f>
        <v>14</v>
      </c>
      <c r="G81" s="14">
        <f>IF(OR((COUNTA(G!$P$8:$P$62)=0),(COUNTA(G!$R$8:$R$62)=0)),"",COUNTIFS(G!$R$8:$R$62,"X05",G!$Q$8:$Q$62,"B"))</f>
        <v>0</v>
      </c>
      <c r="H81" s="14">
        <f>IF(OR((COUNTA(G!$P$8:$P$62)=0),(COUNTA(G!$R$8:$R$62)=0)),"",COUNTIFS(G!$R$8:$R$62,"X06",G!$Q$8:$Q$62,"B"))</f>
        <v>0</v>
      </c>
      <c r="I81" s="14">
        <f>IF(OR((COUNTA(G!$P$8:$P$62)=0),(COUNTA(G!$R$8:$R$62)=0)),"",COUNTIFS(G!$R$8:$R$62,"X07",G!$Q$8:$Q$62,"B"))</f>
        <v>0</v>
      </c>
      <c r="J81" s="42">
        <f>IF(OR((COUNTA(G!$P$8:$P$62)=0),(COUNTA(G!$R$8:$R$62)=0)),"",COUNTIFS(G!$R$8:$R$62,"X08",G!$Q$8:$Q$62,"B"))</f>
        <v>0</v>
      </c>
      <c r="K81" s="13">
        <f>IF(OR((COUNTA(G!$S$8:$S$62)=0),(COUNTA(G!$U$8:$U$62)=0)),"",COUNTIFS(G!$U$8:$U$62,"X09",G!$T$8:$T$62,"B"))</f>
        <v>1</v>
      </c>
      <c r="L81" s="14">
        <f>IF(OR((COUNTA(G!$S$8:$S$62)=0),(COUNTA(G!$U$8:$U$62)=0)),"",COUNTIFS(G!$U$8:$U$62,"X10",G!$T$8:$T$62,"B"))</f>
        <v>0</v>
      </c>
      <c r="M81" s="14">
        <f>IF(OR((COUNTA(G!$S$8:$S$62)=0),(COUNTA(G!$U$8:$U$62)=0)),"",COUNTIFS(G!$U$8:$U$62,"X11",G!$T$8:$T$62,"B"))</f>
        <v>1</v>
      </c>
      <c r="N81" s="14">
        <f>IF(OR((COUNTA(G!$S$8:$S$62)=0),(COUNTA(G!$U$8:$U$62)=0)),"",COUNTIFS(G!$U$8:$U$62,"X12",G!$T$8:$T$62,"B"))</f>
        <v>1</v>
      </c>
      <c r="O81" s="14">
        <f>IF(OR((COUNTA(G!$S$8:$S$62)=0),(COUNTA(G!$U$8:$U$62)=0)),"",COUNTIFS(G!$U$8:$U$62,"X13",G!$T$8:$T$62,"B"))</f>
        <v>4</v>
      </c>
      <c r="P81" s="14">
        <f>IF(OR((COUNTA(G!$S$8:$S$62)=0),(COUNTA(G!$U$8:$U$62)=0)),"",COUNTIFS(G!$U$8:$U$62,"X14",G!$T$8:$T$62,"B"))</f>
        <v>0</v>
      </c>
      <c r="Q81" s="14">
        <f>IF(OR((COUNTA(G!$S$8:$S$62)=0),(COUNTA(G!$U$8:$U$62)=0)),"",COUNTIFS(G!$U$8:$U$62,"X15",G!$T$8:$T$62,"B"))</f>
        <v>0</v>
      </c>
      <c r="R81" s="42">
        <f>IF(OR((COUNTA(G!$S$8:$S$62)=0),(COUNTA(G!$U$8:$U$62)=0)),"",COUNTIFS(G!$U$8:$U$62,"X16",G!$T$8:$T$62,"B"))</f>
        <v>0</v>
      </c>
      <c r="S81" s="13">
        <f>IF(OR((COUNTA(G!$V$8:$V$62)=0),(COUNTA(G!$X$8:$X$62)=0)),"",COUNTIFS(G!$X$8:$X$62,"X17",G!$W$8:$W$62,"B"))</f>
        <v>0</v>
      </c>
      <c r="T81" s="14">
        <f>IF(OR((COUNTA(G!$V$8:$V$62)=0),(COUNTA(G!$X$8:$X$62)=0)),"",COUNTIFS(G!$X$8:$X$62,"X18",G!$W$8:$W$62,"B"))</f>
        <v>13</v>
      </c>
      <c r="U81" s="14">
        <f>IF(OR((COUNTA(G!$V$8:$V$62)=0),(COUNTA(G!$X$8:$X$62)=0)),"",COUNTIFS(G!$X$8:$X$62,"X19",G!$W$8:$W$62,"B"))</f>
        <v>0</v>
      </c>
      <c r="V81" s="14">
        <f>IF(OR((COUNTA(G!$V$8:$V$62)=0),(COUNTA(G!$X$8:$X$62)=0)),"",COUNTIFS(G!$X$8:$X$62,"X20",G!$W$8:$W$62,"B"))</f>
        <v>0</v>
      </c>
      <c r="W81" s="14">
        <f>IF(OR((COUNTA(G!$V$8:$V$62)=0),(COUNTA(G!$X$8:$X$62)=0)),"",COUNTIFS(G!$X$8:$X$62,"X21",G!$W$8:$W$62,"B"))</f>
        <v>0</v>
      </c>
      <c r="X81" s="14">
        <f>IF(OR((COUNTA(G!$V$8:$V$62)=0),(COUNTA(G!$X$8:$X$62)=0)),"",COUNTIFS(G!$X$8:$X$62,"X22",G!$W$8:$W$62,"B"))</f>
        <v>0</v>
      </c>
      <c r="Y81" s="14">
        <f>IF(OR((COUNTA(G!$V$8:$V$62)=0),(COUNTA(G!$X$8:$X$62)=0)),"",COUNTIFS(G!$X$8:$X$62,"X23",G!$W$8:$W$62,"B"))</f>
        <v>0</v>
      </c>
      <c r="Z81" s="42">
        <f>IF(OR((COUNTA(G!$V$8:$V$62)=0),(COUNTA(G!$X$8:$X$62)=0)),"",COUNTIFS(G!$X$8:$X$62,"X24",G!$W$8:$W$62,"B"))</f>
        <v>0</v>
      </c>
    </row>
    <row r="82" spans="1:26" s="2" customFormat="1" ht="13.5" customHeight="1">
      <c r="A82" s="500"/>
      <c r="B82" s="30" t="s">
        <v>30</v>
      </c>
      <c r="C82" s="13">
        <f>IF(OR((COUNTA(G!$P$8:$P$62)=0),(COUNTA(G!$R$8:$R$62)=0)),"",COUNTIFS(G!$R$8:$R$62,"X01",G!$Q$8:$Q$62,"C"))</f>
        <v>0</v>
      </c>
      <c r="D82" s="14">
        <f>IF(OR((COUNTA(G!$P$8:$P$62)=0),(COUNTA(G!$R$8:$R$62)=0)),"",COUNTIFS(G!$R$8:$R$62,"X02",G!$Q$8:$Q$62,"C"))</f>
        <v>0</v>
      </c>
      <c r="E82" s="14">
        <f>IF(OR((COUNTA(G!$P$8:$P$62)=0),(COUNTA(G!$R$8:$R$62)=0)),"",COUNTIFS(G!$R$8:$R$62,"X03",G!$Q$8:$Q$62,"C"))</f>
        <v>0</v>
      </c>
      <c r="F82" s="14">
        <f>IF(OR((COUNTA(G!$P$8:$P$62)=0),(COUNTA(G!$R$8:$R$62)=0)),"",COUNTIFS(G!$R$8:$R$62,"X04",G!$Q$8:$Q$62,"C"))</f>
        <v>10</v>
      </c>
      <c r="G82" s="14">
        <f>IF(OR((COUNTA(G!$P$8:$P$62)=0),(COUNTA(G!$R$8:$R$62)=0)),"",COUNTIFS(G!$R$8:$R$62,"X05",G!$Q$8:$Q$62,"C"))</f>
        <v>0</v>
      </c>
      <c r="H82" s="14">
        <f>IF(OR((COUNTA(G!$P$8:$P$62)=0),(COUNTA(G!$R$8:$R$62)=0)),"",COUNTIFS(G!$R$8:$R$62,"X06",G!$Q$8:$Q$62,"C"))</f>
        <v>0</v>
      </c>
      <c r="I82" s="14">
        <f>IF(OR((COUNTA(G!$P$8:$P$62)=0),(COUNTA(G!$R$8:$R$62)=0)),"",COUNTIFS(G!$R$8:$R$62,"X07",G!$Q$8:$Q$62,"C"))</f>
        <v>0</v>
      </c>
      <c r="J82" s="42">
        <f>IF(OR((COUNTA(G!$P$8:$P$62)=0),(COUNTA(G!$R$8:$R$62)=0)),"",COUNTIFS(G!$R$8:$R$62,"X08",G!$Q$8:$Q$62,"C"))</f>
        <v>0</v>
      </c>
      <c r="K82" s="13">
        <f>IF(OR((COUNTA(G!$S$8:$S$62)=0),(COUNTA(G!$U$8:$U$62)=0)),"",COUNTIFS(G!$U$8:$U$62,"X09",G!$T$8:$T$62,"C"))</f>
        <v>3</v>
      </c>
      <c r="L82" s="14">
        <f>IF(OR((COUNTA(G!$S$8:$S$62)=0),(COUNTA(G!$U$8:$U$62)=0)),"",COUNTIFS(G!$U$8:$U$62,"X10",G!$T$8:$T$62,"C"))</f>
        <v>0</v>
      </c>
      <c r="M82" s="14">
        <f>IF(OR((COUNTA(G!$S$8:$S$62)=0),(COUNTA(G!$U$8:$U$62)=0)),"",COUNTIFS(G!$U$8:$U$62,"X11",G!$T$8:$T$62,"C"))</f>
        <v>2</v>
      </c>
      <c r="N82" s="14">
        <f>IF(OR((COUNTA(G!$S$8:$S$62)=0),(COUNTA(G!$U$8:$U$62)=0)),"",COUNTIFS(G!$U$8:$U$62,"X12",G!$T$8:$T$62,"C"))</f>
        <v>2</v>
      </c>
      <c r="O82" s="14">
        <f>IF(OR((COUNTA(G!$S$8:$S$62)=0),(COUNTA(G!$U$8:$U$62)=0)),"",COUNTIFS(G!$U$8:$U$62,"X13",G!$T$8:$T$62,"C"))</f>
        <v>6</v>
      </c>
      <c r="P82" s="14">
        <f>IF(OR((COUNTA(G!$S$8:$S$62)=0),(COUNTA(G!$U$8:$U$62)=0)),"",COUNTIFS(G!$U$8:$U$62,"X14",G!$T$8:$T$62,"C"))</f>
        <v>0</v>
      </c>
      <c r="Q82" s="14">
        <f>IF(OR((COUNTA(G!$S$8:$S$62)=0),(COUNTA(G!$U$8:$U$62)=0)),"",COUNTIFS(G!$U$8:$U$62,"X15",G!$T$8:$T$62,"C"))</f>
        <v>0</v>
      </c>
      <c r="R82" s="42">
        <f>IF(OR((COUNTA(G!$S$8:$S$62)=0),(COUNTA(G!$U$8:$U$62)=0)),"",COUNTIFS(G!$U$8:$U$62,"X16",G!$T$8:$T$62,"C"))</f>
        <v>0</v>
      </c>
      <c r="S82" s="13">
        <f>IF(OR((COUNTA(G!$V$8:$V$62)=0),(COUNTA(G!$X$8:$X$62)=0)),"",COUNTIFS(G!$X$8:$X$62,"X17",G!$W$8:$W$62,"C"))</f>
        <v>4</v>
      </c>
      <c r="T82" s="14">
        <f>IF(OR((COUNTA(G!$V$8:$V$62)=0),(COUNTA(G!$X$8:$X$62)=0)),"",COUNTIFS(G!$X$8:$X$62,"X18",G!$W$8:$W$62,"C"))</f>
        <v>9</v>
      </c>
      <c r="U82" s="14">
        <f>IF(OR((COUNTA(G!$V$8:$V$62)=0),(COUNTA(G!$X$8:$X$62)=0)),"",COUNTIFS(G!$X$8:$X$62,"X19",G!$W$8:$W$62,"C"))</f>
        <v>0</v>
      </c>
      <c r="V82" s="14">
        <f>IF(OR((COUNTA(G!$V$8:$V$62)=0),(COUNTA(G!$X$8:$X$62)=0)),"",COUNTIFS(G!$X$8:$X$62,"X20",G!$W$8:$W$62,"C"))</f>
        <v>0</v>
      </c>
      <c r="W82" s="14">
        <f>IF(OR((COUNTA(G!$V$8:$V$62)=0),(COUNTA(G!$X$8:$X$62)=0)),"",COUNTIFS(G!$X$8:$X$62,"X21",G!$W$8:$W$62,"C"))</f>
        <v>0</v>
      </c>
      <c r="X82" s="14">
        <f>IF(OR((COUNTA(G!$V$8:$V$62)=0),(COUNTA(G!$X$8:$X$62)=0)),"",COUNTIFS(G!$X$8:$X$62,"X22",G!$W$8:$W$62,"C"))</f>
        <v>0</v>
      </c>
      <c r="Y82" s="14">
        <f>IF(OR((COUNTA(G!$V$8:$V$62)=0),(COUNTA(G!$X$8:$X$62)=0)),"",COUNTIFS(G!$X$8:$X$62,"X23",G!$W$8:$W$62,"C"))</f>
        <v>0</v>
      </c>
      <c r="Z82" s="42">
        <f>IF(OR((COUNTA(G!$V$8:$V$62)=0),(COUNTA(G!$X$8:$X$62)=0)),"",COUNTIFS(G!$X$8:$X$62,"X24",G!$W$8:$W$62,"C"))</f>
        <v>0</v>
      </c>
    </row>
    <row r="83" spans="1:26" s="2" customFormat="1" ht="13.5" customHeight="1">
      <c r="A83" s="500"/>
      <c r="B83" s="30" t="s">
        <v>31</v>
      </c>
      <c r="C83" s="13">
        <f>IF(OR((COUNTA(G!$P$8:$P$62)=0),(COUNTA(G!$R$8:$R$62)=0)),"",COUNTIFS(G!$R$8:$R$62,"X01",G!$Q$8:$Q$62,"S"))</f>
        <v>0</v>
      </c>
      <c r="D83" s="14">
        <f>IF(OR((COUNTA(G!$P$8:$P$62)=0),(COUNTA(G!$R$8:$R$62)=0)),"",COUNTIFS(G!$R$8:$R$62,"X02",G!$Q$8:$Q$62,"S"))</f>
        <v>0</v>
      </c>
      <c r="E83" s="14">
        <f>IF(OR((COUNTA(G!$P$8:$P$62)=0),(COUNTA(G!$R$8:$R$62)=0)),"",COUNTIFS(G!$R$8:$R$62,"X03",G!$Q$8:$Q$62,"S"))</f>
        <v>0</v>
      </c>
      <c r="F83" s="14">
        <f>IF(OR((COUNTA(G!$P$8:$P$62)=0),(COUNTA(G!$R$8:$R$62)=0)),"",COUNTIFS(G!$R$8:$R$62,"X04",G!$Q$8:$Q$62,"S"))</f>
        <v>4</v>
      </c>
      <c r="G83" s="14">
        <f>IF(OR((COUNTA(G!$P$8:$P$62)=0),(COUNTA(G!$R$8:$R$62)=0)),"",COUNTIFS(G!$R$8:$R$62,"X05",G!$Q$8:$Q$62,"S"))</f>
        <v>0</v>
      </c>
      <c r="H83" s="14">
        <f>IF(OR((COUNTA(G!$P$8:$P$62)=0),(COUNTA(G!$R$8:$R$62)=0)),"",COUNTIFS(G!$R$8:$R$62,"X06",G!$Q$8:$Q$62,"S"))</f>
        <v>0</v>
      </c>
      <c r="I83" s="14">
        <f>IF(OR((COUNTA(G!$P$8:$P$62)=0),(COUNTA(G!$R$8:$R$62)=0)),"",COUNTIFS(G!$R$8:$R$62,"X07",G!$Q$8:$Q$62,"S"))</f>
        <v>0</v>
      </c>
      <c r="J83" s="42">
        <f>IF(OR((COUNTA(G!$P$8:$P$62)=0),(COUNTA(G!$R$8:$R$62)=0)),"",COUNTIFS(G!$R$8:$R$62,"X08",G!$Q$8:$Q$62,"S"))</f>
        <v>0</v>
      </c>
      <c r="K83" s="13">
        <f>IF(OR((COUNTA(G!$S$8:$S$62)=0),(COUNTA(G!$U$8:$U$62)=0)),"",COUNTIFS(G!$U$8:$U$62,"X09",G!$T$8:$T$62,"S"))</f>
        <v>0</v>
      </c>
      <c r="L83" s="14">
        <f>IF(OR((COUNTA(G!$S$8:$S$62)=0),(COUNTA(G!$U$8:$U$62)=0)),"",COUNTIFS(G!$U$8:$U$62,"X10",G!$T$8:$T$62,"S"))</f>
        <v>0</v>
      </c>
      <c r="M83" s="14">
        <f>IF(OR((COUNTA(G!$S$8:$S$62)=0),(COUNTA(G!$U$8:$U$62)=0)),"",COUNTIFS(G!$U$8:$U$62,"X11",G!$T$8:$T$62,"S"))</f>
        <v>0</v>
      </c>
      <c r="N83" s="14">
        <f>IF(OR((COUNTA(G!$S$8:$S$62)=0),(COUNTA(G!$U$8:$U$62)=0)),"",COUNTIFS(G!$U$8:$U$62,"X12",G!$T$8:$T$62,"S"))</f>
        <v>0</v>
      </c>
      <c r="O83" s="14">
        <f>IF(OR((COUNTA(G!$S$8:$S$62)=0),(COUNTA(G!$U$8:$U$62)=0)),"",COUNTIFS(G!$U$8:$U$62,"X13",G!$T$8:$T$62,"S"))</f>
        <v>1</v>
      </c>
      <c r="P83" s="14">
        <f>IF(OR((COUNTA(G!$S$8:$S$62)=0),(COUNTA(G!$U$8:$U$62)=0)),"",COUNTIFS(G!$U$8:$U$62,"X14",G!$T$8:$T$62,"S"))</f>
        <v>0</v>
      </c>
      <c r="Q83" s="14">
        <f>IF(OR((COUNTA(G!$S$8:$S$62)=0),(COUNTA(G!$U$8:$U$62)=0)),"",COUNTIFS(G!$U$8:$U$62,"X15",G!$T$8:$T$62,"S"))</f>
        <v>0</v>
      </c>
      <c r="R83" s="42">
        <f>IF(OR((COUNTA(G!$S$8:$S$62)=0),(COUNTA(G!$U$8:$U$62)=0)),"",COUNTIFS(G!$U$8:$U$62,"X16",G!$T$8:$T$62,"S"))</f>
        <v>0</v>
      </c>
      <c r="S83" s="13">
        <f>IF(OR((COUNTA(G!$V$8:$V$62)=0),(COUNTA(G!$X$8:$X$62)=0)),"",COUNTIFS(G!$X$8:$X$62,"X17",G!$W$8:$W$62,"S"))</f>
        <v>3</v>
      </c>
      <c r="T83" s="14">
        <f>IF(OR((COUNTA(G!$V$8:$V$62)=0),(COUNTA(G!$X$8:$X$62)=0)),"",COUNTIFS(G!$X$8:$X$62,"X18",G!$W$8:$W$62,"S"))</f>
        <v>1</v>
      </c>
      <c r="U83" s="14">
        <f>IF(OR((COUNTA(G!$V$8:$V$62)=0),(COUNTA(G!$X$8:$X$62)=0)),"",COUNTIFS(G!$X$8:$X$62,"X19",G!$W$8:$W$62,"S"))</f>
        <v>0</v>
      </c>
      <c r="V83" s="14">
        <f>IF(OR((COUNTA(G!$V$8:$V$62)=0),(COUNTA(G!$X$8:$X$62)=0)),"",COUNTIFS(G!$X$8:$X$62,"X20",G!$W$8:$W$62,"S"))</f>
        <v>0</v>
      </c>
      <c r="W83" s="14">
        <f>IF(OR((COUNTA(G!$V$8:$V$62)=0),(COUNTA(G!$X$8:$X$62)=0)),"",COUNTIFS(G!$X$8:$X$62,"X21",G!$W$8:$W$62,"S"))</f>
        <v>0</v>
      </c>
      <c r="X83" s="14">
        <f>IF(OR((COUNTA(G!$V$8:$V$62)=0),(COUNTA(G!$X$8:$X$62)=0)),"",COUNTIFS(G!$X$8:$X$62,"X22",G!$W$8:$W$62,"S"))</f>
        <v>0</v>
      </c>
      <c r="Y83" s="14">
        <f>IF(OR((COUNTA(G!$V$8:$V$62)=0),(COUNTA(G!$X$8:$X$62)=0)),"",COUNTIFS(G!$X$8:$X$62,"X23",G!$W$8:$W$62,"S"))</f>
        <v>0</v>
      </c>
      <c r="Z83" s="42">
        <f>IF(OR((COUNTA(G!$V$8:$V$62)=0),(COUNTA(G!$X$8:$X$62)=0)),"",COUNTIFS(G!$X$8:$X$62,"X24",G!$W$8:$W$62,"S"))</f>
        <v>0</v>
      </c>
    </row>
    <row r="84" spans="1:26" s="2" customFormat="1" ht="13.5" customHeight="1">
      <c r="A84" s="500"/>
      <c r="B84" s="31" t="s">
        <v>32</v>
      </c>
      <c r="C84" s="16">
        <f>IF(OR((COUNTA(G!$P$8:$P$62)=0),(COUNTA(G!$R$8:$R$62)=0)),"",COUNTIFS(G!$R$8:$R$62,"X01",G!$Q$8:$Q$62,"W"))</f>
        <v>0</v>
      </c>
      <c r="D84" s="17">
        <f>IF(OR((COUNTA(G!$P$8:$P$62)=0),(COUNTA(G!$R$8:$R$62)=0)),"",COUNTIFS(G!$R$8:$R$62,"X02",G!$Q$8:$Q$62,"W"))</f>
        <v>0</v>
      </c>
      <c r="E84" s="17">
        <f>IF(OR((COUNTA(G!$P$8:$P$62)=0),(COUNTA(G!$R$8:$R$62)=0)),"",COUNTIFS(G!$R$8:$R$62,"X03",G!$Q$8:$Q$62,"W"))</f>
        <v>0</v>
      </c>
      <c r="F84" s="17">
        <f>IF(OR((COUNTA(G!$P$8:$P$62)=0),(COUNTA(G!$R$8:$R$62)=0)),"",COUNTIFS(G!$R$8:$R$62,"X04",G!$Q$8:$Q$62,"W"))</f>
        <v>2</v>
      </c>
      <c r="G84" s="17">
        <f>IF(OR((COUNTA(G!$P$8:$P$62)=0),(COUNTA(G!$R$8:$R$62)=0)),"",COUNTIFS(G!$R$8:$R$62,"X05",G!$Q$8:$Q$62,"W"))</f>
        <v>0</v>
      </c>
      <c r="H84" s="17">
        <f>IF(OR((COUNTA(G!$P$8:$P$62)=0),(COUNTA(G!$R$8:$R$62)=0)),"",COUNTIFS(G!$R$8:$R$62,"X06",G!$Q$8:$Q$62,"W"))</f>
        <v>0</v>
      </c>
      <c r="I84" s="17">
        <f>IF(OR((COUNTA(G!$P$8:$P$62)=0),(COUNTA(G!$R$8:$R$62)=0)),"",COUNTIFS(G!$R$8:$R$62,"X07",G!$Q$8:$Q$62,"W"))</f>
        <v>0</v>
      </c>
      <c r="J84" s="43">
        <f>IF(OR((COUNTA(G!$P$8:$P$62)=0),(COUNTA(G!$R$8:$R$62)=0)),"",COUNTIFS(G!$R$8:$R$62,"X08",G!$Q$8:$Q$62,"W"))</f>
        <v>0</v>
      </c>
      <c r="K84" s="16">
        <f>IF(OR((COUNTA(G!$S$8:$S$62)=0),(COUNTA(G!$U$8:$U$62)=0)),"",COUNTIFS(G!$U$8:$U$62,"X09",G!$T$8:$T$62,"W"))</f>
        <v>0</v>
      </c>
      <c r="L84" s="17">
        <f>IF(OR((COUNTA(G!$S$8:$S$62)=0),(COUNTA(G!$U$8:$U$62)=0)),"",COUNTIFS(G!$U$8:$U$62,"X10",G!$T$8:$T$62,"W"))</f>
        <v>0</v>
      </c>
      <c r="M84" s="17">
        <f>IF(OR((COUNTA(G!$S$8:$S$62)=0),(COUNTA(G!$U$8:$U$62)=0)),"",COUNTIFS(G!$U$8:$U$62,"X11",G!$T$8:$T$62,"W"))</f>
        <v>0</v>
      </c>
      <c r="N84" s="17">
        <f>IF(OR((COUNTA(G!$S$8:$S$62)=0),(COUNTA(G!$U$8:$U$62)=0)),"",COUNTIFS(G!$U$8:$U$62,"X12",G!$T$8:$T$62,"W"))</f>
        <v>0</v>
      </c>
      <c r="O84" s="17">
        <f>IF(OR((COUNTA(G!$S$8:$S$62)=0),(COUNTA(G!$U$8:$U$62)=0)),"",COUNTIFS(G!$U$8:$U$62,"X13",G!$T$8:$T$62,"W"))</f>
        <v>0</v>
      </c>
      <c r="P84" s="17">
        <f>IF(OR((COUNTA(G!$S$8:$S$62)=0),(COUNTA(G!$U$8:$U$62)=0)),"",COUNTIFS(G!$U$8:$U$62,"X14",G!$T$8:$T$62,"W"))</f>
        <v>0</v>
      </c>
      <c r="Q84" s="17">
        <f>IF(OR((COUNTA(G!$S$8:$S$62)=0),(COUNTA(G!$U$8:$U$62)=0)),"",COUNTIFS(G!$U$8:$U$62,"X15",G!$T$8:$T$62,"W"))</f>
        <v>0</v>
      </c>
      <c r="R84" s="43">
        <f>IF(OR((COUNTA(G!$S$8:$S$62)=0),(COUNTA(G!$U$8:$U$62)=0)),"",COUNTIFS(G!$U$8:$U$62,"X16",G!$T$8:$T$62,"W"))</f>
        <v>0</v>
      </c>
      <c r="S84" s="16">
        <f>IF(OR((COUNTA(G!$V$8:$V$62)=0),(COUNTA(G!$X$8:$X$62)=0)),"",COUNTIFS(G!$X$8:$X$62,"X17",G!$W$8:$W$62,"W"))</f>
        <v>2</v>
      </c>
      <c r="T84" s="17">
        <f>IF(OR((COUNTA(G!$V$8:$V$62)=0),(COUNTA(G!$X$8:$X$62)=0)),"",COUNTIFS(G!$X$8:$X$62,"X18",G!$W$8:$W$62,"W"))</f>
        <v>0</v>
      </c>
      <c r="U84" s="17">
        <f>IF(OR((COUNTA(G!$V$8:$V$62)=0),(COUNTA(G!$X$8:$X$62)=0)),"",COUNTIFS(G!$X$8:$X$62,"X19",G!$W$8:$W$62,"W"))</f>
        <v>0</v>
      </c>
      <c r="V84" s="17">
        <f>IF(OR((COUNTA(G!$V$8:$V$62)=0),(COUNTA(G!$X$8:$X$62)=0)),"",COUNTIFS(G!$X$8:$X$62,"X20",G!$W$8:$W$62,"W"))</f>
        <v>0</v>
      </c>
      <c r="W84" s="17">
        <f>IF(OR((COUNTA(G!$V$8:$V$62)=0),(COUNTA(G!$X$8:$X$62)=0)),"",COUNTIFS(G!$X$8:$X$62,"X21",G!$W$8:$W$62,"W"))</f>
        <v>0</v>
      </c>
      <c r="X84" s="17">
        <f>IF(OR((COUNTA(G!$V$8:$V$62)=0),(COUNTA(G!$X$8:$X$62)=0)),"",COUNTIFS(G!$X$8:$X$62,"X22",G!$W$8:$W$62,"W"))</f>
        <v>0</v>
      </c>
      <c r="Y84" s="17">
        <f>IF(OR((COUNTA(G!$V$8:$V$62)=0),(COUNTA(G!$X$8:$X$62)=0)),"",COUNTIFS(G!$X$8:$X$62,"X23",G!$W$8:$W$62,"W"))</f>
        <v>0</v>
      </c>
      <c r="Z84" s="43">
        <f>IF(OR((COUNTA(G!$V$8:$V$62)=0),(COUNTA(G!$X$8:$X$62)=0)),"",COUNTIFS(G!$X$8:$X$62,"X24",G!$W$8:$W$62,"W"))</f>
        <v>0</v>
      </c>
    </row>
    <row r="85" spans="1:26" s="2" customFormat="1" ht="13.5" customHeight="1">
      <c r="A85" s="500"/>
      <c r="B85" s="31" t="s">
        <v>47</v>
      </c>
      <c r="C85" s="16">
        <f>IF(OR((COUNTA(G!$P$8:$P$62)=0),(COUNTA(G!$R$8:$R$62)=0)),"",COUNTIFS(G!$R$8:$R$62,"X01",G!$Q$8:$Q$62,"AB"))</f>
        <v>0</v>
      </c>
      <c r="D85" s="17">
        <f>IF(OR((COUNTA(G!$P$8:$P$62)=0),(COUNTA(G!$R$8:$R$62)=0)),"",COUNTIFS(G!$R$8:$R$62,"X02",G!$Q$8:$Q$62,"AB"))</f>
        <v>0</v>
      </c>
      <c r="E85" s="17">
        <f>IF(OR((COUNTA(G!$P$8:$P$62)=0),(COUNTA(G!$R$8:$R$62)=0)),"",COUNTIFS(G!$R$8:$R$62,"X03",G!$Q$8:$Q$62,"AB"))</f>
        <v>0</v>
      </c>
      <c r="F85" s="17">
        <f>IF(OR((COUNTA(G!$P$8:$P$62)=0),(COUNTA(G!$R$8:$R$62)=0)),"",COUNTIFS(G!$R$8:$R$62,"X04",G!$Q$8:$Q$62,"AB"))</f>
        <v>1</v>
      </c>
      <c r="G85" s="17">
        <f>IF(OR((COUNTA(G!$P$8:$P$62)=0),(COUNTA(G!$R$8:$R$62)=0)),"",COUNTIFS(G!$R$8:$R$62,"X05",G!$Q$8:$Q$62,"AB"))</f>
        <v>0</v>
      </c>
      <c r="H85" s="17">
        <f>IF(OR((COUNTA(G!$P$8:$P$62)=0),(COUNTA(G!$R$8:$R$62)=0)),"",COUNTIFS(G!$R$8:$R$62,"X06",G!$Q$8:$Q$62,"AB"))</f>
        <v>0</v>
      </c>
      <c r="I85" s="17">
        <f>IF(OR((COUNTA(G!$P$8:$P$62)=0),(COUNTA(G!$R$8:$R$62)=0)),"",COUNTIFS(G!$R$8:$R$62,"X07",G!$Q$8:$Q$62,"AB"))</f>
        <v>0</v>
      </c>
      <c r="J85" s="43">
        <f>IF(OR((COUNTA(G!$P$8:$P$62)=0),(COUNTA(G!$R$8:$R$62)=0)),"",COUNTIFS(G!$R$8:$R$62,"X08",G!$Q$8:$Q$62,"AB"))</f>
        <v>0</v>
      </c>
      <c r="K85" s="16">
        <f>IF(OR((COUNTA(G!$S$8:$S$62)=0),(COUNTA(G!$U$8:$U$62)=0)),"",COUNTIFS(G!$U$8:$U$62,"X09",G!$T$8:$T$62,"AB"))</f>
        <v>0</v>
      </c>
      <c r="L85" s="17">
        <f>IF(OR((COUNTA(G!$S$8:$S$62)=0),(COUNTA(G!$U$8:$U$62)=0)),"",COUNTIFS(G!$U$8:$U$62,"X10",G!$T$8:$T$62,"AB"))</f>
        <v>0</v>
      </c>
      <c r="M85" s="17">
        <f>IF(OR((COUNTA(G!$S$8:$S$62)=0),(COUNTA(G!$U$8:$U$62)=0)),"",COUNTIFS(G!$U$8:$U$62,"X11",G!$T$8:$T$62,"AB"))</f>
        <v>0</v>
      </c>
      <c r="N85" s="17">
        <f>IF(OR((COUNTA(G!$S$8:$S$62)=0),(COUNTA(G!$U$8:$U$62)=0)),"",COUNTIFS(G!$U$8:$U$62,"X12",G!$T$8:$T$62,"AB"))</f>
        <v>0</v>
      </c>
      <c r="O85" s="17">
        <f>IF(OR((COUNTA(G!$S$8:$S$62)=0),(COUNTA(G!$U$8:$U$62)=0)),"",COUNTIFS(G!$U$8:$U$62,"X13",G!$T$8:$T$62,"AB"))</f>
        <v>0</v>
      </c>
      <c r="P85" s="17">
        <f>IF(OR((COUNTA(G!$S$8:$S$62)=0),(COUNTA(G!$U$8:$U$62)=0)),"",COUNTIFS(G!$U$8:$U$62,"X14",G!$T$8:$T$62,"AB"))</f>
        <v>0</v>
      </c>
      <c r="Q85" s="17">
        <f>IF(OR((COUNTA(G!$S$8:$S$62)=0),(COUNTA(G!$U$8:$U$62)=0)),"",COUNTIFS(G!$U$8:$U$62,"X15",G!$T$8:$T$62,"AB"))</f>
        <v>0</v>
      </c>
      <c r="R85" s="43">
        <f>IF(OR((COUNTA(G!$S$8:$S$62)=0),(COUNTA(G!$U$8:$U$62)=0)),"",COUNTIFS(G!$U$8:$U$62,"X16",G!$T$8:$T$62,"AB"))</f>
        <v>0</v>
      </c>
      <c r="S85" s="16">
        <f>IF(OR((COUNTA(G!$V$8:$V$62)=0),(COUNTA(G!$X$8:$X$62)=0)),"",COUNTIFS(G!$X$8:$X$62,"X17",G!$W$8:$W$62,"AB"))</f>
        <v>0</v>
      </c>
      <c r="T85" s="17">
        <f>IF(OR((COUNTA(G!$V$8:$V$62)=0),(COUNTA(G!$X$8:$X$62)=0)),"",COUNTIFS(G!$X$8:$X$62,"X18",G!$W$8:$W$62,"AB"))</f>
        <v>0</v>
      </c>
      <c r="U85" s="17">
        <f>IF(OR((COUNTA(G!$V$8:$V$62)=0),(COUNTA(G!$X$8:$X$62)=0)),"",COUNTIFS(G!$X$8:$X$62,"X19",G!$W$8:$W$62,"AB"))</f>
        <v>0</v>
      </c>
      <c r="V85" s="17">
        <f>IF(OR((COUNTA(G!$V$8:$V$62)=0),(COUNTA(G!$X$8:$X$62)=0)),"",COUNTIFS(G!$X$8:$X$62,"X20",G!$W$8:$W$62,"AB"))</f>
        <v>0</v>
      </c>
      <c r="W85" s="17">
        <f>IF(OR((COUNTA(G!$V$8:$V$62)=0),(COUNTA(G!$X$8:$X$62)=0)),"",COUNTIFS(G!$X$8:$X$62,"X21",G!$W$8:$W$62,"AB"))</f>
        <v>0</v>
      </c>
      <c r="X85" s="17">
        <f>IF(OR((COUNTA(G!$V$8:$V$62)=0),(COUNTA(G!$X$8:$X$62)=0)),"",COUNTIFS(G!$X$8:$X$62,"X22",G!$W$8:$W$62,"AB"))</f>
        <v>0</v>
      </c>
      <c r="Y85" s="17">
        <f>IF(OR((COUNTA(G!$V$8:$V$62)=0),(COUNTA(G!$X$8:$X$62)=0)),"",COUNTIFS(G!$X$8:$X$62,"X23",G!$W$8:$W$62,"AB"))</f>
        <v>0</v>
      </c>
      <c r="Z85" s="43">
        <f>IF(OR((COUNTA(G!$V$8:$V$62)=0),(COUNTA(G!$X$8:$X$62)=0)),"",COUNTIFS(G!$X$8:$X$62,"X24",G!$W$8:$W$62,"AB"))</f>
        <v>0</v>
      </c>
    </row>
    <row r="86" spans="1:26" s="2" customFormat="1" ht="13.5" customHeight="1">
      <c r="A86" s="500"/>
      <c r="B86" s="32" t="s">
        <v>48</v>
      </c>
      <c r="C86" s="13">
        <f>IF(OR((COUNTA(G!$P$8:$P$62)=0),(COUNTA(G!$R$8:$R$62)=0)),"",COUNTIFS(G!$R$8:$R$62,"X01",G!$P$8:$P$62,"&lt;=39",G!$P$8:$P$62,"&gt;=30"))</f>
        <v>0</v>
      </c>
      <c r="D86" s="14">
        <f>IF(OR((COUNTA(G!$P$8:$P$62)=0),(COUNTA(G!$R$8:$R$62)=0)),"",COUNTIFS(G!$R$8:$R$62,"X02",G!$P$8:$P$62,"&lt;=39",G!$P$8:$P$62,"&gt;=30"))</f>
        <v>0</v>
      </c>
      <c r="E86" s="14">
        <f>IF(OR((COUNTA(G!$P$8:$P$62)=0),(COUNTA(G!$R$8:$R$62)=0)),"",COUNTIFS(G!$R$8:$R$62,"X03",G!$P$8:$P$62,"&lt;=39",G!$P$8:$P$62,"&gt;=30"))</f>
        <v>0</v>
      </c>
      <c r="F86" s="14">
        <f>IF(OR((COUNTA(G!$P$8:$P$62)=0),(COUNTA(G!$R$8:$R$62)=0)),"",COUNTIFS(G!$R$8:$R$62,"X04",G!$P$8:$P$62,"&lt;=39",G!$P$8:$P$62,"&gt;=30"))</f>
        <v>1</v>
      </c>
      <c r="G86" s="14">
        <f>IF(OR((COUNTA(G!$P$8:$P$62)=0),(COUNTA(G!$R$8:$R$62)=0)),"",COUNTIFS(G!$R$8:$R$62,"X05",G!$P$8:$P$62,"&lt;=39",G!$P$8:$P$62,"&gt;=30"))</f>
        <v>0</v>
      </c>
      <c r="H86" s="14">
        <f>IF(OR((COUNTA(G!$P$8:$P$62)=0),(COUNTA(G!$R$8:$R$62)=0)),"",COUNTIFS(G!$R$8:$R$62,"X06",G!$P$8:$P$62,"&lt;=39",G!$P$8:$P$62,"&gt;=30"))</f>
        <v>0</v>
      </c>
      <c r="I86" s="14">
        <f>IF(OR((COUNTA(G!$P$8:$P$62)=0),(COUNTA(G!$R$8:$R$62)=0)),"",COUNTIFS(G!$R$8:$R$62,"X07",G!$P$8:$P$62,"&lt;=39",G!$P$8:$P$62,"&gt;=30"))</f>
        <v>0</v>
      </c>
      <c r="J86" s="42">
        <f>IF(OR((COUNTA(G!$P$8:$P$62)=0),(COUNTA(G!$R$8:$R$62)=0)),"",COUNTIFS(G!$R$8:$R$62,"X08",G!$P$8:$P$62,"&lt;=39",G!$P$8:$P$62,"&gt;=30"))</f>
        <v>0</v>
      </c>
      <c r="K86" s="13">
        <f>IF(OR((COUNTA(G!$S$8:$S$62)=0),(COUNTA(G!$U$8:$U$62)=0)),"",COUNTIFS(G!$U$8:$U$62,"X09",G!$S$8:$S$62,"&lt;=39",G!$S$8:$S$62,"&gt;=30"))</f>
        <v>0</v>
      </c>
      <c r="L86" s="14">
        <f>IF(OR((COUNTA(G!$S$8:$S$62)=0),(COUNTA(G!$U$8:$U$62)=0)),"",COUNTIFS(G!$U$8:$U$62,"X10",G!$S$8:$S$62,"&lt;=39",G!$S$8:$S$62,"&gt;=30"))</f>
        <v>0</v>
      </c>
      <c r="M86" s="14">
        <f>IF(OR((COUNTA(G!$S$8:$S$62)=0),(COUNTA(G!$U$8:$U$62)=0)),"",COUNTIFS(G!$U$8:$U$62,"X11",G!$S$8:$S$62,"&lt;=39",G!$S$8:$S$62,"&gt;=30"))</f>
        <v>0</v>
      </c>
      <c r="N86" s="14">
        <f>IF(OR((COUNTA(G!$S$8:$S$62)=0),(COUNTA(G!$U$8:$U$62)=0)),"",COUNTIFS(G!$U$8:$U$62,"X12",G!$S$8:$S$62,"&lt;=39",G!$S$8:$S$62,"&gt;=30"))</f>
        <v>0</v>
      </c>
      <c r="O86" s="14">
        <f>IF(OR((COUNTA(G!$S$8:$S$62)=0),(COUNTA(G!$U$8:$U$62)=0)),"",COUNTIFS(G!$U$8:$U$62,"X13",G!$S$8:$S$62,"&lt;=39",G!$S$8:$S$62,"&gt;=30"))</f>
        <v>0</v>
      </c>
      <c r="P86" s="14">
        <f>IF(OR((COUNTA(G!$S$8:$S$62)=0),(COUNTA(G!$U$8:$U$62)=0)),"",COUNTIFS(G!$U$8:$U$62,"X14",G!$S$8:$S$62,"&lt;=39",G!$S$8:$S$62,"&gt;=30"))</f>
        <v>0</v>
      </c>
      <c r="Q86" s="14">
        <f>IF(OR((COUNTA(G!$S$8:$S$62)=0),(COUNTA(G!$U$8:$U$62)=0)),"",COUNTIFS(G!$U$8:$U$62,"X15",G!$S$8:$S$62,"&lt;=39",G!$S$8:$S$62,"&gt;=30"))</f>
        <v>0</v>
      </c>
      <c r="R86" s="42">
        <f>IF(OR((COUNTA(G!$S$8:$S$62)=0),(COUNTA(G!$U$8:$U$62)=0)),"",COUNTIFS(G!$U$8:$U$62,"X16",G!$S$8:$S$62,"&lt;=39",G!$S$8:$S$62,"&gt;=30"))</f>
        <v>0</v>
      </c>
      <c r="S86" s="13">
        <f>IF(OR((COUNTA(G!$V$8:$V$62)=0),(COUNTA(G!$X$8:$X$62)=0)),"",COUNTIFS(G!$X$8:$X$62,"X17",G!$V$8:$V$62,"&lt;=39",G!$V$8:$V$62,"&gt;=30"))</f>
        <v>0</v>
      </c>
      <c r="T86" s="14">
        <f>IF(OR((COUNTA(G!$V$8:$V$62)=0),(COUNTA(G!$X$8:$X$62)=0)),"",COUNTIFS(G!$X$8:$X$62,"X18",G!$V$8:$V$62,"&lt;=39",G!$V$8:$V$62,"&gt;=30"))</f>
        <v>0</v>
      </c>
      <c r="U86" s="14">
        <f>IF(OR((COUNTA(G!$V$8:$V$62)=0),(COUNTA(G!$X$8:$X$62)=0)),"",COUNTIFS(G!$X$8:$X$62,"X19",G!$V$8:$V$62,"&lt;=39",G!$V$8:$V$62,"&gt;=30"))</f>
        <v>0</v>
      </c>
      <c r="V86" s="14">
        <f>IF(OR((COUNTA(G!$V$8:$V$62)=0),(COUNTA(G!$X$8:$X$62)=0)),"",COUNTIFS(G!$X$8:$X$62,"X20",G!$V$8:$V$62,"&lt;=39",G!$V$8:$V$62,"&gt;=30"))</f>
        <v>0</v>
      </c>
      <c r="W86" s="14">
        <f>IF(OR((COUNTA(G!$V$8:$V$62)=0),(COUNTA(G!$X$8:$X$62)=0)),"",COUNTIFS(G!$X$8:$X$62,"X21",G!$V$8:$V$62,"&lt;=39",G!$V$8:$V$62,"&gt;=30"))</f>
        <v>0</v>
      </c>
      <c r="X86" s="14">
        <f>IF(OR((COUNTA(G!$V$8:$V$62)=0),(COUNTA(G!$X$8:$X$62)=0)),"",COUNTIFS(G!$X$8:$X$62,"X22",G!$V$8:$V$62,"&lt;=39",G!$V$8:$V$62,"&gt;=30"))</f>
        <v>0</v>
      </c>
      <c r="Y86" s="14">
        <f>IF(OR((COUNTA(G!$V$8:$V$62)=0),(COUNTA(G!$X$8:$X$62)=0)),"",COUNTIFS(G!$X$8:$X$62,"X23",G!$V$8:$V$62,"&lt;=39",G!$V$8:$V$62,"&gt;=30"))</f>
        <v>0</v>
      </c>
      <c r="Z86" s="42">
        <f>IF(OR((COUNTA(G!$V$8:$V$62)=0),(COUNTA(G!$X$8:$X$62)=0)),"",COUNTIFS(G!$X$8:$X$62,"X24",G!$V$8:$V$62,"&lt;=39",G!$V$8:$V$62,"&gt;=30"))</f>
        <v>0</v>
      </c>
    </row>
    <row r="87" spans="1:26" s="2" customFormat="1" ht="13.5" customHeight="1">
      <c r="A87" s="500"/>
      <c r="B87" s="32" t="s">
        <v>51</v>
      </c>
      <c r="C87" s="13">
        <f>IF(OR((COUNTA(G!$P$8:$P$62)=0),(COUNTA(G!$R$8:$R$62)=0)),"",COUNTIFS(G!$R$8:$R$62,"X01",G!$P$8:$P$62,"&lt;=29",G!$P$8:$P$62,"&gt;=20"))</f>
        <v>0</v>
      </c>
      <c r="D87" s="14">
        <f>IF(OR((COUNTA(G!$P$8:$P$62)=0),(COUNTA(G!$R$8:$R$62)=0)),"",COUNTIFS(G!$R$8:$R$62,"X02",G!$P$8:$P$62,"&lt;=29",G!$P$8:$P$62,"&gt;=20"))</f>
        <v>0</v>
      </c>
      <c r="E87" s="14">
        <f>IF(OR((COUNTA(G!$P$8:$P$62)=0),(COUNTA(G!$R$8:$R$62)=0)),"",COUNTIFS(G!$R$8:$R$62,"X03",G!$P$8:$P$62,"&lt;=29",G!$P$8:$P$62,"&gt;=20"))</f>
        <v>0</v>
      </c>
      <c r="F87" s="14">
        <f>IF(OR((COUNTA(G!$P$8:$P$62)=0),(COUNTA(G!$R$8:$R$62)=0)),"",COUNTIFS(G!$R$8:$R$62,"X04",G!$P$8:$P$62,"&lt;=29",G!$P$8:$P$62,"&gt;=20"))</f>
        <v>1</v>
      </c>
      <c r="G87" s="14">
        <f>IF(OR((COUNTA(G!$P$8:$P$62)=0),(COUNTA(G!$R$8:$R$62)=0)),"",COUNTIFS(G!$R$8:$R$62,"X05",G!$P$8:$P$62,"&lt;=29",G!$P$8:$P$62,"&gt;=20"))</f>
        <v>0</v>
      </c>
      <c r="H87" s="14">
        <f>IF(OR((COUNTA(G!$P$8:$P$62)=0),(COUNTA(G!$R$8:$R$62)=0)),"",COUNTIFS(G!$R$8:$R$62,"X06",G!$P$8:$P$62,"&lt;=29",G!$P$8:$P$62,"&gt;=20"))</f>
        <v>0</v>
      </c>
      <c r="I87" s="14">
        <f>IF(OR((COUNTA(G!$P$8:$P$62)=0),(COUNTA(G!$R$8:$R$62)=0)),"",COUNTIFS(G!$R$8:$R$62,"X07",G!$P$8:$P$62,"&lt;=29",G!$P$8:$P$62,"&gt;=20"))</f>
        <v>0</v>
      </c>
      <c r="J87" s="42">
        <f>IF(OR((COUNTA(G!$P$8:$P$62)=0),(COUNTA(G!$R$8:$R$62)=0)),"",COUNTIFS(G!$R$8:$R$62,"X08",G!$P$8:$P$62,"&lt;=29",G!$P$8:$P$62,"&gt;=20"))</f>
        <v>0</v>
      </c>
      <c r="K87" s="13">
        <f>IF(OR((COUNTA(G!$S$8:$S$62)=0),(COUNTA(G!$U$8:$U$62)=0)),"",COUNTIFS(G!$U$8:$U$62,"X09",G!$S$8:$S$62,"&lt;=29",G!$S$8:$S$62,"&gt;=20"))</f>
        <v>0</v>
      </c>
      <c r="L87" s="14">
        <f>IF(OR((COUNTA(G!$S$8:$S$62)=0),(COUNTA(G!$U$8:$U$62)=0)),"",COUNTIFS(G!$U$8:$U$62,"X10",G!$S$8:$S$62,"&lt;=29",G!$S$8:$S$62,"&gt;=20"))</f>
        <v>0</v>
      </c>
      <c r="M87" s="14">
        <f>IF(OR((COUNTA(G!$S$8:$S$62)=0),(COUNTA(G!$U$8:$U$62)=0)),"",COUNTIFS(G!$U$8:$U$62,"X11",G!$S$8:$S$62,"&lt;=29",G!$S$8:$S$62,"&gt;=20"))</f>
        <v>0</v>
      </c>
      <c r="N87" s="14">
        <f>IF(OR((COUNTA(G!$S$8:$S$62)=0),(COUNTA(G!$U$8:$U$62)=0)),"",COUNTIFS(G!$U$8:$U$62,"X12",G!$S$8:$S$62,"&lt;=29",G!$S$8:$S$62,"&gt;=20"))</f>
        <v>0</v>
      </c>
      <c r="O87" s="14">
        <f>IF(OR((COUNTA(G!$S$8:$S$62)=0),(COUNTA(G!$U$8:$U$62)=0)),"",COUNTIFS(G!$U$8:$U$62,"X13",G!$S$8:$S$62,"&lt;=29",G!$S$8:$S$62,"&gt;=20"))</f>
        <v>0</v>
      </c>
      <c r="P87" s="14">
        <f>IF(OR((COUNTA(G!$S$8:$S$62)=0),(COUNTA(G!$U$8:$U$62)=0)),"",COUNTIFS(G!$U$8:$U$62,"X14",G!$S$8:$S$62,"&lt;=29",G!$S$8:$S$62,"&gt;=20"))</f>
        <v>0</v>
      </c>
      <c r="Q87" s="14">
        <f>IF(OR((COUNTA(G!$S$8:$S$62)=0),(COUNTA(G!$U$8:$U$62)=0)),"",COUNTIFS(G!$U$8:$U$62,"X15",G!$S$8:$S$62,"&lt;=29",G!$S$8:$S$62,"&gt;=20"))</f>
        <v>0</v>
      </c>
      <c r="R87" s="42">
        <f>IF(OR((COUNTA(G!$S$8:$S$62)=0),(COUNTA(G!$U$8:$U$62)=0)),"",COUNTIFS(G!$U$8:$U$62,"X16",G!$S$8:$S$62,"&lt;=29",G!$S$8:$S$62,"&gt;=20"))</f>
        <v>0</v>
      </c>
      <c r="S87" s="13">
        <f>IF(OR((COUNTA(G!$V$8:$V$62)=0),(COUNTA(G!$X$8:$X$62)=0)),"",COUNTIFS(G!$X$8:$X$62,"X17",G!$V$8:$V$62,"&lt;=29",G!$V$8:$V$62,"&gt;=20"))</f>
        <v>2</v>
      </c>
      <c r="T87" s="14">
        <f>IF(OR((COUNTA(G!$V$8:$V$62)=0),(COUNTA(G!$X$8:$X$62)=0)),"",COUNTIFS(G!$X$8:$X$62,"X18",G!$V$8:$V$62,"&lt;=29",G!$V$8:$V$62,"&gt;=20"))</f>
        <v>0</v>
      </c>
      <c r="U87" s="14">
        <f>IF(OR((COUNTA(G!$V$8:$V$62)=0),(COUNTA(G!$X$8:$X$62)=0)),"",COUNTIFS(G!$X$8:$X$62,"X19",G!$V$8:$V$62,"&lt;=29",G!$V$8:$V$62,"&gt;=20"))</f>
        <v>0</v>
      </c>
      <c r="V87" s="14">
        <f>IF(OR((COUNTA(G!$V$8:$V$62)=0),(COUNTA(G!$X$8:$X$62)=0)),"",COUNTIFS(G!$X$8:$X$62,"X20",G!$V$8:$V$62,"&lt;=29",G!$V$8:$V$62,"&gt;=20"))</f>
        <v>0</v>
      </c>
      <c r="W87" s="14">
        <f>IF(OR((COUNTA(G!$V$8:$V$62)=0),(COUNTA(G!$X$8:$X$62)=0)),"",COUNTIFS(G!$X$8:$X$62,"X21",G!$V$8:$V$62,"&lt;=29",G!$V$8:$V$62,"&gt;=20"))</f>
        <v>0</v>
      </c>
      <c r="X87" s="14">
        <f>IF(OR((COUNTA(G!$V$8:$V$62)=0),(COUNTA(G!$X$8:$X$62)=0)),"",COUNTIFS(G!$X$8:$X$62,"X22",G!$V$8:$V$62,"&lt;=29",G!$V$8:$V$62,"&gt;=20"))</f>
        <v>0</v>
      </c>
      <c r="Y87" s="14">
        <f>IF(OR((COUNTA(G!$V$8:$V$62)=0),(COUNTA(G!$X$8:$X$62)=0)),"",COUNTIFS(G!$X$8:$X$62,"X23",G!$V$8:$V$62,"&lt;=29",G!$V$8:$V$62,"&gt;=20"))</f>
        <v>0</v>
      </c>
      <c r="Z87" s="42">
        <f>IF(OR((COUNTA(G!$V$8:$V$62)=0),(COUNTA(G!$X$8:$X$62)=0)),"",COUNTIFS(G!$X$8:$X$62,"X24",G!$V$8:$V$62,"&lt;=29",G!$V$8:$V$62,"&gt;=20"))</f>
        <v>0</v>
      </c>
    </row>
    <row r="88" spans="1:26" s="2" customFormat="1" ht="13.5" customHeight="1">
      <c r="A88" s="500"/>
      <c r="B88" s="33" t="s">
        <v>52</v>
      </c>
      <c r="C88" s="16">
        <f>IF(OR((COUNTA(G!$P$8:$P$62)=0),(COUNTA(G!$R$8:$R$62)=0)),"",COUNTIFS(G!$R$8:$R$62,"X01",G!$P$8:$P$62,"&lt;=19",G!$P$8:$P$62,"&gt;=10"))</f>
        <v>0</v>
      </c>
      <c r="D88" s="17">
        <f>IF(OR((COUNTA(G!$P$8:$P$62)=0),(COUNTA(G!$R$8:$R$62)=0)),"",COUNTIFS(G!$R$8:$R$62,"X02",G!$P$8:$P$62,"&lt;=19",G!$P$8:$P$62,"&gt;=10"))</f>
        <v>0</v>
      </c>
      <c r="E88" s="17">
        <f>IF(OR((COUNTA(G!$P$8:$P$62)=0),(COUNTA(G!$R$8:$R$62)=0)),"",COUNTIFS(G!$R$8:$R$62,"X03",G!$P$8:$P$62,"&lt;=19",G!$P$8:$P$62,"&gt;=10"))</f>
        <v>0</v>
      </c>
      <c r="F88" s="17">
        <f>IF(OR((COUNTA(G!$P$8:$P$62)=0),(COUNTA(G!$R$8:$R$62)=0)),"",COUNTIFS(G!$R$8:$R$62,"X04",G!$P$8:$P$62,"&lt;=19",G!$P$8:$P$62,"&gt;=10"))</f>
        <v>0</v>
      </c>
      <c r="G88" s="17">
        <f>IF(OR((COUNTA(G!$P$8:$P$62)=0),(COUNTA(G!$R$8:$R$62)=0)),"",COUNTIFS(G!$R$8:$R$62,"X05",G!$P$8:$P$62,"&lt;=19",G!$P$8:$P$62,"&gt;=10"))</f>
        <v>0</v>
      </c>
      <c r="H88" s="17">
        <f>IF(OR((COUNTA(G!$P$8:$P$62)=0),(COUNTA(G!$R$8:$R$62)=0)),"",COUNTIFS(G!$R$8:$R$62,"X06",G!$P$8:$P$62,"&lt;=19",G!$P$8:$P$62,"&gt;=10"))</f>
        <v>0</v>
      </c>
      <c r="I88" s="17">
        <f>IF(OR((COUNTA(G!$P$8:$P$62)=0),(COUNTA(G!$R$8:$R$62)=0)),"",COUNTIFS(G!$R$8:$R$62,"X07",G!$P$8:$P$62,"&lt;=19",G!$P$8:$P$62,"&gt;=10"))</f>
        <v>0</v>
      </c>
      <c r="J88" s="43">
        <f>IF(OR((COUNTA(G!$P$8:$P$62)=0),(COUNTA(G!$R$8:$R$62)=0)),"",COUNTIFS(G!$R$8:$R$62,"X08",G!$P$8:$P$62,"&lt;=19",G!$P$8:$P$62,"&gt;=10"))</f>
        <v>0</v>
      </c>
      <c r="K88" s="16">
        <f>IF(OR((COUNTA(G!$S$8:$S$62)=0),(COUNTA(G!$U$8:$U$62)=0)),"",COUNTIFS(G!$U$8:$U$62,"X09",G!$S$8:$S$62,"&lt;=19",G!$S$8:$S$62,"&gt;=10"))</f>
        <v>0</v>
      </c>
      <c r="L88" s="17">
        <f>IF(OR((COUNTA(G!$S$8:$S$62)=0),(COUNTA(G!$U$8:$U$62)=0)),"",COUNTIFS(G!$U$8:$U$62,"X10",G!$S$8:$S$62,"&lt;=19",G!$S$8:$S$62,"&gt;=10"))</f>
        <v>0</v>
      </c>
      <c r="M88" s="17">
        <f>IF(OR((COUNTA(G!$S$8:$S$62)=0),(COUNTA(G!$U$8:$U$62)=0)),"",COUNTIFS(G!$U$8:$U$62,"X11",G!$S$8:$S$62,"&lt;=19",G!$S$8:$S$62,"&gt;=10"))</f>
        <v>0</v>
      </c>
      <c r="N88" s="17">
        <f>IF(OR((COUNTA(G!$S$8:$S$62)=0),(COUNTA(G!$U$8:$U$62)=0)),"",COUNTIFS(G!$U$8:$U$62,"X12",G!$S$8:$S$62,"&lt;=19",G!$S$8:$S$62,"&gt;=10"))</f>
        <v>0</v>
      </c>
      <c r="O88" s="17">
        <f>IF(OR((COUNTA(G!$S$8:$S$62)=0),(COUNTA(G!$U$8:$U$62)=0)),"",COUNTIFS(G!$U$8:$U$62,"X13",G!$S$8:$S$62,"&lt;=19",G!$S$8:$S$62,"&gt;=10"))</f>
        <v>0</v>
      </c>
      <c r="P88" s="17">
        <f>IF(OR((COUNTA(G!$S$8:$S$62)=0),(COUNTA(G!$U$8:$U$62)=0)),"",COUNTIFS(G!$U$8:$U$62,"X14",G!$S$8:$S$62,"&lt;=19",G!$S$8:$S$62,"&gt;=10"))</f>
        <v>0</v>
      </c>
      <c r="Q88" s="17">
        <f>IF(OR((COUNTA(G!$S$8:$S$62)=0),(COUNTA(G!$U$8:$U$62)=0)),"",COUNTIFS(G!$U$8:$U$62,"X15",G!$S$8:$S$62,"&lt;=19",G!$S$8:$S$62,"&gt;=10"))</f>
        <v>0</v>
      </c>
      <c r="R88" s="43">
        <f>IF(OR((COUNTA(G!$S$8:$S$62)=0),(COUNTA(G!$U$8:$U$62)=0)),"",COUNTIFS(G!$U$8:$U$62,"X16",G!$S$8:$S$62,"&lt;=19",G!$S$8:$S$62,"&gt;=10"))</f>
        <v>0</v>
      </c>
      <c r="S88" s="16">
        <f>IF(OR((COUNTA(G!$V$8:$V$62)=0),(COUNTA(G!$X$8:$X$62)=0)),"",COUNTIFS(G!$X$8:$X$62,"X17",G!$V$8:$V$62,"&lt;=19",G!$V$8:$V$62,"&gt;=10"))</f>
        <v>0</v>
      </c>
      <c r="T88" s="17">
        <f>IF(OR((COUNTA(G!$V$8:$V$62)=0),(COUNTA(G!$X$8:$X$62)=0)),"",COUNTIFS(G!$X$8:$X$62,"X18",G!$V$8:$V$62,"&lt;=19",G!$V$8:$V$62,"&gt;=10"))</f>
        <v>0</v>
      </c>
      <c r="U88" s="17">
        <f>IF(OR((COUNTA(G!$V$8:$V$62)=0),(COUNTA(G!$X$8:$X$62)=0)),"",COUNTIFS(G!$X$8:$X$62,"X19",G!$V$8:$V$62,"&lt;=19",G!$V$8:$V$62,"&gt;=10"))</f>
        <v>0</v>
      </c>
      <c r="V88" s="17">
        <f>IF(OR((COUNTA(G!$V$8:$V$62)=0),(COUNTA(G!$X$8:$X$62)=0)),"",COUNTIFS(G!$X$8:$X$62,"X20",G!$V$8:$V$62,"&lt;=19",G!$V$8:$V$62,"&gt;=10"))</f>
        <v>0</v>
      </c>
      <c r="W88" s="17">
        <f>IF(OR((COUNTA(G!$V$8:$V$62)=0),(COUNTA(G!$X$8:$X$62)=0)),"",COUNTIFS(G!$X$8:$X$62,"X21",G!$V$8:$V$62,"&lt;=19",G!$V$8:$V$62,"&gt;=10"))</f>
        <v>0</v>
      </c>
      <c r="X88" s="17">
        <f>IF(OR((COUNTA(G!$V$8:$V$62)=0),(COUNTA(G!$X$8:$X$62)=0)),"",COUNTIFS(G!$X$8:$X$62,"X22",G!$V$8:$V$62,"&lt;=19",G!$V$8:$V$62,"&gt;=10"))</f>
        <v>0</v>
      </c>
      <c r="Y88" s="17">
        <f>IF(OR((COUNTA(G!$V$8:$V$62)=0),(COUNTA(G!$X$8:$X$62)=0)),"",COUNTIFS(G!$X$8:$X$62,"X23",G!$V$8:$V$62,"&lt;=19",G!$V$8:$V$62,"&gt;=10"))</f>
        <v>0</v>
      </c>
      <c r="Z88" s="43">
        <f>IF(OR((COUNTA(G!$V$8:$V$62)=0),(COUNTA(G!$X$8:$X$62)=0)),"",COUNTIFS(G!$X$8:$X$62,"X24",G!$V$8:$V$62,"&lt;=19",G!$V$8:$V$62,"&gt;=10"))</f>
        <v>0</v>
      </c>
    </row>
    <row r="89" spans="1:26" s="2" customFormat="1" ht="13.5" customHeight="1">
      <c r="A89" s="501"/>
      <c r="B89" s="34" t="s">
        <v>55</v>
      </c>
      <c r="C89" s="21">
        <f>IF(OR((COUNTA(G!$P$8:$P$62)=0),(COUNTA(G!$R$8:$R$62)=0)),"",COUNTIFS(G!$R$8:$R$62,"X01",G!$P$8:$P$62,"&lt;=9"))</f>
        <v>0</v>
      </c>
      <c r="D89" s="22">
        <f>IF(OR((COUNTA(G!$P$8:$P$62)=0),(COUNTA(G!$R$8:$R$62)=0)),"",COUNTIFS(G!$R$8:$R$62,"X02",G!$P$8:$P$62,"&lt;=9"))</f>
        <v>0</v>
      </c>
      <c r="E89" s="22">
        <f>IF(OR((COUNTA(G!$P$8:$P$62)=0),(COUNTA(G!$R$8:$R$62)=0)),"",COUNTIFS(G!$R$8:$R$62,"X03",G!$P$8:$P$62,"&lt;=9"))</f>
        <v>0</v>
      </c>
      <c r="F89" s="22">
        <f>IF(OR((COUNTA(G!$P$8:$P$62)=0),(COUNTA(G!$R$8:$R$62)=0)),"",COUNTIFS(G!$R$8:$R$62,"X04",G!$P$8:$P$62,"&lt;=9"))</f>
        <v>0</v>
      </c>
      <c r="G89" s="22">
        <f>IF(OR((COUNTA(G!$P$8:$P$62)=0),(COUNTA(G!$R$8:$R$62)=0)),"",COUNTIFS(G!$R$8:$R$62,"X05",G!$P$8:$P$62,"&lt;=9"))</f>
        <v>0</v>
      </c>
      <c r="H89" s="22">
        <f>IF(OR((COUNTA(G!$P$8:$P$62)=0),(COUNTA(G!$R$8:$R$62)=0)),"",COUNTIFS(G!$R$8:$R$62,"X06",G!$P$8:$P$62,"&lt;=9"))</f>
        <v>0</v>
      </c>
      <c r="I89" s="22">
        <f>IF(OR((COUNTA(G!$P$8:$P$62)=0),(COUNTA(G!$R$8:$R$62)=0)),"",COUNTIFS(G!$R$8:$R$62,"X07",G!$P$8:$P$62,"&lt;=9"))</f>
        <v>0</v>
      </c>
      <c r="J89" s="44">
        <f>IF(OR((COUNTA(G!$P$8:$P$62)=0),(COUNTA(G!$R$8:$R$62)=0)),"",COUNTIFS(G!$R$8:$R$62,"X08",G!$P$8:$P$62,"&lt;=9"))</f>
        <v>0</v>
      </c>
      <c r="K89" s="21">
        <f>IF(OR((COUNTA(G!$S$8:$S$62)=0),(COUNTA(G!$U$8:$U$62)=0)),"",COUNTIFS(G!$U$8:$U$62,"X09",G!$S$8:$S$62,"&lt;=9"))</f>
        <v>0</v>
      </c>
      <c r="L89" s="22">
        <f>IF(OR((COUNTA(G!$S$8:$S$62)=0),(COUNTA(G!$U$8:$U$62)=0)),"",COUNTIFS(G!$U$8:$U$62,"X10",G!$S$8:$S$62,"&lt;=9"))</f>
        <v>0</v>
      </c>
      <c r="M89" s="22">
        <f>IF(OR((COUNTA(G!$S$8:$S$62)=0),(COUNTA(G!$U$8:$U$62)=0)),"",COUNTIFS(G!$U$8:$U$62,"X11",G!$S$8:$S$62,"&lt;=9"))</f>
        <v>0</v>
      </c>
      <c r="N89" s="22">
        <f>IF(OR((COUNTA(G!$S$8:$S$62)=0),(COUNTA(G!$U$8:$U$62)=0)),"",COUNTIFS(G!$U$8:$U$62,"X12",G!$S$8:$S$62,"&lt;=9"))</f>
        <v>0</v>
      </c>
      <c r="O89" s="22">
        <f>IF(OR((COUNTA(G!$S$8:$S$62)=0),(COUNTA(G!$U$8:$U$62)=0)),"",COUNTIFS(G!$U$8:$U$62,"X13",G!$S$8:$S$62,"&lt;=9"))</f>
        <v>0</v>
      </c>
      <c r="P89" s="22">
        <f>IF(OR((COUNTA(G!$S$8:$S$62)=0),(COUNTA(G!$U$8:$U$62)=0)),"",COUNTIFS(G!$U$8:$U$62,"X14",G!$S$8:$S$62,"&lt;=9"))</f>
        <v>0</v>
      </c>
      <c r="Q89" s="22">
        <f>IF(OR((COUNTA(G!$S$8:$S$62)=0),(COUNTA(G!$U$8:$U$62)=0)),"",COUNTIFS(G!$U$8:$U$62,"X15",G!$S$8:$S$62,"&lt;=9"))</f>
        <v>0</v>
      </c>
      <c r="R89" s="44">
        <f>IF(OR((COUNTA(G!$S$8:$S$62)=0),(COUNTA(G!$U$8:$U$62)=0)),"",COUNTIFS(G!$U$8:$U$62,"X16",G!$S$8:$S$62,"&lt;=9"))</f>
        <v>0</v>
      </c>
      <c r="S89" s="21">
        <f>IF(OR((COUNTA(G!$V$8:$V$62)=0),(COUNTA(G!$X$8:$X$62)=0)),"",COUNTIFS(G!$X$8:$X$62,"X17",G!$V$8:$V$62,"&lt;=9"))</f>
        <v>0</v>
      </c>
      <c r="T89" s="22">
        <f>IF(OR((COUNTA(G!$V$8:$V$62)=0),(COUNTA(G!$X$8:$X$62)=0)),"",COUNTIFS(G!$X$8:$X$62,"X18",G!$V$8:$V$62,"&lt;=9"))</f>
        <v>0</v>
      </c>
      <c r="U89" s="22">
        <f>IF(OR((COUNTA(G!$V$8:$V$62)=0),(COUNTA(G!$X$8:$X$62)=0)),"",COUNTIFS(G!$X$8:$X$62,"X19",G!$V$8:$V$62,"&lt;=9"))</f>
        <v>0</v>
      </c>
      <c r="V89" s="22">
        <f>IF(OR((COUNTA(G!$V$8:$V$62)=0),(COUNTA(G!$X$8:$X$62)=0)),"",COUNTIFS(G!$X$8:$X$62,"X20",G!$V$8:$V$62,"&lt;=9"))</f>
        <v>0</v>
      </c>
      <c r="W89" s="22">
        <f>IF(OR((COUNTA(G!$V$8:$V$62)=0),(COUNTA(G!$X$8:$X$62)=0)),"",COUNTIFS(G!$X$8:$X$62,"X21",G!$V$8:$V$62,"&lt;=9"))</f>
        <v>0</v>
      </c>
      <c r="X89" s="22">
        <f>IF(OR((COUNTA(G!$V$8:$V$62)=0),(COUNTA(G!$X$8:$X$62)=0)),"",COUNTIFS(G!$X$8:$X$62,"X22",G!$V$8:$V$62,"&lt;=9"))</f>
        <v>0</v>
      </c>
      <c r="Y89" s="22">
        <f>IF(OR((COUNTA(G!$V$8:$V$62)=0),(COUNTA(G!$X$8:$X$62)=0)),"",COUNTIFS(G!$X$8:$X$62,"X23",G!$V$8:$V$62,"&lt;=9"))</f>
        <v>0</v>
      </c>
      <c r="Z89" s="44">
        <f>IF(OR((COUNTA(G!$V$8:$V$62)=0),(COUNTA(G!$X$8:$X$62)=0)),"",COUNTIFS(G!$X$8:$X$62,"X24",G!$V$8:$V$62,"&lt;=9"))</f>
        <v>0</v>
      </c>
    </row>
    <row r="90" spans="1:26" s="2" customFormat="1" ht="13.5" customHeight="1">
      <c r="A90" s="497" t="s">
        <v>174</v>
      </c>
      <c r="B90" s="35" t="s">
        <v>33</v>
      </c>
      <c r="C90" s="24">
        <f>IF(AND(C80="",C81="",C82="",C83="",C84="",C85="",C86="",C87="",C88="",C89=""),"",(SUM(C80:C83,C86,C87)))</f>
        <v>0</v>
      </c>
      <c r="D90" s="25">
        <f t="shared" ref="D90" si="232">IF(AND(D80="",D81="",D82="",D83="",D84="",D85="",D86="",D87="",D88="",D89=""),"",(SUM(D80:D83,D86,D87)))</f>
        <v>0</v>
      </c>
      <c r="E90" s="25">
        <f t="shared" ref="E90" si="233">IF(AND(E80="",E81="",E82="",E83="",E84="",E85="",E86="",E87="",E88="",E89=""),"",(SUM(E80:E83,E86,E87)))</f>
        <v>0</v>
      </c>
      <c r="F90" s="25">
        <f t="shared" ref="F90" si="234">IF(AND(F80="",F81="",F82="",F83="",F84="",F85="",F86="",F87="",F88="",F89=""),"",(SUM(F80:F83,F86,F87)))</f>
        <v>45</v>
      </c>
      <c r="G90" s="25">
        <f t="shared" ref="G90" si="235">IF(AND(G80="",G81="",G82="",G83="",G84="",G85="",G86="",G87="",G88="",G89=""),"",(SUM(G80:G83,G86,G87)))</f>
        <v>0</v>
      </c>
      <c r="H90" s="25">
        <f t="shared" ref="H90" si="236">IF(AND(H80="",H81="",H82="",H83="",H84="",H85="",H86="",H87="",H88="",H89=""),"",(SUM(H80:H83,H86,H87)))</f>
        <v>0</v>
      </c>
      <c r="I90" s="25">
        <f t="shared" ref="I90" si="237">IF(AND(I80="",I81="",I82="",I83="",I84="",I85="",I86="",I87="",I88="",I89=""),"",(SUM(I80:I83,I86,I87)))</f>
        <v>0</v>
      </c>
      <c r="J90" s="45">
        <f t="shared" ref="J90" si="238">IF(AND(J80="",J81="",J82="",J83="",J84="",J85="",J86="",J87="",J88="",J89=""),"",(SUM(J80:J83,J86,J87)))</f>
        <v>0</v>
      </c>
      <c r="K90" s="24">
        <f t="shared" ref="K90" si="239">IF(AND(K80="",K81="",K82="",K83="",K84="",K85="",K86="",K87="",K88="",K89=""),"",(SUM(K80:K83,K86,K87)))</f>
        <v>6</v>
      </c>
      <c r="L90" s="25">
        <f t="shared" ref="L90" si="240">IF(AND(L80="",L81="",L82="",L83="",L84="",L85="",L86="",L87="",L88="",L89=""),"",(SUM(L80:L83,L86,L87)))</f>
        <v>0</v>
      </c>
      <c r="M90" s="25">
        <f t="shared" ref="M90" si="241">IF(AND(M80="",M81="",M82="",M83="",M84="",M85="",M86="",M87="",M88="",M89=""),"",(SUM(M80:M83,M86,M87)))</f>
        <v>3</v>
      </c>
      <c r="N90" s="25">
        <f t="shared" ref="N90" si="242">IF(AND(N80="",N81="",N82="",N83="",N84="",N85="",N86="",N87="",N88="",N89=""),"",(SUM(N80:N83,N86,N87)))</f>
        <v>5</v>
      </c>
      <c r="O90" s="25">
        <f t="shared" ref="O90" si="243">IF(AND(O80="",O81="",O82="",O83="",O84="",O85="",O86="",O87="",O88="",O89=""),"",(SUM(O80:O83,O86,O87)))</f>
        <v>11</v>
      </c>
      <c r="P90" s="25">
        <f t="shared" ref="P90" si="244">IF(AND(P80="",P81="",P82="",P83="",P84="",P85="",P86="",P87="",P88="",P89=""),"",(SUM(P80:P83,P86,P87)))</f>
        <v>0</v>
      </c>
      <c r="Q90" s="25">
        <f t="shared" ref="Q90" si="245">IF(AND(Q80="",Q81="",Q82="",Q83="",Q84="",Q85="",Q86="",Q87="",Q88="",Q89=""),"",(SUM(Q80:Q83,Q86,Q87)))</f>
        <v>0</v>
      </c>
      <c r="R90" s="48">
        <f t="shared" ref="R90" si="246">IF(AND(R80="",R81="",R82="",R83="",R84="",R85="",R86="",R87="",R88="",R89=""),"",(SUM(R80:R83,R86,R87)))</f>
        <v>0</v>
      </c>
      <c r="S90" s="49">
        <f t="shared" ref="S90" si="247">IF(AND(S80="",S81="",S82="",S83="",S84="",S85="",S86="",S87="",S88="",S89=""),"",(SUM(S80:S83,S86,S87)))</f>
        <v>9</v>
      </c>
      <c r="T90" s="25">
        <f t="shared" ref="T90" si="248">IF(AND(T80="",T81="",T82="",T83="",T84="",T85="",T86="",T87="",T88="",T89=""),"",(SUM(T80:T83,T86,T87)))</f>
        <v>32</v>
      </c>
      <c r="U90" s="25">
        <f t="shared" ref="U90" si="249">IF(AND(U80="",U81="",U82="",U83="",U84="",U85="",U86="",U87="",U88="",U89=""),"",(SUM(U80:U83,U86,U87)))</f>
        <v>0</v>
      </c>
      <c r="V90" s="25">
        <f t="shared" ref="V90" si="250">IF(AND(V80="",V81="",V82="",V83="",V84="",V85="",V86="",V87="",V88="",V89=""),"",(SUM(V80:V83,V86,V87)))</f>
        <v>0</v>
      </c>
      <c r="W90" s="25">
        <f t="shared" ref="W90" si="251">IF(AND(W80="",W81="",W82="",W83="",W84="",W85="",W86="",W87="",W88="",W89=""),"",(SUM(W80:W83,W86,W87)))</f>
        <v>0</v>
      </c>
      <c r="X90" s="25">
        <f t="shared" ref="X90" si="252">IF(AND(X80="",X81="",X82="",X83="",X84="",X85="",X86="",X87="",X88="",X89=""),"",(SUM(X80:X83,X86,X87)))</f>
        <v>0</v>
      </c>
      <c r="Y90" s="25">
        <f t="shared" ref="Y90" si="253">IF(AND(Y80="",Y81="",Y82="",Y83="",Y84="",Y85="",Y86="",Y87="",Y88="",Y89=""),"",(SUM(Y80:Y83,Y86,Y87)))</f>
        <v>0</v>
      </c>
      <c r="Z90" s="48">
        <f t="shared" ref="Z90" si="254">IF(AND(Z80="",Z81="",Z82="",Z83="",Z84="",Z85="",Z86="",Z87="",Z88="",Z89=""),"",(SUM(Z80:Z83,Z86,Z87)))</f>
        <v>0</v>
      </c>
    </row>
    <row r="91" spans="1:26" s="2" customFormat="1" ht="13.5" customHeight="1">
      <c r="A91" s="498"/>
      <c r="B91" s="36" t="s">
        <v>169</v>
      </c>
      <c r="C91" s="27">
        <f>IF(C90="","",IF(C90=0,0,((C90/(SUM(C80:C85))*100))))</f>
        <v>0</v>
      </c>
      <c r="D91" s="28">
        <f t="shared" ref="D91" si="255">IF(D90="","",IF(D90=0,0,((D90/(SUM(D80:D85))*100))))</f>
        <v>0</v>
      </c>
      <c r="E91" s="28">
        <f t="shared" ref="E91" si="256">IF(E90="","",IF(E90=0,0,((E90/(SUM(E80:E85))*100))))</f>
        <v>0</v>
      </c>
      <c r="F91" s="28">
        <f t="shared" ref="F91" si="257">IF(F90="","",IF(F90=0,0,((F90/(SUM(F80:F85))*100))))</f>
        <v>97.826086956521706</v>
      </c>
      <c r="G91" s="28">
        <f t="shared" ref="G91" si="258">IF(G90="","",IF(G90=0,0,((G90/(SUM(G80:G85))*100))))</f>
        <v>0</v>
      </c>
      <c r="H91" s="28">
        <f t="shared" ref="H91" si="259">IF(H90="","",IF(H90=0,0,((H90/(SUM(H80:H85))*100))))</f>
        <v>0</v>
      </c>
      <c r="I91" s="28">
        <f t="shared" ref="I91" si="260">IF(I90="","",IF(I90=0,0,((I90/(SUM(I80:I85))*100))))</f>
        <v>0</v>
      </c>
      <c r="J91" s="46">
        <f t="shared" ref="J91" si="261">IF(J90="","",IF(J90=0,0,((J90/(SUM(J80:J85))*100))))</f>
        <v>0</v>
      </c>
      <c r="K91" s="27">
        <f t="shared" ref="K91" si="262">IF(K90="","",IF(K90=0,0,((K90/(SUM(K80:K85))*100))))</f>
        <v>100</v>
      </c>
      <c r="L91" s="28">
        <f t="shared" ref="L91" si="263">IF(L90="","",IF(L90=0,0,((L90/(SUM(L80:L85))*100))))</f>
        <v>0</v>
      </c>
      <c r="M91" s="28">
        <f t="shared" ref="M91" si="264">IF(M90="","",IF(M90=0,0,((M90/(SUM(M80:M85))*100))))</f>
        <v>100</v>
      </c>
      <c r="N91" s="28">
        <f t="shared" ref="N91" si="265">IF(N90="","",IF(N90=0,0,((N90/(SUM(N80:N85))*100))))</f>
        <v>100</v>
      </c>
      <c r="O91" s="28">
        <f t="shared" ref="O91" si="266">IF(O90="","",IF(O90=0,0,((O90/(SUM(O80:O85))*100))))</f>
        <v>100</v>
      </c>
      <c r="P91" s="28">
        <f t="shared" ref="P91" si="267">IF(P90="","",IF(P90=0,0,((P90/(SUM(P80:P85))*100))))</f>
        <v>0</v>
      </c>
      <c r="Q91" s="28">
        <f t="shared" ref="Q91" si="268">IF(Q90="","",IF(Q90=0,0,((Q90/(SUM(Q80:Q85))*100))))</f>
        <v>0</v>
      </c>
      <c r="R91" s="50">
        <f t="shared" ref="R91" si="269">IF(R90="","",IF(R90=0,0,((R90/(SUM(R80:R85))*100))))</f>
        <v>0</v>
      </c>
      <c r="S91" s="51">
        <f t="shared" ref="S91" si="270">IF(S90="","",IF(S90=0,0,((S90/(SUM(S80:S85))*100))))</f>
        <v>100</v>
      </c>
      <c r="T91" s="28">
        <f t="shared" ref="T91" si="271">IF(T90="","",IF(T90=0,0,((T90/(SUM(T80:T85))*100))))</f>
        <v>100</v>
      </c>
      <c r="U91" s="28">
        <f t="shared" ref="U91" si="272">IF(U90="","",IF(U90=0,0,((U90/(SUM(U80:U85))*100))))</f>
        <v>0</v>
      </c>
      <c r="V91" s="28">
        <f t="shared" ref="V91" si="273">IF(V90="","",IF(V90=0,0,((V90/(SUM(V80:V85))*100))))</f>
        <v>0</v>
      </c>
      <c r="W91" s="28">
        <f t="shared" ref="W91" si="274">IF(W90="","",IF(W90=0,0,((W90/(SUM(W80:W85))*100))))</f>
        <v>0</v>
      </c>
      <c r="X91" s="28">
        <f t="shared" ref="X91" si="275">IF(X90="","",IF(X90=0,0,((X90/(SUM(X80:X85))*100))))</f>
        <v>0</v>
      </c>
      <c r="Y91" s="28">
        <f t="shared" ref="Y91" si="276">IF(Y90="","",IF(Y90=0,0,((Y90/(SUM(Y80:Y85))*100))))</f>
        <v>0</v>
      </c>
      <c r="Z91" s="50">
        <f t="shared" ref="Z91" si="277">IF(Z90="","",IF(Z90=0,0,((Z90/(SUM(Z80:Z85))*100))))</f>
        <v>0</v>
      </c>
    </row>
    <row r="92" spans="1:26" s="2" customFormat="1" ht="13.5" customHeight="1">
      <c r="A92" s="499" t="s">
        <v>166</v>
      </c>
      <c r="B92" s="29" t="s">
        <v>28</v>
      </c>
      <c r="C92" s="9" t="str">
        <f>IF(OR((COUNTA(H!$P$8:$P$62)=0),(COUNTA(H!$R$8:$R$62)=0)),"",COUNTIFS(H!$R$8:$R$62,"X01",H!$Q$8:$Q$62,"A"))</f>
        <v/>
      </c>
      <c r="D92" s="10" t="str">
        <f>IF(OR((COUNTA(H!$P$8:$P$62)=0),(COUNTA(H!$R$8:$R$62)=0)),"",COUNTIFS(H!$R$8:$R$62,"X02",H!$Q$8:$Q$62,"A"))</f>
        <v/>
      </c>
      <c r="E92" s="11" t="str">
        <f>IF(OR((COUNTA(H!$P$8:$P$62)=0),(COUNTA(H!$R$8:$R$62)=0)),"",COUNTIFS(H!$R$8:$R$62,"X03",H!$Q$8:$Q$62,"A"))</f>
        <v/>
      </c>
      <c r="F92" s="11" t="str">
        <f>IF(OR((COUNTA(H!$P$8:$P$62)=0),(COUNTA(H!$R$8:$R$62)=0)),"",COUNTIFS(H!$R$8:$R$62,"X04",H!$Q$8:$Q$62,"A"))</f>
        <v/>
      </c>
      <c r="G92" s="11" t="str">
        <f>IF(OR((COUNTA(H!$P$8:$P$62)=0),(COUNTA(H!$R$8:$R$62)=0)),"",COUNTIFS(H!$R$8:$R$62,"X05",H!$Q$8:$Q$62,"A"))</f>
        <v/>
      </c>
      <c r="H92" s="11" t="str">
        <f>IF(OR((COUNTA(H!$P$8:$P$62)=0),(COUNTA(H!$R$8:$R$62)=0)),"",COUNTIFS(H!$R$8:$R$62,"X06",H!$Q$8:$Q$62,"A"))</f>
        <v/>
      </c>
      <c r="I92" s="11" t="str">
        <f>IF(OR((COUNTA(H!$P$8:$P$62)=0),(COUNTA(H!$R$8:$R$62)=0)),"",COUNTIFS(H!$R$8:$R$62,"X07",H!$Q$8:$Q$62,"A"))</f>
        <v/>
      </c>
      <c r="J92" s="40" t="str">
        <f>IF(OR((COUNTA(H!$P$8:$P$62)=0),(COUNTA(H!$R$8:$R$62)=0)),"",COUNTIFS(H!$R$8:$R$62,"X08",H!$Q$8:$Q$62,"A"))</f>
        <v/>
      </c>
      <c r="K92" s="41" t="str">
        <f>IF(OR((COUNTA(H!$S$8:$S$62)=0),(COUNTA(H!$U$8:$U$62)=0)),"",COUNTIFS(H!$U$8:$U$62,"X09",H!$T$8:$T$62,"A"))</f>
        <v/>
      </c>
      <c r="L92" s="11" t="str">
        <f>IF(OR((COUNTA(H!$S$8:$S$62)=0),(COUNTA(H!$U$8:$U$62)=0)),"",COUNTIFS(H!$U$8:$U$62,"X10",H!$T$8:$T$62,"A"))</f>
        <v/>
      </c>
      <c r="M92" s="11" t="str">
        <f>IF(OR((COUNTA(H!$S$8:$S$62)=0),(COUNTA(H!$U$8:$U$62)=0)),"",COUNTIFS(H!$U$8:$U$62,"X11",H!$T$8:$T$62,"A"))</f>
        <v/>
      </c>
      <c r="N92" s="11" t="str">
        <f>IF(OR((COUNTA(H!$S$8:$S$62)=0),(COUNTA(H!$U$8:$U$62)=0)),"",COUNTIFS(H!$U$8:$U$62,"X12",H!$T$8:$T$62,"A"))</f>
        <v/>
      </c>
      <c r="O92" s="11" t="str">
        <f>IF(OR((COUNTA(H!$S$8:$S$62)=0),(COUNTA(H!$U$8:$U$62)=0)),"",COUNTIFS(H!$U$8:$U$62,"X13",H!$T$8:$T$62,"A"))</f>
        <v/>
      </c>
      <c r="P92" s="11" t="str">
        <f>IF(OR((COUNTA(H!$S$8:$S$62)=0),(COUNTA(H!$U$8:$U$62)=0)),"",COUNTIFS(H!$U$8:$U$62,"X14",H!$T$8:$T$62,"A"))</f>
        <v/>
      </c>
      <c r="Q92" s="11" t="str">
        <f>IF(OR((COUNTA(H!$S$8:$S$62)=0),(COUNTA(H!$U$8:$U$62)=0)),"",COUNTIFS(H!$U$8:$U$62,"X15",H!$T$8:$T$62,"A"))</f>
        <v/>
      </c>
      <c r="R92" s="40" t="str">
        <f>IF(OR((COUNTA(H!$S$8:$S$62)=0),(COUNTA(H!$U$8:$U$62)=0)),"",COUNTIFS(H!$U$8:$U$62,"X16",H!$T$8:$T$62,"A"))</f>
        <v/>
      </c>
      <c r="S92" s="41" t="str">
        <f>IF(OR((COUNTA(H!$V$8:$V$62)=0),(COUNTA(H!$X$8:$X$62)=0)),"",COUNTIFS(H!$X$8:$X$62,"X17",H!$W$8:$W$62,"A"))</f>
        <v/>
      </c>
      <c r="T92" s="11" t="str">
        <f>IF(OR((COUNTA(H!$V$8:$V$62)=0),(COUNTA(H!$X$8:$X$62)=0)),"",COUNTIFS(H!$X$8:$X$62,"X18",H!$W$8:$W$62,"A"))</f>
        <v/>
      </c>
      <c r="U92" s="11" t="str">
        <f>IF(OR((COUNTA(H!$V$8:$V$62)=0),(COUNTA(H!$X$8:$X$62)=0)),"",COUNTIFS(H!$X$8:$X$62,"X19",H!$W$8:$W$62,"A"))</f>
        <v/>
      </c>
      <c r="V92" s="11" t="str">
        <f>IF(OR((COUNTA(H!$V$8:$V$62)=0),(COUNTA(H!$X$8:$X$62)=0)),"",COUNTIFS(H!$X$8:$X$62,"X20",H!$W$8:$W$62,"A"))</f>
        <v/>
      </c>
      <c r="W92" s="11" t="str">
        <f>IF(OR((COUNTA(H!$V$8:$V$62)=0),(COUNTA(H!$X$8:$X$62)=0)),"",COUNTIFS(H!$X$8:$X$62,"X21",H!$W$8:$W$62,"A"))</f>
        <v/>
      </c>
      <c r="X92" s="11" t="str">
        <f>IF(OR((COUNTA(H!$V$8:$V$62)=0),(COUNTA(H!$X$8:$X$62)=0)),"",COUNTIFS(H!$X$8:$X$62,"X22",H!$W$8:$W$62,"A"))</f>
        <v/>
      </c>
      <c r="Y92" s="11" t="str">
        <f>IF(OR((COUNTA(H!$V$8:$V$62)=0),(COUNTA(H!$X$8:$X$62)=0)),"",COUNTIFS(H!$X$8:$X$62,"X23",H!$W$8:$W$62,"A"))</f>
        <v/>
      </c>
      <c r="Z92" s="40" t="str">
        <f>IF(OR((COUNTA(H!$V$8:$V$62)=0),(COUNTA(H!$X$8:$X$62)=0)),"",COUNTIFS(H!$X$8:$X$62,"X24",H!$W$8:$W$62,"A"))</f>
        <v/>
      </c>
    </row>
    <row r="93" spans="1:26" s="2" customFormat="1" ht="13.5" customHeight="1">
      <c r="A93" s="500"/>
      <c r="B93" s="30" t="s">
        <v>29</v>
      </c>
      <c r="C93" s="13" t="str">
        <f>IF(OR((COUNTA(H!$P$8:$P$62)=0),(COUNTA(H!$R$8:$R$62)=0)),"",COUNTIFS(H!$R$8:$R$62,"X01",H!$Q$8:$Q$62,"B"))</f>
        <v/>
      </c>
      <c r="D93" s="14" t="str">
        <f>IF(OR((COUNTA(H!$P$8:$P$62)=0),(COUNTA(H!$R$8:$R$62)=0)),"",COUNTIFS(H!$R$8:$R$62,"X02",H!$Q$8:$Q$62,"B"))</f>
        <v/>
      </c>
      <c r="E93" s="14" t="str">
        <f>IF(OR((COUNTA(H!$P$8:$P$62)=0),(COUNTA(H!$R$8:$R$62)=0)),"",COUNTIFS(H!$R$8:$R$62,"X03",H!$Q$8:$Q$62,"B"))</f>
        <v/>
      </c>
      <c r="F93" s="14" t="str">
        <f>IF(OR((COUNTA(H!$P$8:$P$62)=0),(COUNTA(H!$R$8:$R$62)=0)),"",COUNTIFS(H!$R$8:$R$62,"X04",H!$Q$8:$Q$62,"B"))</f>
        <v/>
      </c>
      <c r="G93" s="14" t="str">
        <f>IF(OR((COUNTA(H!$P$8:$P$62)=0),(COUNTA(H!$R$8:$R$62)=0)),"",COUNTIFS(H!$R$8:$R$62,"X05",H!$Q$8:$Q$62,"B"))</f>
        <v/>
      </c>
      <c r="H93" s="14" t="str">
        <f>IF(OR((COUNTA(H!$P$8:$P$62)=0),(COUNTA(H!$R$8:$R$62)=0)),"",COUNTIFS(H!$R$8:$R$62,"X06",H!$Q$8:$Q$62,"B"))</f>
        <v/>
      </c>
      <c r="I93" s="14" t="str">
        <f>IF(OR((COUNTA(H!$P$8:$P$62)=0),(COUNTA(H!$R$8:$R$62)=0)),"",COUNTIFS(H!$R$8:$R$62,"X07",H!$Q$8:$Q$62,"B"))</f>
        <v/>
      </c>
      <c r="J93" s="42" t="str">
        <f>IF(OR((COUNTA(H!$P$8:$P$62)=0),(COUNTA(H!$R$8:$R$62)=0)),"",COUNTIFS(H!$R$8:$R$62,"X08",H!$Q$8:$Q$62,"B"))</f>
        <v/>
      </c>
      <c r="K93" s="13" t="str">
        <f>IF(OR((COUNTA(H!$S$8:$S$62)=0),(COUNTA(H!$U$8:$U$62)=0)),"",COUNTIFS(H!$U$8:$U$62,"X09",H!$T$8:$T$62,"B"))</f>
        <v/>
      </c>
      <c r="L93" s="14" t="str">
        <f>IF(OR((COUNTA(H!$S$8:$S$62)=0),(COUNTA(H!$U$8:$U$62)=0)),"",COUNTIFS(H!$U$8:$U$62,"X10",H!$T$8:$T$62,"B"))</f>
        <v/>
      </c>
      <c r="M93" s="14" t="str">
        <f>IF(OR((COUNTA(H!$S$8:$S$62)=0),(COUNTA(H!$U$8:$U$62)=0)),"",COUNTIFS(H!$U$8:$U$62,"X11",H!$T$8:$T$62,"B"))</f>
        <v/>
      </c>
      <c r="N93" s="14" t="str">
        <f>IF(OR((COUNTA(H!$S$8:$S$62)=0),(COUNTA(H!$U$8:$U$62)=0)),"",COUNTIFS(H!$U$8:$U$62,"X12",H!$T$8:$T$62,"B"))</f>
        <v/>
      </c>
      <c r="O93" s="14" t="str">
        <f>IF(OR((COUNTA(H!$S$8:$S$62)=0),(COUNTA(H!$U$8:$U$62)=0)),"",COUNTIFS(H!$U$8:$U$62,"X13",H!$T$8:$T$62,"B"))</f>
        <v/>
      </c>
      <c r="P93" s="14" t="str">
        <f>IF(OR((COUNTA(H!$S$8:$S$62)=0),(COUNTA(H!$U$8:$U$62)=0)),"",COUNTIFS(H!$U$8:$U$62,"X14",H!$T$8:$T$62,"B"))</f>
        <v/>
      </c>
      <c r="Q93" s="14" t="str">
        <f>IF(OR((COUNTA(H!$S$8:$S$62)=0),(COUNTA(H!$U$8:$U$62)=0)),"",COUNTIFS(H!$U$8:$U$62,"X15",H!$T$8:$T$62,"B"))</f>
        <v/>
      </c>
      <c r="R93" s="42" t="str">
        <f>IF(OR((COUNTA(H!$S$8:$S$62)=0),(COUNTA(H!$U$8:$U$62)=0)),"",COUNTIFS(H!$U$8:$U$62,"X16",H!$T$8:$T$62,"B"))</f>
        <v/>
      </c>
      <c r="S93" s="13" t="str">
        <f>IF(OR((COUNTA(H!$V$8:$V$62)=0),(COUNTA(H!$X$8:$X$62)=0)),"",COUNTIFS(H!$X$8:$X$62,"X17",H!$W$8:$W$62,"B"))</f>
        <v/>
      </c>
      <c r="T93" s="14" t="str">
        <f>IF(OR((COUNTA(H!$V$8:$V$62)=0),(COUNTA(H!$X$8:$X$62)=0)),"",COUNTIFS(H!$X$8:$X$62,"X18",H!$W$8:$W$62,"B"))</f>
        <v/>
      </c>
      <c r="U93" s="14" t="str">
        <f>IF(OR((COUNTA(H!$V$8:$V$62)=0),(COUNTA(H!$X$8:$X$62)=0)),"",COUNTIFS(H!$X$8:$X$62,"X19",H!$W$8:$W$62,"B"))</f>
        <v/>
      </c>
      <c r="V93" s="14" t="str">
        <f>IF(OR((COUNTA(H!$V$8:$V$62)=0),(COUNTA(H!$X$8:$X$62)=0)),"",COUNTIFS(H!$X$8:$X$62,"X20",H!$W$8:$W$62,"B"))</f>
        <v/>
      </c>
      <c r="W93" s="14" t="str">
        <f>IF(OR((COUNTA(H!$V$8:$V$62)=0),(COUNTA(H!$X$8:$X$62)=0)),"",COUNTIFS(H!$X$8:$X$62,"X21",H!$W$8:$W$62,"B"))</f>
        <v/>
      </c>
      <c r="X93" s="14" t="str">
        <f>IF(OR((COUNTA(H!$V$8:$V$62)=0),(COUNTA(H!$X$8:$X$62)=0)),"",COUNTIFS(H!$X$8:$X$62,"X22",H!$W$8:$W$62,"B"))</f>
        <v/>
      </c>
      <c r="Y93" s="14" t="str">
        <f>IF(OR((COUNTA(H!$V$8:$V$62)=0),(COUNTA(H!$X$8:$X$62)=0)),"",COUNTIFS(H!$X$8:$X$62,"X23",H!$W$8:$W$62,"B"))</f>
        <v/>
      </c>
      <c r="Z93" s="42" t="str">
        <f>IF(OR((COUNTA(H!$V$8:$V$62)=0),(COUNTA(H!$X$8:$X$62)=0)),"",COUNTIFS(H!$X$8:$X$62,"X24",H!$W$8:$W$62,"B"))</f>
        <v/>
      </c>
    </row>
    <row r="94" spans="1:26" s="2" customFormat="1" ht="13.5" customHeight="1">
      <c r="A94" s="500"/>
      <c r="B94" s="30" t="s">
        <v>30</v>
      </c>
      <c r="C94" s="13" t="str">
        <f>IF(OR((COUNTA(H!$P$8:$P$62)=0),(COUNTA(H!$R$8:$R$62)=0)),"",COUNTIFS(H!$R$8:$R$62,"X01",H!$Q$8:$Q$62,"C"))</f>
        <v/>
      </c>
      <c r="D94" s="14" t="str">
        <f>IF(OR((COUNTA(H!$P$8:$P$62)=0),(COUNTA(H!$R$8:$R$62)=0)),"",COUNTIFS(H!$R$8:$R$62,"X02",H!$Q$8:$Q$62,"C"))</f>
        <v/>
      </c>
      <c r="E94" s="14" t="str">
        <f>IF(OR((COUNTA(H!$P$8:$P$62)=0),(COUNTA(H!$R$8:$R$62)=0)),"",COUNTIFS(H!$R$8:$R$62,"X03",H!$Q$8:$Q$62,"C"))</f>
        <v/>
      </c>
      <c r="F94" s="14" t="str">
        <f>IF(OR((COUNTA(H!$P$8:$P$62)=0),(COUNTA(H!$R$8:$R$62)=0)),"",COUNTIFS(H!$R$8:$R$62,"X04",H!$Q$8:$Q$62,"C"))</f>
        <v/>
      </c>
      <c r="G94" s="14" t="str">
        <f>IF(OR((COUNTA(H!$P$8:$P$62)=0),(COUNTA(H!$R$8:$R$62)=0)),"",COUNTIFS(H!$R$8:$R$62,"X05",H!$Q$8:$Q$62,"C"))</f>
        <v/>
      </c>
      <c r="H94" s="14" t="str">
        <f>IF(OR((COUNTA(H!$P$8:$P$62)=0),(COUNTA(H!$R$8:$R$62)=0)),"",COUNTIFS(H!$R$8:$R$62,"X06",H!$Q$8:$Q$62,"C"))</f>
        <v/>
      </c>
      <c r="I94" s="14" t="str">
        <f>IF(OR((COUNTA(H!$P$8:$P$62)=0),(COUNTA(H!$R$8:$R$62)=0)),"",COUNTIFS(H!$R$8:$R$62,"X07",H!$Q$8:$Q$62,"C"))</f>
        <v/>
      </c>
      <c r="J94" s="42" t="str">
        <f>IF(OR((COUNTA(H!$P$8:$P$62)=0),(COUNTA(H!$R$8:$R$62)=0)),"",COUNTIFS(H!$R$8:$R$62,"X08",H!$Q$8:$Q$62,"C"))</f>
        <v/>
      </c>
      <c r="K94" s="13" t="str">
        <f>IF(OR((COUNTA(H!$S$8:$S$62)=0),(COUNTA(H!$U$8:$U$62)=0)),"",COUNTIFS(H!$U$8:$U$62,"X09",H!$T$8:$T$62,"C"))</f>
        <v/>
      </c>
      <c r="L94" s="14" t="str">
        <f>IF(OR((COUNTA(H!$S$8:$S$62)=0),(COUNTA(H!$U$8:$U$62)=0)),"",COUNTIFS(H!$U$8:$U$62,"X10",H!$T$8:$T$62,"C"))</f>
        <v/>
      </c>
      <c r="M94" s="14" t="str">
        <f>IF(OR((COUNTA(H!$S$8:$S$62)=0),(COUNTA(H!$U$8:$U$62)=0)),"",COUNTIFS(H!$U$8:$U$62,"X11",H!$T$8:$T$62,"C"))</f>
        <v/>
      </c>
      <c r="N94" s="14" t="str">
        <f>IF(OR((COUNTA(H!$S$8:$S$62)=0),(COUNTA(H!$U$8:$U$62)=0)),"",COUNTIFS(H!$U$8:$U$62,"X12",H!$T$8:$T$62,"C"))</f>
        <v/>
      </c>
      <c r="O94" s="14" t="str">
        <f>IF(OR((COUNTA(H!$S$8:$S$62)=0),(COUNTA(H!$U$8:$U$62)=0)),"",COUNTIFS(H!$U$8:$U$62,"X13",H!$T$8:$T$62,"C"))</f>
        <v/>
      </c>
      <c r="P94" s="14" t="str">
        <f>IF(OR((COUNTA(H!$S$8:$S$62)=0),(COUNTA(H!$U$8:$U$62)=0)),"",COUNTIFS(H!$U$8:$U$62,"X14",H!$T$8:$T$62,"C"))</f>
        <v/>
      </c>
      <c r="Q94" s="14" t="str">
        <f>IF(OR((COUNTA(H!$S$8:$S$62)=0),(COUNTA(H!$U$8:$U$62)=0)),"",COUNTIFS(H!$U$8:$U$62,"X15",H!$T$8:$T$62,"C"))</f>
        <v/>
      </c>
      <c r="R94" s="42" t="str">
        <f>IF(OR((COUNTA(H!$S$8:$S$62)=0),(COUNTA(H!$U$8:$U$62)=0)),"",COUNTIFS(H!$U$8:$U$62,"X16",H!$T$8:$T$62,"C"))</f>
        <v/>
      </c>
      <c r="S94" s="13" t="str">
        <f>IF(OR((COUNTA(H!$V$8:$V$62)=0),(COUNTA(H!$X$8:$X$62)=0)),"",COUNTIFS(H!$X$8:$X$62,"X17",H!$W$8:$W$62,"C"))</f>
        <v/>
      </c>
      <c r="T94" s="14" t="str">
        <f>IF(OR((COUNTA(H!$V$8:$V$62)=0),(COUNTA(H!$X$8:$X$62)=0)),"",COUNTIFS(H!$X$8:$X$62,"X18",H!$W$8:$W$62,"C"))</f>
        <v/>
      </c>
      <c r="U94" s="14" t="str">
        <f>IF(OR((COUNTA(H!$V$8:$V$62)=0),(COUNTA(H!$X$8:$X$62)=0)),"",COUNTIFS(H!$X$8:$X$62,"X19",H!$W$8:$W$62,"C"))</f>
        <v/>
      </c>
      <c r="V94" s="14" t="str">
        <f>IF(OR((COUNTA(H!$V$8:$V$62)=0),(COUNTA(H!$X$8:$X$62)=0)),"",COUNTIFS(H!$X$8:$X$62,"X20",H!$W$8:$W$62,"C"))</f>
        <v/>
      </c>
      <c r="W94" s="14" t="str">
        <f>IF(OR((COUNTA(H!$V$8:$V$62)=0),(COUNTA(H!$X$8:$X$62)=0)),"",COUNTIFS(H!$X$8:$X$62,"X21",H!$W$8:$W$62,"C"))</f>
        <v/>
      </c>
      <c r="X94" s="14" t="str">
        <f>IF(OR((COUNTA(H!$V$8:$V$62)=0),(COUNTA(H!$X$8:$X$62)=0)),"",COUNTIFS(H!$X$8:$X$62,"X22",H!$W$8:$W$62,"C"))</f>
        <v/>
      </c>
      <c r="Y94" s="14" t="str">
        <f>IF(OR((COUNTA(H!$V$8:$V$62)=0),(COUNTA(H!$X$8:$X$62)=0)),"",COUNTIFS(H!$X$8:$X$62,"X23",H!$W$8:$W$62,"C"))</f>
        <v/>
      </c>
      <c r="Z94" s="42" t="str">
        <f>IF(OR((COUNTA(H!$V$8:$V$62)=0),(COUNTA(H!$X$8:$X$62)=0)),"",COUNTIFS(H!$X$8:$X$62,"X24",H!$W$8:$W$62,"C"))</f>
        <v/>
      </c>
    </row>
    <row r="95" spans="1:26" s="2" customFormat="1" ht="13.5" customHeight="1">
      <c r="A95" s="500"/>
      <c r="B95" s="30" t="s">
        <v>31</v>
      </c>
      <c r="C95" s="13" t="str">
        <f>IF(OR((COUNTA(H!$P$8:$P$62)=0),(COUNTA(H!$R$8:$R$62)=0)),"",COUNTIFS(H!$R$8:$R$62,"X01",H!$Q$8:$Q$62,"S"))</f>
        <v/>
      </c>
      <c r="D95" s="14" t="str">
        <f>IF(OR((COUNTA(H!$P$8:$P$62)=0),(COUNTA(H!$R$8:$R$62)=0)),"",COUNTIFS(H!$R$8:$R$62,"X02",H!$Q$8:$Q$62,"S"))</f>
        <v/>
      </c>
      <c r="E95" s="14" t="str">
        <f>IF(OR((COUNTA(H!$P$8:$P$62)=0),(COUNTA(H!$R$8:$R$62)=0)),"",COUNTIFS(H!$R$8:$R$62,"X03",H!$Q$8:$Q$62,"S"))</f>
        <v/>
      </c>
      <c r="F95" s="14" t="str">
        <f>IF(OR((COUNTA(H!$P$8:$P$62)=0),(COUNTA(H!$R$8:$R$62)=0)),"",COUNTIFS(H!$R$8:$R$62,"X04",H!$Q$8:$Q$62,"S"))</f>
        <v/>
      </c>
      <c r="G95" s="14" t="str">
        <f>IF(OR((COUNTA(H!$P$8:$P$62)=0),(COUNTA(H!$R$8:$R$62)=0)),"",COUNTIFS(H!$R$8:$R$62,"X05",H!$Q$8:$Q$62,"S"))</f>
        <v/>
      </c>
      <c r="H95" s="14" t="str">
        <f>IF(OR((COUNTA(H!$P$8:$P$62)=0),(COUNTA(H!$R$8:$R$62)=0)),"",COUNTIFS(H!$R$8:$R$62,"X06",H!$Q$8:$Q$62,"S"))</f>
        <v/>
      </c>
      <c r="I95" s="14" t="str">
        <f>IF(OR((COUNTA(H!$P$8:$P$62)=0),(COUNTA(H!$R$8:$R$62)=0)),"",COUNTIFS(H!$R$8:$R$62,"X07",H!$Q$8:$Q$62,"S"))</f>
        <v/>
      </c>
      <c r="J95" s="42" t="str">
        <f>IF(OR((COUNTA(H!$P$8:$P$62)=0),(COUNTA(H!$R$8:$R$62)=0)),"",COUNTIFS(H!$R$8:$R$62,"X08",H!$Q$8:$Q$62,"S"))</f>
        <v/>
      </c>
      <c r="K95" s="13" t="str">
        <f>IF(OR((COUNTA(H!$S$8:$S$62)=0),(COUNTA(H!$U$8:$U$62)=0)),"",COUNTIFS(H!$U$8:$U$62,"X09",H!$T$8:$T$62,"S"))</f>
        <v/>
      </c>
      <c r="L95" s="14" t="str">
        <f>IF(OR((COUNTA(H!$S$8:$S$62)=0),(COUNTA(H!$U$8:$U$62)=0)),"",COUNTIFS(H!$U$8:$U$62,"X10",H!$T$8:$T$62,"S"))</f>
        <v/>
      </c>
      <c r="M95" s="14" t="str">
        <f>IF(OR((COUNTA(H!$S$8:$S$62)=0),(COUNTA(H!$U$8:$U$62)=0)),"",COUNTIFS(H!$U$8:$U$62,"X11",H!$T$8:$T$62,"S"))</f>
        <v/>
      </c>
      <c r="N95" s="14" t="str">
        <f>IF(OR((COUNTA(H!$S$8:$S$62)=0),(COUNTA(H!$U$8:$U$62)=0)),"",COUNTIFS(H!$U$8:$U$62,"X12",H!$T$8:$T$62,"S"))</f>
        <v/>
      </c>
      <c r="O95" s="14" t="str">
        <f>IF(OR((COUNTA(H!$S$8:$S$62)=0),(COUNTA(H!$U$8:$U$62)=0)),"",COUNTIFS(H!$U$8:$U$62,"X13",H!$T$8:$T$62,"S"))</f>
        <v/>
      </c>
      <c r="P95" s="14" t="str">
        <f>IF(OR((COUNTA(H!$S$8:$S$62)=0),(COUNTA(H!$U$8:$U$62)=0)),"",COUNTIFS(H!$U$8:$U$62,"X14",H!$T$8:$T$62,"S"))</f>
        <v/>
      </c>
      <c r="Q95" s="14" t="str">
        <f>IF(OR((COUNTA(H!$S$8:$S$62)=0),(COUNTA(H!$U$8:$U$62)=0)),"",COUNTIFS(H!$U$8:$U$62,"X15",H!$T$8:$T$62,"S"))</f>
        <v/>
      </c>
      <c r="R95" s="42" t="str">
        <f>IF(OR((COUNTA(H!$S$8:$S$62)=0),(COUNTA(H!$U$8:$U$62)=0)),"",COUNTIFS(H!$U$8:$U$62,"X16",H!$T$8:$T$62,"S"))</f>
        <v/>
      </c>
      <c r="S95" s="13" t="str">
        <f>IF(OR((COUNTA(H!$V$8:$V$62)=0),(COUNTA(H!$X$8:$X$62)=0)),"",COUNTIFS(H!$X$8:$X$62,"X17",H!$W$8:$W$62,"S"))</f>
        <v/>
      </c>
      <c r="T95" s="14" t="str">
        <f>IF(OR((COUNTA(H!$V$8:$V$62)=0),(COUNTA(H!$X$8:$X$62)=0)),"",COUNTIFS(H!$X$8:$X$62,"X18",H!$W$8:$W$62,"S"))</f>
        <v/>
      </c>
      <c r="U95" s="14" t="str">
        <f>IF(OR((COUNTA(H!$V$8:$V$62)=0),(COUNTA(H!$X$8:$X$62)=0)),"",COUNTIFS(H!$X$8:$X$62,"X19",H!$W$8:$W$62,"S"))</f>
        <v/>
      </c>
      <c r="V95" s="14" t="str">
        <f>IF(OR((COUNTA(H!$V$8:$V$62)=0),(COUNTA(H!$X$8:$X$62)=0)),"",COUNTIFS(H!$X$8:$X$62,"X20",H!$W$8:$W$62,"S"))</f>
        <v/>
      </c>
      <c r="W95" s="14" t="str">
        <f>IF(OR((COUNTA(H!$V$8:$V$62)=0),(COUNTA(H!$X$8:$X$62)=0)),"",COUNTIFS(H!$X$8:$X$62,"X21",H!$W$8:$W$62,"S"))</f>
        <v/>
      </c>
      <c r="X95" s="14" t="str">
        <f>IF(OR((COUNTA(H!$V$8:$V$62)=0),(COUNTA(H!$X$8:$X$62)=0)),"",COUNTIFS(H!$X$8:$X$62,"X22",H!$W$8:$W$62,"S"))</f>
        <v/>
      </c>
      <c r="Y95" s="14" t="str">
        <f>IF(OR((COUNTA(H!$V$8:$V$62)=0),(COUNTA(H!$X$8:$X$62)=0)),"",COUNTIFS(H!$X$8:$X$62,"X23",H!$W$8:$W$62,"S"))</f>
        <v/>
      </c>
      <c r="Z95" s="42" t="str">
        <f>IF(OR((COUNTA(H!$V$8:$V$62)=0),(COUNTA(H!$X$8:$X$62)=0)),"",COUNTIFS(H!$X$8:$X$62,"X24",H!$W$8:$W$62,"S"))</f>
        <v/>
      </c>
    </row>
    <row r="96" spans="1:26" s="2" customFormat="1" ht="13.5" customHeight="1">
      <c r="A96" s="500"/>
      <c r="B96" s="31" t="s">
        <v>32</v>
      </c>
      <c r="C96" s="16" t="str">
        <f>IF(OR((COUNTA(H!$P$8:$P$62)=0),(COUNTA(H!$R$8:$R$62)=0)),"",COUNTIFS(H!$R$8:$R$62,"X01",H!$Q$8:$Q$62,"W"))</f>
        <v/>
      </c>
      <c r="D96" s="17" t="str">
        <f>IF(OR((COUNTA(H!$P$8:$P$62)=0),(COUNTA(H!$R$8:$R$62)=0)),"",COUNTIFS(H!$R$8:$R$62,"X02",H!$Q$8:$Q$62,"W"))</f>
        <v/>
      </c>
      <c r="E96" s="17" t="str">
        <f>IF(OR((COUNTA(H!$P$8:$P$62)=0),(COUNTA(H!$R$8:$R$62)=0)),"",COUNTIFS(H!$R$8:$R$62,"X03",H!$Q$8:$Q$62,"W"))</f>
        <v/>
      </c>
      <c r="F96" s="17" t="str">
        <f>IF(OR((COUNTA(H!$P$8:$P$62)=0),(COUNTA(H!$R$8:$R$62)=0)),"",COUNTIFS(H!$R$8:$R$62,"X04",H!$Q$8:$Q$62,"W"))</f>
        <v/>
      </c>
      <c r="G96" s="17" t="str">
        <f>IF(OR((COUNTA(H!$P$8:$P$62)=0),(COUNTA(H!$R$8:$R$62)=0)),"",COUNTIFS(H!$R$8:$R$62,"X05",H!$Q$8:$Q$62,"W"))</f>
        <v/>
      </c>
      <c r="H96" s="17" t="str">
        <f>IF(OR((COUNTA(H!$P$8:$P$62)=0),(COUNTA(H!$R$8:$R$62)=0)),"",COUNTIFS(H!$R$8:$R$62,"X06",H!$Q$8:$Q$62,"W"))</f>
        <v/>
      </c>
      <c r="I96" s="17" t="str">
        <f>IF(OR((COUNTA(H!$P$8:$P$62)=0),(COUNTA(H!$R$8:$R$62)=0)),"",COUNTIFS(H!$R$8:$R$62,"X07",H!$Q$8:$Q$62,"W"))</f>
        <v/>
      </c>
      <c r="J96" s="43" t="str">
        <f>IF(OR((COUNTA(H!$P$8:$P$62)=0),(COUNTA(H!$R$8:$R$62)=0)),"",COUNTIFS(H!$R$8:$R$62,"X08",H!$Q$8:$Q$62,"W"))</f>
        <v/>
      </c>
      <c r="K96" s="16" t="str">
        <f>IF(OR((COUNTA(H!$S$8:$S$62)=0),(COUNTA(H!$U$8:$U$62)=0)),"",COUNTIFS(H!$U$8:$U$62,"X09",H!$T$8:$T$62,"W"))</f>
        <v/>
      </c>
      <c r="L96" s="17" t="str">
        <f>IF(OR((COUNTA(H!$S$8:$S$62)=0),(COUNTA(H!$U$8:$U$62)=0)),"",COUNTIFS(H!$U$8:$U$62,"X10",H!$T$8:$T$62,"W"))</f>
        <v/>
      </c>
      <c r="M96" s="17" t="str">
        <f>IF(OR((COUNTA(H!$S$8:$S$62)=0),(COUNTA(H!$U$8:$U$62)=0)),"",COUNTIFS(H!$U$8:$U$62,"X11",H!$T$8:$T$62,"W"))</f>
        <v/>
      </c>
      <c r="N96" s="17" t="str">
        <f>IF(OR((COUNTA(H!$S$8:$S$62)=0),(COUNTA(H!$U$8:$U$62)=0)),"",COUNTIFS(H!$U$8:$U$62,"X12",H!$T$8:$T$62,"W"))</f>
        <v/>
      </c>
      <c r="O96" s="17" t="str">
        <f>IF(OR((COUNTA(H!$S$8:$S$62)=0),(COUNTA(H!$U$8:$U$62)=0)),"",COUNTIFS(H!$U$8:$U$62,"X13",H!$T$8:$T$62,"W"))</f>
        <v/>
      </c>
      <c r="P96" s="17" t="str">
        <f>IF(OR((COUNTA(H!$S$8:$S$62)=0),(COUNTA(H!$U$8:$U$62)=0)),"",COUNTIFS(H!$U$8:$U$62,"X14",H!$T$8:$T$62,"W"))</f>
        <v/>
      </c>
      <c r="Q96" s="17" t="str">
        <f>IF(OR((COUNTA(H!$S$8:$S$62)=0),(COUNTA(H!$U$8:$U$62)=0)),"",COUNTIFS(H!$U$8:$U$62,"X15",H!$T$8:$T$62,"W"))</f>
        <v/>
      </c>
      <c r="R96" s="43" t="str">
        <f>IF(OR((COUNTA(H!$S$8:$S$62)=0),(COUNTA(H!$U$8:$U$62)=0)),"",COUNTIFS(H!$U$8:$U$62,"X16",H!$T$8:$T$62,"W"))</f>
        <v/>
      </c>
      <c r="S96" s="16" t="str">
        <f>IF(OR((COUNTA(H!$V$8:$V$62)=0),(COUNTA(H!$X$8:$X$62)=0)),"",COUNTIFS(H!$X$8:$X$62,"X17",H!$W$8:$W$62,"W"))</f>
        <v/>
      </c>
      <c r="T96" s="17" t="str">
        <f>IF(OR((COUNTA(H!$V$8:$V$62)=0),(COUNTA(H!$X$8:$X$62)=0)),"",COUNTIFS(H!$X$8:$X$62,"X18",H!$W$8:$W$62,"W"))</f>
        <v/>
      </c>
      <c r="U96" s="17" t="str">
        <f>IF(OR((COUNTA(H!$V$8:$V$62)=0),(COUNTA(H!$X$8:$X$62)=0)),"",COUNTIFS(H!$X$8:$X$62,"X19",H!$W$8:$W$62,"W"))</f>
        <v/>
      </c>
      <c r="V96" s="17" t="str">
        <f>IF(OR((COUNTA(H!$V$8:$V$62)=0),(COUNTA(H!$X$8:$X$62)=0)),"",COUNTIFS(H!$X$8:$X$62,"X20",H!$W$8:$W$62,"W"))</f>
        <v/>
      </c>
      <c r="W96" s="17" t="str">
        <f>IF(OR((COUNTA(H!$V$8:$V$62)=0),(COUNTA(H!$X$8:$X$62)=0)),"",COUNTIFS(H!$X$8:$X$62,"X21",H!$W$8:$W$62,"W"))</f>
        <v/>
      </c>
      <c r="X96" s="17" t="str">
        <f>IF(OR((COUNTA(H!$V$8:$V$62)=0),(COUNTA(H!$X$8:$X$62)=0)),"",COUNTIFS(H!$X$8:$X$62,"X22",H!$W$8:$W$62,"W"))</f>
        <v/>
      </c>
      <c r="Y96" s="17" t="str">
        <f>IF(OR((COUNTA(H!$V$8:$V$62)=0),(COUNTA(H!$X$8:$X$62)=0)),"",COUNTIFS(H!$X$8:$X$62,"X23",H!$W$8:$W$62,"W"))</f>
        <v/>
      </c>
      <c r="Z96" s="43" t="str">
        <f>IF(OR((COUNTA(H!$V$8:$V$62)=0),(COUNTA(H!$X$8:$X$62)=0)),"",COUNTIFS(H!$X$8:$X$62,"X24",H!$W$8:$W$62,"W"))</f>
        <v/>
      </c>
    </row>
    <row r="97" spans="1:26" s="2" customFormat="1" ht="13.5" customHeight="1">
      <c r="A97" s="500"/>
      <c r="B97" s="31" t="s">
        <v>47</v>
      </c>
      <c r="C97" s="16" t="str">
        <f>IF(OR((COUNTA(H!$P$8:$P$62)=0),(COUNTA(H!$R$8:$R$62)=0)),"",COUNTIFS(H!$R$8:$R$62,"X01",H!$Q$8:$Q$62,"AB"))</f>
        <v/>
      </c>
      <c r="D97" s="17" t="str">
        <f>IF(OR((COUNTA(H!$P$8:$P$62)=0),(COUNTA(H!$R$8:$R$62)=0)),"",COUNTIFS(H!$R$8:$R$62,"X02",H!$Q$8:$Q$62,"AB"))</f>
        <v/>
      </c>
      <c r="E97" s="17" t="str">
        <f>IF(OR((COUNTA(H!$P$8:$P$62)=0),(COUNTA(H!$R$8:$R$62)=0)),"",COUNTIFS(H!$R$8:$R$62,"X03",H!$Q$8:$Q$62,"AB"))</f>
        <v/>
      </c>
      <c r="F97" s="17" t="str">
        <f>IF(OR((COUNTA(H!$P$8:$P$62)=0),(COUNTA(H!$R$8:$R$62)=0)),"",COUNTIFS(H!$R$8:$R$62,"X04",H!$Q$8:$Q$62,"AB"))</f>
        <v/>
      </c>
      <c r="G97" s="17" t="str">
        <f>IF(OR((COUNTA(H!$P$8:$P$62)=0),(COUNTA(H!$R$8:$R$62)=0)),"",COUNTIFS(H!$R$8:$R$62,"X05",H!$Q$8:$Q$62,"AB"))</f>
        <v/>
      </c>
      <c r="H97" s="17" t="str">
        <f>IF(OR((COUNTA(H!$P$8:$P$62)=0),(COUNTA(H!$R$8:$R$62)=0)),"",COUNTIFS(H!$R$8:$R$62,"X06",H!$Q$8:$Q$62,"AB"))</f>
        <v/>
      </c>
      <c r="I97" s="17" t="str">
        <f>IF(OR((COUNTA(H!$P$8:$P$62)=0),(COUNTA(H!$R$8:$R$62)=0)),"",COUNTIFS(H!$R$8:$R$62,"X07",H!$Q$8:$Q$62,"AB"))</f>
        <v/>
      </c>
      <c r="J97" s="43" t="str">
        <f>IF(OR((COUNTA(H!$P$8:$P$62)=0),(COUNTA(H!$R$8:$R$62)=0)),"",COUNTIFS(H!$R$8:$R$62,"X08",H!$Q$8:$Q$62,"AB"))</f>
        <v/>
      </c>
      <c r="K97" s="16" t="str">
        <f>IF(OR((COUNTA(H!$S$8:$S$62)=0),(COUNTA(H!$U$8:$U$62)=0)),"",COUNTIFS(H!$U$8:$U$62,"X09",H!$T$8:$T$62,"AB"))</f>
        <v/>
      </c>
      <c r="L97" s="17" t="str">
        <f>IF(OR((COUNTA(H!$S$8:$S$62)=0),(COUNTA(H!$U$8:$U$62)=0)),"",COUNTIFS(H!$U$8:$U$62,"X10",H!$T$8:$T$62,"AB"))</f>
        <v/>
      </c>
      <c r="M97" s="17" t="str">
        <f>IF(OR((COUNTA(H!$S$8:$S$62)=0),(COUNTA(H!$U$8:$U$62)=0)),"",COUNTIFS(H!$U$8:$U$62,"X11",H!$T$8:$T$62,"AB"))</f>
        <v/>
      </c>
      <c r="N97" s="17" t="str">
        <f>IF(OR((COUNTA(H!$S$8:$S$62)=0),(COUNTA(H!$U$8:$U$62)=0)),"",COUNTIFS(H!$U$8:$U$62,"X12",H!$T$8:$T$62,"AB"))</f>
        <v/>
      </c>
      <c r="O97" s="17" t="str">
        <f>IF(OR((COUNTA(H!$S$8:$S$62)=0),(COUNTA(H!$U$8:$U$62)=0)),"",COUNTIFS(H!$U$8:$U$62,"X13",H!$T$8:$T$62,"AB"))</f>
        <v/>
      </c>
      <c r="P97" s="17" t="str">
        <f>IF(OR((COUNTA(H!$S$8:$S$62)=0),(COUNTA(H!$U$8:$U$62)=0)),"",COUNTIFS(H!$U$8:$U$62,"X14",H!$T$8:$T$62,"AB"))</f>
        <v/>
      </c>
      <c r="Q97" s="17" t="str">
        <f>IF(OR((COUNTA(H!$S$8:$S$62)=0),(COUNTA(H!$U$8:$U$62)=0)),"",COUNTIFS(H!$U$8:$U$62,"X15",H!$T$8:$T$62,"AB"))</f>
        <v/>
      </c>
      <c r="R97" s="43" t="str">
        <f>IF(OR((COUNTA(H!$S$8:$S$62)=0),(COUNTA(H!$U$8:$U$62)=0)),"",COUNTIFS(H!$U$8:$U$62,"X16",H!$T$8:$T$62,"AB"))</f>
        <v/>
      </c>
      <c r="S97" s="16" t="str">
        <f>IF(OR((COUNTA(H!$V$8:$V$62)=0),(COUNTA(H!$X$8:$X$62)=0)),"",COUNTIFS(H!$X$8:$X$62,"X17",H!$W$8:$W$62,"AB"))</f>
        <v/>
      </c>
      <c r="T97" s="17" t="str">
        <f>IF(OR((COUNTA(H!$V$8:$V$62)=0),(COUNTA(H!$X$8:$X$62)=0)),"",COUNTIFS(H!$X$8:$X$62,"X18",H!$W$8:$W$62,"AB"))</f>
        <v/>
      </c>
      <c r="U97" s="17" t="str">
        <f>IF(OR((COUNTA(H!$V$8:$V$62)=0),(COUNTA(H!$X$8:$X$62)=0)),"",COUNTIFS(H!$X$8:$X$62,"X19",H!$W$8:$W$62,"AB"))</f>
        <v/>
      </c>
      <c r="V97" s="17" t="str">
        <f>IF(OR((COUNTA(H!$V$8:$V$62)=0),(COUNTA(H!$X$8:$X$62)=0)),"",COUNTIFS(H!$X$8:$X$62,"X20",H!$W$8:$W$62,"AB"))</f>
        <v/>
      </c>
      <c r="W97" s="17" t="str">
        <f>IF(OR((COUNTA(H!$V$8:$V$62)=0),(COUNTA(H!$X$8:$X$62)=0)),"",COUNTIFS(H!$X$8:$X$62,"X21",H!$W$8:$W$62,"AB"))</f>
        <v/>
      </c>
      <c r="X97" s="17" t="str">
        <f>IF(OR((COUNTA(H!$V$8:$V$62)=0),(COUNTA(H!$X$8:$X$62)=0)),"",COUNTIFS(H!$X$8:$X$62,"X22",H!$W$8:$W$62,"AB"))</f>
        <v/>
      </c>
      <c r="Y97" s="17" t="str">
        <f>IF(OR((COUNTA(H!$V$8:$V$62)=0),(COUNTA(H!$X$8:$X$62)=0)),"",COUNTIFS(H!$X$8:$X$62,"X23",H!$W$8:$W$62,"AB"))</f>
        <v/>
      </c>
      <c r="Z97" s="43" t="str">
        <f>IF(OR((COUNTA(H!$V$8:$V$62)=0),(COUNTA(H!$X$8:$X$62)=0)),"",COUNTIFS(H!$X$8:$X$62,"X24",H!$W$8:$W$62,"AB"))</f>
        <v/>
      </c>
    </row>
    <row r="98" spans="1:26" s="2" customFormat="1" ht="13.5" customHeight="1">
      <c r="A98" s="500"/>
      <c r="B98" s="32" t="s">
        <v>48</v>
      </c>
      <c r="C98" s="13" t="str">
        <f>IF(OR((COUNTA(H!$P$8:$P$62)=0),(COUNTA(H!$R$8:$R$62)=0)),"",COUNTIFS(H!$R$8:$R$62,"X01",H!$P$8:$P$62,"&lt;=39",H!$P$8:$P$62,"&gt;=30"))</f>
        <v/>
      </c>
      <c r="D98" s="14" t="str">
        <f>IF(OR((COUNTA(H!$P$8:$P$62)=0),(COUNTA(H!$R$8:$R$62)=0)),"",COUNTIFS(H!$R$8:$R$62,"X02",H!$P$8:$P$62,"&lt;=39",H!$P$8:$P$62,"&gt;=30"))</f>
        <v/>
      </c>
      <c r="E98" s="14" t="str">
        <f>IF(OR((COUNTA(H!$P$8:$P$62)=0),(COUNTA(H!$R$8:$R$62)=0)),"",COUNTIFS(H!$R$8:$R$62,"X03",H!$P$8:$P$62,"&lt;=39",H!$P$8:$P$62,"&gt;=30"))</f>
        <v/>
      </c>
      <c r="F98" s="14" t="str">
        <f>IF(OR((COUNTA(H!$P$8:$P$62)=0),(COUNTA(H!$R$8:$R$62)=0)),"",COUNTIFS(H!$R$8:$R$62,"X04",H!$P$8:$P$62,"&lt;=39",H!$P$8:$P$62,"&gt;=30"))</f>
        <v/>
      </c>
      <c r="G98" s="14" t="str">
        <f>IF(OR((COUNTA(H!$P$8:$P$62)=0),(COUNTA(H!$R$8:$R$62)=0)),"",COUNTIFS(H!$R$8:$R$62,"X05",H!$P$8:$P$62,"&lt;=39",H!$P$8:$P$62,"&gt;=30"))</f>
        <v/>
      </c>
      <c r="H98" s="14" t="str">
        <f>IF(OR((COUNTA(H!$P$8:$P$62)=0),(COUNTA(H!$R$8:$R$62)=0)),"",COUNTIFS(H!$R$8:$R$62,"X06",H!$P$8:$P$62,"&lt;=39",H!$P$8:$P$62,"&gt;=30"))</f>
        <v/>
      </c>
      <c r="I98" s="14" t="str">
        <f>IF(OR((COUNTA(H!$P$8:$P$62)=0),(COUNTA(H!$R$8:$R$62)=0)),"",COUNTIFS(H!$R$8:$R$62,"X07",H!$P$8:$P$62,"&lt;=39",H!$P$8:$P$62,"&gt;=30"))</f>
        <v/>
      </c>
      <c r="J98" s="42" t="str">
        <f>IF(OR((COUNTA(H!$P$8:$P$62)=0),(COUNTA(H!$R$8:$R$62)=0)),"",COUNTIFS(H!$R$8:$R$62,"X08",H!$P$8:$P$62,"&lt;=39",H!$P$8:$P$62,"&gt;=30"))</f>
        <v/>
      </c>
      <c r="K98" s="13" t="str">
        <f>IF(OR((COUNTA(H!$S$8:$S$62)=0),(COUNTA(H!$U$8:$U$62)=0)),"",COUNTIFS(H!$U$8:$U$62,"X09",H!$S$8:$S$62,"&lt;=39",H!$S$8:$S$62,"&gt;=30"))</f>
        <v/>
      </c>
      <c r="L98" s="14" t="str">
        <f>IF(OR((COUNTA(H!$S$8:$S$62)=0),(COUNTA(H!$U$8:$U$62)=0)),"",COUNTIFS(H!$U$8:$U$62,"X10",H!$S$8:$S$62,"&lt;=39",H!$S$8:$S$62,"&gt;=30"))</f>
        <v/>
      </c>
      <c r="M98" s="14" t="str">
        <f>IF(OR((COUNTA(H!$S$8:$S$62)=0),(COUNTA(H!$U$8:$U$62)=0)),"",COUNTIFS(H!$U$8:$U$62,"X11",H!$S$8:$S$62,"&lt;=39",H!$S$8:$S$62,"&gt;=30"))</f>
        <v/>
      </c>
      <c r="N98" s="14" t="str">
        <f>IF(OR((COUNTA(H!$S$8:$S$62)=0),(COUNTA(H!$U$8:$U$62)=0)),"",COUNTIFS(H!$U$8:$U$62,"X12",H!$S$8:$S$62,"&lt;=39",H!$S$8:$S$62,"&gt;=30"))</f>
        <v/>
      </c>
      <c r="O98" s="14" t="str">
        <f>IF(OR((COUNTA(H!$S$8:$S$62)=0),(COUNTA(H!$U$8:$U$62)=0)),"",COUNTIFS(H!$U$8:$U$62,"X13",H!$S$8:$S$62,"&lt;=39",H!$S$8:$S$62,"&gt;=30"))</f>
        <v/>
      </c>
      <c r="P98" s="14" t="str">
        <f>IF(OR((COUNTA(H!$S$8:$S$62)=0),(COUNTA(H!$U$8:$U$62)=0)),"",COUNTIFS(H!$U$8:$U$62,"X14",H!$S$8:$S$62,"&lt;=39",H!$S$8:$S$62,"&gt;=30"))</f>
        <v/>
      </c>
      <c r="Q98" s="14" t="str">
        <f>IF(OR((COUNTA(H!$S$8:$S$62)=0),(COUNTA(H!$U$8:$U$62)=0)),"",COUNTIFS(H!$U$8:$U$62,"X15",H!$S$8:$S$62,"&lt;=39",H!$S$8:$S$62,"&gt;=30"))</f>
        <v/>
      </c>
      <c r="R98" s="42" t="str">
        <f>IF(OR((COUNTA(H!$S$8:$S$62)=0),(COUNTA(H!$U$8:$U$62)=0)),"",COUNTIFS(H!$U$8:$U$62,"X16",H!$S$8:$S$62,"&lt;=39",H!$S$8:$S$62,"&gt;=30"))</f>
        <v/>
      </c>
      <c r="S98" s="13" t="str">
        <f>IF(OR((COUNTA(H!$V$8:$V$62)=0),(COUNTA(H!$X$8:$X$62)=0)),"",COUNTIFS(H!$X$8:$X$62,"X17",H!$V$8:$V$62,"&lt;=39",H!$V$8:$V$62,"&gt;=30"))</f>
        <v/>
      </c>
      <c r="T98" s="14" t="str">
        <f>IF(OR((COUNTA(H!$V$8:$V$62)=0),(COUNTA(H!$X$8:$X$62)=0)),"",COUNTIFS(H!$X$8:$X$62,"X18",H!$V$8:$V$62,"&lt;=39",H!$V$8:$V$62,"&gt;=30"))</f>
        <v/>
      </c>
      <c r="U98" s="14" t="str">
        <f>IF(OR((COUNTA(H!$V$8:$V$62)=0),(COUNTA(H!$X$8:$X$62)=0)),"",COUNTIFS(H!$X$8:$X$62,"X19",H!$V$8:$V$62,"&lt;=39",H!$V$8:$V$62,"&gt;=30"))</f>
        <v/>
      </c>
      <c r="V98" s="14" t="str">
        <f>IF(OR((COUNTA(H!$V$8:$V$62)=0),(COUNTA(H!$X$8:$X$62)=0)),"",COUNTIFS(H!$X$8:$X$62,"X20",H!$V$8:$V$62,"&lt;=39",H!$V$8:$V$62,"&gt;=30"))</f>
        <v/>
      </c>
      <c r="W98" s="14" t="str">
        <f>IF(OR((COUNTA(H!$V$8:$V$62)=0),(COUNTA(H!$X$8:$X$62)=0)),"",COUNTIFS(H!$X$8:$X$62,"X21",H!$V$8:$V$62,"&lt;=39",H!$V$8:$V$62,"&gt;=30"))</f>
        <v/>
      </c>
      <c r="X98" s="14" t="str">
        <f>IF(OR((COUNTA(H!$V$8:$V$62)=0),(COUNTA(H!$X$8:$X$62)=0)),"",COUNTIFS(H!$X$8:$X$62,"X22",H!$V$8:$V$62,"&lt;=39",H!$V$8:$V$62,"&gt;=30"))</f>
        <v/>
      </c>
      <c r="Y98" s="14" t="str">
        <f>IF(OR((COUNTA(H!$V$8:$V$62)=0),(COUNTA(H!$X$8:$X$62)=0)),"",COUNTIFS(H!$X$8:$X$62,"X23",H!$V$8:$V$62,"&lt;=39",H!$V$8:$V$62,"&gt;=30"))</f>
        <v/>
      </c>
      <c r="Z98" s="42" t="str">
        <f>IF(OR((COUNTA(H!$V$8:$V$62)=0),(COUNTA(H!$X$8:$X$62)=0)),"",COUNTIFS(H!$X$8:$X$62,"X24",H!$V$8:$V$62,"&lt;=39",H!$V$8:$V$62,"&gt;=30"))</f>
        <v/>
      </c>
    </row>
    <row r="99" spans="1:26" s="2" customFormat="1" ht="13.5" customHeight="1">
      <c r="A99" s="500"/>
      <c r="B99" s="32" t="s">
        <v>51</v>
      </c>
      <c r="C99" s="13" t="str">
        <f>IF(OR((COUNTA(H!$P$8:$P$62)=0),(COUNTA(H!$R$8:$R$62)=0)),"",COUNTIFS(H!$R$8:$R$62,"X01",H!$P$8:$P$62,"&lt;=29",H!$P$8:$P$62,"&gt;=20"))</f>
        <v/>
      </c>
      <c r="D99" s="14" t="str">
        <f>IF(OR((COUNTA(H!$P$8:$P$62)=0),(COUNTA(H!$R$8:$R$62)=0)),"",COUNTIFS(H!$R$8:$R$62,"X02",H!$P$8:$P$62,"&lt;=29",H!$P$8:$P$62,"&gt;=20"))</f>
        <v/>
      </c>
      <c r="E99" s="14" t="str">
        <f>IF(OR((COUNTA(H!$P$8:$P$62)=0),(COUNTA(H!$R$8:$R$62)=0)),"",COUNTIFS(H!$R$8:$R$62,"X03",H!$P$8:$P$62,"&lt;=29",H!$P$8:$P$62,"&gt;=20"))</f>
        <v/>
      </c>
      <c r="F99" s="14" t="str">
        <f>IF(OR((COUNTA(H!$P$8:$P$62)=0),(COUNTA(H!$R$8:$R$62)=0)),"",COUNTIFS(H!$R$8:$R$62,"X04",H!$P$8:$P$62,"&lt;=29",H!$P$8:$P$62,"&gt;=20"))</f>
        <v/>
      </c>
      <c r="G99" s="14" t="str">
        <f>IF(OR((COUNTA(H!$P$8:$P$62)=0),(COUNTA(H!$R$8:$R$62)=0)),"",COUNTIFS(H!$R$8:$R$62,"X05",H!$P$8:$P$62,"&lt;=29",H!$P$8:$P$62,"&gt;=20"))</f>
        <v/>
      </c>
      <c r="H99" s="14" t="str">
        <f>IF(OR((COUNTA(H!$P$8:$P$62)=0),(COUNTA(H!$R$8:$R$62)=0)),"",COUNTIFS(H!$R$8:$R$62,"X06",H!$P$8:$P$62,"&lt;=29",H!$P$8:$P$62,"&gt;=20"))</f>
        <v/>
      </c>
      <c r="I99" s="14" t="str">
        <f>IF(OR((COUNTA(H!$P$8:$P$62)=0),(COUNTA(H!$R$8:$R$62)=0)),"",COUNTIFS(H!$R$8:$R$62,"X07",H!$P$8:$P$62,"&lt;=29",H!$P$8:$P$62,"&gt;=20"))</f>
        <v/>
      </c>
      <c r="J99" s="42" t="str">
        <f>IF(OR((COUNTA(H!$P$8:$P$62)=0),(COUNTA(H!$R$8:$R$62)=0)),"",COUNTIFS(H!$R$8:$R$62,"X08",H!$P$8:$P$62,"&lt;=29",H!$P$8:$P$62,"&gt;=20"))</f>
        <v/>
      </c>
      <c r="K99" s="13" t="str">
        <f>IF(OR((COUNTA(H!$S$8:$S$62)=0),(COUNTA(H!$U$8:$U$62)=0)),"",COUNTIFS(H!$U$8:$U$62,"X09",H!$S$8:$S$62,"&lt;=29",H!$S$8:$S$62,"&gt;=20"))</f>
        <v/>
      </c>
      <c r="L99" s="14" t="str">
        <f>IF(OR((COUNTA(H!$S$8:$S$62)=0),(COUNTA(H!$U$8:$U$62)=0)),"",COUNTIFS(H!$U$8:$U$62,"X10",H!$S$8:$S$62,"&lt;=29",H!$S$8:$S$62,"&gt;=20"))</f>
        <v/>
      </c>
      <c r="M99" s="14" t="str">
        <f>IF(OR((COUNTA(H!$S$8:$S$62)=0),(COUNTA(H!$U$8:$U$62)=0)),"",COUNTIFS(H!$U$8:$U$62,"X11",H!$S$8:$S$62,"&lt;=29",H!$S$8:$S$62,"&gt;=20"))</f>
        <v/>
      </c>
      <c r="N99" s="14" t="str">
        <f>IF(OR((COUNTA(H!$S$8:$S$62)=0),(COUNTA(H!$U$8:$U$62)=0)),"",COUNTIFS(H!$U$8:$U$62,"X12",H!$S$8:$S$62,"&lt;=29",H!$S$8:$S$62,"&gt;=20"))</f>
        <v/>
      </c>
      <c r="O99" s="14" t="str">
        <f>IF(OR((COUNTA(H!$S$8:$S$62)=0),(COUNTA(H!$U$8:$U$62)=0)),"",COUNTIFS(H!$U$8:$U$62,"X13",H!$S$8:$S$62,"&lt;=29",H!$S$8:$S$62,"&gt;=20"))</f>
        <v/>
      </c>
      <c r="P99" s="14" t="str">
        <f>IF(OR((COUNTA(H!$S$8:$S$62)=0),(COUNTA(H!$U$8:$U$62)=0)),"",COUNTIFS(H!$U$8:$U$62,"X14",H!$S$8:$S$62,"&lt;=29",H!$S$8:$S$62,"&gt;=20"))</f>
        <v/>
      </c>
      <c r="Q99" s="14" t="str">
        <f>IF(OR((COUNTA(H!$S$8:$S$62)=0),(COUNTA(H!$U$8:$U$62)=0)),"",COUNTIFS(H!$U$8:$U$62,"X15",H!$S$8:$S$62,"&lt;=29",H!$S$8:$S$62,"&gt;=20"))</f>
        <v/>
      </c>
      <c r="R99" s="42" t="str">
        <f>IF(OR((COUNTA(H!$S$8:$S$62)=0),(COUNTA(H!$U$8:$U$62)=0)),"",COUNTIFS(H!$U$8:$U$62,"X16",H!$S$8:$S$62,"&lt;=29",H!$S$8:$S$62,"&gt;=20"))</f>
        <v/>
      </c>
      <c r="S99" s="13" t="str">
        <f>IF(OR((COUNTA(H!$V$8:$V$62)=0),(COUNTA(H!$X$8:$X$62)=0)),"",COUNTIFS(H!$X$8:$X$62,"X17",H!$V$8:$V$62,"&lt;=29",H!$V$8:$V$62,"&gt;=20"))</f>
        <v/>
      </c>
      <c r="T99" s="14" t="str">
        <f>IF(OR((COUNTA(H!$V$8:$V$62)=0),(COUNTA(H!$X$8:$X$62)=0)),"",COUNTIFS(H!$X$8:$X$62,"X18",H!$V$8:$V$62,"&lt;=29",H!$V$8:$V$62,"&gt;=20"))</f>
        <v/>
      </c>
      <c r="U99" s="14" t="str">
        <f>IF(OR((COUNTA(H!$V$8:$V$62)=0),(COUNTA(H!$X$8:$X$62)=0)),"",COUNTIFS(H!$X$8:$X$62,"X19",H!$V$8:$V$62,"&lt;=29",H!$V$8:$V$62,"&gt;=20"))</f>
        <v/>
      </c>
      <c r="V99" s="14" t="str">
        <f>IF(OR((COUNTA(H!$V$8:$V$62)=0),(COUNTA(H!$X$8:$X$62)=0)),"",COUNTIFS(H!$X$8:$X$62,"X20",H!$V$8:$V$62,"&lt;=29",H!$V$8:$V$62,"&gt;=20"))</f>
        <v/>
      </c>
      <c r="W99" s="14" t="str">
        <f>IF(OR((COUNTA(H!$V$8:$V$62)=0),(COUNTA(H!$X$8:$X$62)=0)),"",COUNTIFS(H!$X$8:$X$62,"X21",H!$V$8:$V$62,"&lt;=29",H!$V$8:$V$62,"&gt;=20"))</f>
        <v/>
      </c>
      <c r="X99" s="14" t="str">
        <f>IF(OR((COUNTA(H!$V$8:$V$62)=0),(COUNTA(H!$X$8:$X$62)=0)),"",COUNTIFS(H!$X$8:$X$62,"X22",H!$V$8:$V$62,"&lt;=29",H!$V$8:$V$62,"&gt;=20"))</f>
        <v/>
      </c>
      <c r="Y99" s="14" t="str">
        <f>IF(OR((COUNTA(H!$V$8:$V$62)=0),(COUNTA(H!$X$8:$X$62)=0)),"",COUNTIFS(H!$X$8:$X$62,"X23",H!$V$8:$V$62,"&lt;=29",H!$V$8:$V$62,"&gt;=20"))</f>
        <v/>
      </c>
      <c r="Z99" s="42" t="str">
        <f>IF(OR((COUNTA(H!$V$8:$V$62)=0),(COUNTA(H!$X$8:$X$62)=0)),"",COUNTIFS(H!$X$8:$X$62,"X24",H!$V$8:$V$62,"&lt;=29",H!$V$8:$V$62,"&gt;=20"))</f>
        <v/>
      </c>
    </row>
    <row r="100" spans="1:26" s="2" customFormat="1" ht="13.5" customHeight="1">
      <c r="A100" s="500"/>
      <c r="B100" s="33" t="s">
        <v>52</v>
      </c>
      <c r="C100" s="16" t="str">
        <f>IF(OR((COUNTA(H!$P$8:$P$62)=0),(COUNTA(H!$R$8:$R$62)=0)),"",COUNTIFS(H!$R$8:$R$62,"X01",H!$P$8:$P$62,"&lt;=19",H!$P$8:$P$62,"&gt;=10"))</f>
        <v/>
      </c>
      <c r="D100" s="17" t="str">
        <f>IF(OR((COUNTA(H!$P$8:$P$62)=0),(COUNTA(H!$R$8:$R$62)=0)),"",COUNTIFS(H!$R$8:$R$62,"X02",H!$P$8:$P$62,"&lt;=19",H!$P$8:$P$62,"&gt;=10"))</f>
        <v/>
      </c>
      <c r="E100" s="17" t="str">
        <f>IF(OR((COUNTA(H!$P$8:$P$62)=0),(COUNTA(H!$R$8:$R$62)=0)),"",COUNTIFS(H!$R$8:$R$62,"X03",H!$P$8:$P$62,"&lt;=19",H!$P$8:$P$62,"&gt;=10"))</f>
        <v/>
      </c>
      <c r="F100" s="17" t="str">
        <f>IF(OR((COUNTA(H!$P$8:$P$62)=0),(COUNTA(H!$R$8:$R$62)=0)),"",COUNTIFS(H!$R$8:$R$62,"X04",H!$P$8:$P$62,"&lt;=19",H!$P$8:$P$62,"&gt;=10"))</f>
        <v/>
      </c>
      <c r="G100" s="17" t="str">
        <f>IF(OR((COUNTA(H!$P$8:$P$62)=0),(COUNTA(H!$R$8:$R$62)=0)),"",COUNTIFS(H!$R$8:$R$62,"X05",H!$P$8:$P$62,"&lt;=19",H!$P$8:$P$62,"&gt;=10"))</f>
        <v/>
      </c>
      <c r="H100" s="17" t="str">
        <f>IF(OR((COUNTA(H!$P$8:$P$62)=0),(COUNTA(H!$R$8:$R$62)=0)),"",COUNTIFS(H!$R$8:$R$62,"X06",H!$P$8:$P$62,"&lt;=19",H!$P$8:$P$62,"&gt;=10"))</f>
        <v/>
      </c>
      <c r="I100" s="17" t="str">
        <f>IF(OR((COUNTA(H!$P$8:$P$62)=0),(COUNTA(H!$R$8:$R$62)=0)),"",COUNTIFS(H!$R$8:$R$62,"X07",H!$P$8:$P$62,"&lt;=19",H!$P$8:$P$62,"&gt;=10"))</f>
        <v/>
      </c>
      <c r="J100" s="43" t="str">
        <f>IF(OR((COUNTA(H!$P$8:$P$62)=0),(COUNTA(H!$R$8:$R$62)=0)),"",COUNTIFS(H!$R$8:$R$62,"X08",H!$P$8:$P$62,"&lt;=19",H!$P$8:$P$62,"&gt;=10"))</f>
        <v/>
      </c>
      <c r="K100" s="16" t="str">
        <f>IF(OR((COUNTA(H!$S$8:$S$62)=0),(COUNTA(H!$U$8:$U$62)=0)),"",COUNTIFS(H!$U$8:$U$62,"X09",H!$S$8:$S$62,"&lt;=19",H!$S$8:$S$62,"&gt;=10"))</f>
        <v/>
      </c>
      <c r="L100" s="17" t="str">
        <f>IF(OR((COUNTA(H!$S$8:$S$62)=0),(COUNTA(H!$U$8:$U$62)=0)),"",COUNTIFS(H!$U$8:$U$62,"X10",H!$S$8:$S$62,"&lt;=19",H!$S$8:$S$62,"&gt;=10"))</f>
        <v/>
      </c>
      <c r="M100" s="17" t="str">
        <f>IF(OR((COUNTA(H!$S$8:$S$62)=0),(COUNTA(H!$U$8:$U$62)=0)),"",COUNTIFS(H!$U$8:$U$62,"X11",H!$S$8:$S$62,"&lt;=19",H!$S$8:$S$62,"&gt;=10"))</f>
        <v/>
      </c>
      <c r="N100" s="17" t="str">
        <f>IF(OR((COUNTA(H!$S$8:$S$62)=0),(COUNTA(H!$U$8:$U$62)=0)),"",COUNTIFS(H!$U$8:$U$62,"X12",H!$S$8:$S$62,"&lt;=19",H!$S$8:$S$62,"&gt;=10"))</f>
        <v/>
      </c>
      <c r="O100" s="17" t="str">
        <f>IF(OR((COUNTA(H!$S$8:$S$62)=0),(COUNTA(H!$U$8:$U$62)=0)),"",COUNTIFS(H!$U$8:$U$62,"X13",H!$S$8:$S$62,"&lt;=19",H!$S$8:$S$62,"&gt;=10"))</f>
        <v/>
      </c>
      <c r="P100" s="17" t="str">
        <f>IF(OR((COUNTA(H!$S$8:$S$62)=0),(COUNTA(H!$U$8:$U$62)=0)),"",COUNTIFS(H!$U$8:$U$62,"X14",H!$S$8:$S$62,"&lt;=19",H!$S$8:$S$62,"&gt;=10"))</f>
        <v/>
      </c>
      <c r="Q100" s="17" t="str">
        <f>IF(OR((COUNTA(H!$S$8:$S$62)=0),(COUNTA(H!$U$8:$U$62)=0)),"",COUNTIFS(H!$U$8:$U$62,"X15",H!$S$8:$S$62,"&lt;=19",H!$S$8:$S$62,"&gt;=10"))</f>
        <v/>
      </c>
      <c r="R100" s="43" t="str">
        <f>IF(OR((COUNTA(H!$S$8:$S$62)=0),(COUNTA(H!$U$8:$U$62)=0)),"",COUNTIFS(H!$U$8:$U$62,"X16",H!$S$8:$S$62,"&lt;=19",H!$S$8:$S$62,"&gt;=10"))</f>
        <v/>
      </c>
      <c r="S100" s="16" t="str">
        <f>IF(OR((COUNTA(H!$V$8:$V$62)=0),(COUNTA(H!$X$8:$X$62)=0)),"",COUNTIFS(H!$X$8:$X$62,"X17",H!$V$8:$V$62,"&lt;=19",H!$V$8:$V$62,"&gt;=10"))</f>
        <v/>
      </c>
      <c r="T100" s="17" t="str">
        <f>IF(OR((COUNTA(H!$V$8:$V$62)=0),(COUNTA(H!$X$8:$X$62)=0)),"",COUNTIFS(H!$X$8:$X$62,"X18",H!$V$8:$V$62,"&lt;=19",H!$V$8:$V$62,"&gt;=10"))</f>
        <v/>
      </c>
      <c r="U100" s="17" t="str">
        <f>IF(OR((COUNTA(H!$V$8:$V$62)=0),(COUNTA(H!$X$8:$X$62)=0)),"",COUNTIFS(H!$X$8:$X$62,"X19",H!$V$8:$V$62,"&lt;=19",H!$V$8:$V$62,"&gt;=10"))</f>
        <v/>
      </c>
      <c r="V100" s="17" t="str">
        <f>IF(OR((COUNTA(H!$V$8:$V$62)=0),(COUNTA(H!$X$8:$X$62)=0)),"",COUNTIFS(H!$X$8:$X$62,"X20",H!$V$8:$V$62,"&lt;=19",H!$V$8:$V$62,"&gt;=10"))</f>
        <v/>
      </c>
      <c r="W100" s="17" t="str">
        <f>IF(OR((COUNTA(H!$V$8:$V$62)=0),(COUNTA(H!$X$8:$X$62)=0)),"",COUNTIFS(H!$X$8:$X$62,"X21",H!$V$8:$V$62,"&lt;=19",H!$V$8:$V$62,"&gt;=10"))</f>
        <v/>
      </c>
      <c r="X100" s="17" t="str">
        <f>IF(OR((COUNTA(H!$V$8:$V$62)=0),(COUNTA(H!$X$8:$X$62)=0)),"",COUNTIFS(H!$X$8:$X$62,"X22",H!$V$8:$V$62,"&lt;=19",H!$V$8:$V$62,"&gt;=10"))</f>
        <v/>
      </c>
      <c r="Y100" s="17" t="str">
        <f>IF(OR((COUNTA(H!$V$8:$V$62)=0),(COUNTA(H!$X$8:$X$62)=0)),"",COUNTIFS(H!$X$8:$X$62,"X23",H!$V$8:$V$62,"&lt;=19",H!$V$8:$V$62,"&gt;=10"))</f>
        <v/>
      </c>
      <c r="Z100" s="43" t="str">
        <f>IF(OR((COUNTA(H!$V$8:$V$62)=0),(COUNTA(H!$X$8:$X$62)=0)),"",COUNTIFS(H!$X$8:$X$62,"X24",H!$V$8:$V$62,"&lt;=19",H!$V$8:$V$62,"&gt;=10"))</f>
        <v/>
      </c>
    </row>
    <row r="101" spans="1:26" s="2" customFormat="1" ht="13.5" customHeight="1">
      <c r="A101" s="501"/>
      <c r="B101" s="34" t="s">
        <v>55</v>
      </c>
      <c r="C101" s="21" t="str">
        <f>IF(OR((COUNTA(H!$P$8:$P$62)=0),(COUNTA(H!$R$8:$R$62)=0)),"",COUNTIFS(H!$R$8:$R$62,"X01",H!$P$8:$P$62,"&lt;=9"))</f>
        <v/>
      </c>
      <c r="D101" s="22" t="str">
        <f>IF(OR((COUNTA(H!$P$8:$P$62)=0),(COUNTA(H!$R$8:$R$62)=0)),"",COUNTIFS(H!$R$8:$R$62,"X02",H!$P$8:$P$62,"&lt;=9"))</f>
        <v/>
      </c>
      <c r="E101" s="22" t="str">
        <f>IF(OR((COUNTA(H!$P$8:$P$62)=0),(COUNTA(H!$R$8:$R$62)=0)),"",COUNTIFS(H!$R$8:$R$62,"X03",H!$P$8:$P$62,"&lt;=9"))</f>
        <v/>
      </c>
      <c r="F101" s="22" t="str">
        <f>IF(OR((COUNTA(H!$P$8:$P$62)=0),(COUNTA(H!$R$8:$R$62)=0)),"",COUNTIFS(H!$R$8:$R$62,"X04",H!$P$8:$P$62,"&lt;=9"))</f>
        <v/>
      </c>
      <c r="G101" s="22" t="str">
        <f>IF(OR((COUNTA(H!$P$8:$P$62)=0),(COUNTA(H!$R$8:$R$62)=0)),"",COUNTIFS(H!$R$8:$R$62,"X05",H!$P$8:$P$62,"&lt;=9"))</f>
        <v/>
      </c>
      <c r="H101" s="22" t="str">
        <f>IF(OR((COUNTA(H!$P$8:$P$62)=0),(COUNTA(H!$R$8:$R$62)=0)),"",COUNTIFS(H!$R$8:$R$62,"X06",H!$P$8:$P$62,"&lt;=9"))</f>
        <v/>
      </c>
      <c r="I101" s="22" t="str">
        <f>IF(OR((COUNTA(H!$P$8:$P$62)=0),(COUNTA(H!$R$8:$R$62)=0)),"",COUNTIFS(H!$R$8:$R$62,"X07",H!$P$8:$P$62,"&lt;=9"))</f>
        <v/>
      </c>
      <c r="J101" s="44" t="str">
        <f>IF(OR((COUNTA(H!$P$8:$P$62)=0),(COUNTA(H!$R$8:$R$62)=0)),"",COUNTIFS(H!$R$8:$R$62,"X08",H!$P$8:$P$62,"&lt;=9"))</f>
        <v/>
      </c>
      <c r="K101" s="21" t="str">
        <f>IF(OR((COUNTA(H!$S$8:$S$62)=0),(COUNTA(H!$U$8:$U$62)=0)),"",COUNTIFS(H!$U$8:$U$62,"X09",H!$S$8:$S$62,"&lt;=9"))</f>
        <v/>
      </c>
      <c r="L101" s="22" t="str">
        <f>IF(OR((COUNTA(H!$S$8:$S$62)=0),(COUNTA(H!$U$8:$U$62)=0)),"",COUNTIFS(H!$U$8:$U$62,"X10",H!$S$8:$S$62,"&lt;=9"))</f>
        <v/>
      </c>
      <c r="M101" s="22" t="str">
        <f>IF(OR((COUNTA(H!$S$8:$S$62)=0),(COUNTA(H!$U$8:$U$62)=0)),"",COUNTIFS(H!$U$8:$U$62,"X11",H!$S$8:$S$62,"&lt;=9"))</f>
        <v/>
      </c>
      <c r="N101" s="22" t="str">
        <f>IF(OR((COUNTA(H!$S$8:$S$62)=0),(COUNTA(H!$U$8:$U$62)=0)),"",COUNTIFS(H!$U$8:$U$62,"X12",H!$S$8:$S$62,"&lt;=9"))</f>
        <v/>
      </c>
      <c r="O101" s="22" t="str">
        <f>IF(OR((COUNTA(H!$S$8:$S$62)=0),(COUNTA(H!$U$8:$U$62)=0)),"",COUNTIFS(H!$U$8:$U$62,"X13",H!$S$8:$S$62,"&lt;=9"))</f>
        <v/>
      </c>
      <c r="P101" s="22" t="str">
        <f>IF(OR((COUNTA(H!$S$8:$S$62)=0),(COUNTA(H!$U$8:$U$62)=0)),"",COUNTIFS(H!$U$8:$U$62,"X14",H!$S$8:$S$62,"&lt;=9"))</f>
        <v/>
      </c>
      <c r="Q101" s="22" t="str">
        <f>IF(OR((COUNTA(H!$S$8:$S$62)=0),(COUNTA(H!$U$8:$U$62)=0)),"",COUNTIFS(H!$U$8:$U$62,"X15",H!$S$8:$S$62,"&lt;=9"))</f>
        <v/>
      </c>
      <c r="R101" s="44" t="str">
        <f>IF(OR((COUNTA(H!$S$8:$S$62)=0),(COUNTA(H!$U$8:$U$62)=0)),"",COUNTIFS(H!$U$8:$U$62,"X16",H!$S$8:$S$62,"&lt;=9"))</f>
        <v/>
      </c>
      <c r="S101" s="21" t="str">
        <f>IF(OR((COUNTA(H!$V$8:$V$62)=0),(COUNTA(H!$X$8:$X$62)=0)),"",COUNTIFS(H!$X$8:$X$62,"X17",H!$V$8:$V$62,"&lt;=9"))</f>
        <v/>
      </c>
      <c r="T101" s="22" t="str">
        <f>IF(OR((COUNTA(H!$V$8:$V$62)=0),(COUNTA(H!$X$8:$X$62)=0)),"",COUNTIFS(H!$X$8:$X$62,"X18",H!$V$8:$V$62,"&lt;=9"))</f>
        <v/>
      </c>
      <c r="U101" s="22" t="str">
        <f>IF(OR((COUNTA(H!$V$8:$V$62)=0),(COUNTA(H!$X$8:$X$62)=0)),"",COUNTIFS(H!$X$8:$X$62,"X19",H!$V$8:$V$62,"&lt;=9"))</f>
        <v/>
      </c>
      <c r="V101" s="22" t="str">
        <f>IF(OR((COUNTA(H!$V$8:$V$62)=0),(COUNTA(H!$X$8:$X$62)=0)),"",COUNTIFS(H!$X$8:$X$62,"X20",H!$V$8:$V$62,"&lt;=9"))</f>
        <v/>
      </c>
      <c r="W101" s="22" t="str">
        <f>IF(OR((COUNTA(H!$V$8:$V$62)=0),(COUNTA(H!$X$8:$X$62)=0)),"",COUNTIFS(H!$X$8:$X$62,"X21",H!$V$8:$V$62,"&lt;=9"))</f>
        <v/>
      </c>
      <c r="X101" s="22" t="str">
        <f>IF(OR((COUNTA(H!$V$8:$V$62)=0),(COUNTA(H!$X$8:$X$62)=0)),"",COUNTIFS(H!$X$8:$X$62,"X22",H!$V$8:$V$62,"&lt;=9"))</f>
        <v/>
      </c>
      <c r="Y101" s="22" t="str">
        <f>IF(OR((COUNTA(H!$V$8:$V$62)=0),(COUNTA(H!$X$8:$X$62)=0)),"",COUNTIFS(H!$X$8:$X$62,"X23",H!$V$8:$V$62,"&lt;=9"))</f>
        <v/>
      </c>
      <c r="Z101" s="44" t="str">
        <f>IF(OR((COUNTA(H!$V$8:$V$62)=0),(COUNTA(H!$X$8:$X$62)=0)),"",COUNTIFS(H!$X$8:$X$62,"X24",H!$V$8:$V$62,"&lt;=9"))</f>
        <v/>
      </c>
    </row>
    <row r="102" spans="1:26" s="2" customFormat="1" ht="13.5" customHeight="1">
      <c r="A102" s="497" t="s">
        <v>174</v>
      </c>
      <c r="B102" s="35" t="s">
        <v>33</v>
      </c>
      <c r="C102" s="24" t="str">
        <f>IF(AND(C92="",C93="",C94="",C95="",C96="",C97="",C98="",C99="",C100="",C101=""),"",(SUM(C92:C95,C98,C99)))</f>
        <v/>
      </c>
      <c r="D102" s="25" t="str">
        <f t="shared" ref="D102" si="278">IF(AND(D92="",D93="",D94="",D95="",D96="",D97="",D98="",D99="",D100="",D101=""),"",(SUM(D92:D95,D98,D99)))</f>
        <v/>
      </c>
      <c r="E102" s="25" t="str">
        <f t="shared" ref="E102" si="279">IF(AND(E92="",E93="",E94="",E95="",E96="",E97="",E98="",E99="",E100="",E101=""),"",(SUM(E92:E95,E98,E99)))</f>
        <v/>
      </c>
      <c r="F102" s="25" t="str">
        <f t="shared" ref="F102" si="280">IF(AND(F92="",F93="",F94="",F95="",F96="",F97="",F98="",F99="",F100="",F101=""),"",(SUM(F92:F95,F98,F99)))</f>
        <v/>
      </c>
      <c r="G102" s="25" t="str">
        <f t="shared" ref="G102" si="281">IF(AND(G92="",G93="",G94="",G95="",G96="",G97="",G98="",G99="",G100="",G101=""),"",(SUM(G92:G95,G98,G99)))</f>
        <v/>
      </c>
      <c r="H102" s="25" t="str">
        <f t="shared" ref="H102" si="282">IF(AND(H92="",H93="",H94="",H95="",H96="",H97="",H98="",H99="",H100="",H101=""),"",(SUM(H92:H95,H98,H99)))</f>
        <v/>
      </c>
      <c r="I102" s="25" t="str">
        <f t="shared" ref="I102" si="283">IF(AND(I92="",I93="",I94="",I95="",I96="",I97="",I98="",I99="",I100="",I101=""),"",(SUM(I92:I95,I98,I99)))</f>
        <v/>
      </c>
      <c r="J102" s="45" t="str">
        <f t="shared" ref="J102" si="284">IF(AND(J92="",J93="",J94="",J95="",J96="",J97="",J98="",J99="",J100="",J101=""),"",(SUM(J92:J95,J98,J99)))</f>
        <v/>
      </c>
      <c r="K102" s="24" t="str">
        <f t="shared" ref="K102" si="285">IF(AND(K92="",K93="",K94="",K95="",K96="",K97="",K98="",K99="",K100="",K101=""),"",(SUM(K92:K95,K98,K99)))</f>
        <v/>
      </c>
      <c r="L102" s="25" t="str">
        <f t="shared" ref="L102" si="286">IF(AND(L92="",L93="",L94="",L95="",L96="",L97="",L98="",L99="",L100="",L101=""),"",(SUM(L92:L95,L98,L99)))</f>
        <v/>
      </c>
      <c r="M102" s="25" t="str">
        <f t="shared" ref="M102" si="287">IF(AND(M92="",M93="",M94="",M95="",M96="",M97="",M98="",M99="",M100="",M101=""),"",(SUM(M92:M95,M98,M99)))</f>
        <v/>
      </c>
      <c r="N102" s="25" t="str">
        <f t="shared" ref="N102" si="288">IF(AND(N92="",N93="",N94="",N95="",N96="",N97="",N98="",N99="",N100="",N101=""),"",(SUM(N92:N95,N98,N99)))</f>
        <v/>
      </c>
      <c r="O102" s="25" t="str">
        <f t="shared" ref="O102" si="289">IF(AND(O92="",O93="",O94="",O95="",O96="",O97="",O98="",O99="",O100="",O101=""),"",(SUM(O92:O95,O98,O99)))</f>
        <v/>
      </c>
      <c r="P102" s="25" t="str">
        <f t="shared" ref="P102" si="290">IF(AND(P92="",P93="",P94="",P95="",P96="",P97="",P98="",P99="",P100="",P101=""),"",(SUM(P92:P95,P98,P99)))</f>
        <v/>
      </c>
      <c r="Q102" s="25" t="str">
        <f t="shared" ref="Q102" si="291">IF(AND(Q92="",Q93="",Q94="",Q95="",Q96="",Q97="",Q98="",Q99="",Q100="",Q101=""),"",(SUM(Q92:Q95,Q98,Q99)))</f>
        <v/>
      </c>
      <c r="R102" s="48" t="str">
        <f t="shared" ref="R102" si="292">IF(AND(R92="",R93="",R94="",R95="",R96="",R97="",R98="",R99="",R100="",R101=""),"",(SUM(R92:R95,R98,R99)))</f>
        <v/>
      </c>
      <c r="S102" s="49" t="str">
        <f t="shared" ref="S102" si="293">IF(AND(S92="",S93="",S94="",S95="",S96="",S97="",S98="",S99="",S100="",S101=""),"",(SUM(S92:S95,S98,S99)))</f>
        <v/>
      </c>
      <c r="T102" s="25" t="str">
        <f t="shared" ref="T102" si="294">IF(AND(T92="",T93="",T94="",T95="",T96="",T97="",T98="",T99="",T100="",T101=""),"",(SUM(T92:T95,T98,T99)))</f>
        <v/>
      </c>
      <c r="U102" s="25" t="str">
        <f t="shared" ref="U102" si="295">IF(AND(U92="",U93="",U94="",U95="",U96="",U97="",U98="",U99="",U100="",U101=""),"",(SUM(U92:U95,U98,U99)))</f>
        <v/>
      </c>
      <c r="V102" s="25" t="str">
        <f t="shared" ref="V102" si="296">IF(AND(V92="",V93="",V94="",V95="",V96="",V97="",V98="",V99="",V100="",V101=""),"",(SUM(V92:V95,V98,V99)))</f>
        <v/>
      </c>
      <c r="W102" s="25" t="str">
        <f t="shared" ref="W102" si="297">IF(AND(W92="",W93="",W94="",W95="",W96="",W97="",W98="",W99="",W100="",W101=""),"",(SUM(W92:W95,W98,W99)))</f>
        <v/>
      </c>
      <c r="X102" s="25" t="str">
        <f t="shared" ref="X102" si="298">IF(AND(X92="",X93="",X94="",X95="",X96="",X97="",X98="",X99="",X100="",X101=""),"",(SUM(X92:X95,X98,X99)))</f>
        <v/>
      </c>
      <c r="Y102" s="25" t="str">
        <f t="shared" ref="Y102" si="299">IF(AND(Y92="",Y93="",Y94="",Y95="",Y96="",Y97="",Y98="",Y99="",Y100="",Y101=""),"",(SUM(Y92:Y95,Y98,Y99)))</f>
        <v/>
      </c>
      <c r="Z102" s="48" t="str">
        <f t="shared" ref="Z102" si="300">IF(AND(Z92="",Z93="",Z94="",Z95="",Z96="",Z97="",Z98="",Z99="",Z100="",Z101=""),"",(SUM(Z92:Z95,Z98,Z99)))</f>
        <v/>
      </c>
    </row>
    <row r="103" spans="1:26" s="2" customFormat="1" ht="13.5" customHeight="1">
      <c r="A103" s="498"/>
      <c r="B103" s="36" t="s">
        <v>169</v>
      </c>
      <c r="C103" s="27" t="str">
        <f>IF(C102="","",IF(C102=0,0,((C102/(SUM(C92:C97))*100))))</f>
        <v/>
      </c>
      <c r="D103" s="28" t="str">
        <f t="shared" ref="D103" si="301">IF(D102="","",IF(D102=0,0,((D102/(SUM(D92:D97))*100))))</f>
        <v/>
      </c>
      <c r="E103" s="28" t="str">
        <f t="shared" ref="E103" si="302">IF(E102="","",IF(E102=0,0,((E102/(SUM(E92:E97))*100))))</f>
        <v/>
      </c>
      <c r="F103" s="28" t="str">
        <f t="shared" ref="F103" si="303">IF(F102="","",IF(F102=0,0,((F102/(SUM(F92:F97))*100))))</f>
        <v/>
      </c>
      <c r="G103" s="28" t="str">
        <f t="shared" ref="G103" si="304">IF(G102="","",IF(G102=0,0,((G102/(SUM(G92:G97))*100))))</f>
        <v/>
      </c>
      <c r="H103" s="28" t="str">
        <f t="shared" ref="H103" si="305">IF(H102="","",IF(H102=0,0,((H102/(SUM(H92:H97))*100))))</f>
        <v/>
      </c>
      <c r="I103" s="28" t="str">
        <f t="shared" ref="I103" si="306">IF(I102="","",IF(I102=0,0,((I102/(SUM(I92:I97))*100))))</f>
        <v/>
      </c>
      <c r="J103" s="46" t="str">
        <f t="shared" ref="J103" si="307">IF(J102="","",IF(J102=0,0,((J102/(SUM(J92:J97))*100))))</f>
        <v/>
      </c>
      <c r="K103" s="27" t="str">
        <f t="shared" ref="K103" si="308">IF(K102="","",IF(K102=0,0,((K102/(SUM(K92:K97))*100))))</f>
        <v/>
      </c>
      <c r="L103" s="28" t="str">
        <f t="shared" ref="L103" si="309">IF(L102="","",IF(L102=0,0,((L102/(SUM(L92:L97))*100))))</f>
        <v/>
      </c>
      <c r="M103" s="28" t="str">
        <f t="shared" ref="M103" si="310">IF(M102="","",IF(M102=0,0,((M102/(SUM(M92:M97))*100))))</f>
        <v/>
      </c>
      <c r="N103" s="28" t="str">
        <f t="shared" ref="N103" si="311">IF(N102="","",IF(N102=0,0,((N102/(SUM(N92:N97))*100))))</f>
        <v/>
      </c>
      <c r="O103" s="28" t="str">
        <f t="shared" ref="O103" si="312">IF(O102="","",IF(O102=0,0,((O102/(SUM(O92:O97))*100))))</f>
        <v/>
      </c>
      <c r="P103" s="28" t="str">
        <f t="shared" ref="P103" si="313">IF(P102="","",IF(P102=0,0,((P102/(SUM(P92:P97))*100))))</f>
        <v/>
      </c>
      <c r="Q103" s="28" t="str">
        <f t="shared" ref="Q103" si="314">IF(Q102="","",IF(Q102=0,0,((Q102/(SUM(Q92:Q97))*100))))</f>
        <v/>
      </c>
      <c r="R103" s="50" t="str">
        <f t="shared" ref="R103" si="315">IF(R102="","",IF(R102=0,0,((R102/(SUM(R92:R97))*100))))</f>
        <v/>
      </c>
      <c r="S103" s="51" t="str">
        <f t="shared" ref="S103" si="316">IF(S102="","",IF(S102=0,0,((S102/(SUM(S92:S97))*100))))</f>
        <v/>
      </c>
      <c r="T103" s="28" t="str">
        <f t="shared" ref="T103" si="317">IF(T102="","",IF(T102=0,0,((T102/(SUM(T92:T97))*100))))</f>
        <v/>
      </c>
      <c r="U103" s="28" t="str">
        <f t="shared" ref="U103" si="318">IF(U102="","",IF(U102=0,0,((U102/(SUM(U92:U97))*100))))</f>
        <v/>
      </c>
      <c r="V103" s="28" t="str">
        <f t="shared" ref="V103" si="319">IF(V102="","",IF(V102=0,0,((V102/(SUM(V92:V97))*100))))</f>
        <v/>
      </c>
      <c r="W103" s="28" t="str">
        <f t="shared" ref="W103" si="320">IF(W102="","",IF(W102=0,0,((W102/(SUM(W92:W97))*100))))</f>
        <v/>
      </c>
      <c r="X103" s="28" t="str">
        <f t="shared" ref="X103" si="321">IF(X102="","",IF(X102=0,0,((X102/(SUM(X92:X97))*100))))</f>
        <v/>
      </c>
      <c r="Y103" s="28" t="str">
        <f t="shared" ref="Y103" si="322">IF(Y102="","",IF(Y102=0,0,((Y102/(SUM(Y92:Y97))*100))))</f>
        <v/>
      </c>
      <c r="Z103" s="50" t="str">
        <f t="shared" ref="Z103" si="323">IF(Z102="","",IF(Z102=0,0,((Z102/(SUM(Z92:Z97))*100))))</f>
        <v/>
      </c>
    </row>
    <row r="104" spans="1:26" s="2" customFormat="1" ht="13.5" customHeight="1">
      <c r="A104" s="499" t="s">
        <v>167</v>
      </c>
      <c r="B104" s="29" t="s">
        <v>28</v>
      </c>
      <c r="C104" s="9" t="str">
        <f>IF(OR((COUNTA(I!$P$8:$P$62)=0),(COUNTA(I!$R$8:$R$62)=0)),"",COUNTIFS(I!$R$8:$R$62,"X01",I!$Q$8:$Q$62,"A"))</f>
        <v/>
      </c>
      <c r="D104" s="10" t="str">
        <f>IF(OR((COUNTA(I!$P$8:$P$62)=0),(COUNTA(I!$R$8:$R$62)=0)),"",COUNTIFS(I!$R$8:$R$62,"X02",I!$Q$8:$Q$62,"A"))</f>
        <v/>
      </c>
      <c r="E104" s="11" t="str">
        <f>IF(OR((COUNTA(I!$P$8:$P$62)=0),(COUNTA(I!$R$8:$R$62)=0)),"",COUNTIFS(I!$R$8:$R$62,"X03",I!$Q$8:$Q$62,"A"))</f>
        <v/>
      </c>
      <c r="F104" s="11" t="str">
        <f>IF(OR((COUNTA(I!$P$8:$P$62)=0),(COUNTA(I!$R$8:$R$62)=0)),"",COUNTIFS(I!$R$8:$R$62,"X04",I!$Q$8:$Q$62,"A"))</f>
        <v/>
      </c>
      <c r="G104" s="11" t="str">
        <f>IF(OR((COUNTA(I!$P$8:$P$62)=0),(COUNTA(I!$R$8:$R$62)=0)),"",COUNTIFS(I!$R$8:$R$62,"X05",I!$Q$8:$Q$62,"A"))</f>
        <v/>
      </c>
      <c r="H104" s="11" t="str">
        <f>IF(OR((COUNTA(I!$P$8:$P$62)=0),(COUNTA(I!$R$8:$R$62)=0)),"",COUNTIFS(I!$R$8:$R$62,"X06",I!$Q$8:$Q$62,"A"))</f>
        <v/>
      </c>
      <c r="I104" s="11" t="str">
        <f>IF(OR((COUNTA(I!$P$8:$P$62)=0),(COUNTA(I!$R$8:$R$62)=0)),"",COUNTIFS(I!$R$8:$R$62,"X07",I!$Q$8:$Q$62,"A"))</f>
        <v/>
      </c>
      <c r="J104" s="40" t="str">
        <f>IF(OR((COUNTA(I!$P$8:$P$62)=0),(COUNTA(I!$R$8:$R$62)=0)),"",COUNTIFS(I!$R$8:$R$62,"X08",I!$Q$8:$Q$62,"A"))</f>
        <v/>
      </c>
      <c r="K104" s="41" t="str">
        <f>IF(OR((COUNTA(I!$S$8:$S$62)=0),(COUNTA(I!$U$8:$U$62)=0)),"",COUNTIFS(I!$U$8:$U$62,"X09",I!$T$8:$T$62,"A"))</f>
        <v/>
      </c>
      <c r="L104" s="11" t="str">
        <f>IF(OR((COUNTA(I!$S$8:$S$62)=0),(COUNTA(I!$U$8:$U$62)=0)),"",COUNTIFS(I!$U$8:$U$62,"X10",I!$T$8:$T$62,"A"))</f>
        <v/>
      </c>
      <c r="M104" s="11" t="str">
        <f>IF(OR((COUNTA(I!$S$8:$S$62)=0),(COUNTA(I!$U$8:$U$62)=0)),"",COUNTIFS(I!$U$8:$U$62,"X11",I!$T$8:$T$62,"A"))</f>
        <v/>
      </c>
      <c r="N104" s="11" t="str">
        <f>IF(OR((COUNTA(I!$S$8:$S$62)=0),(COUNTA(I!$U$8:$U$62)=0)),"",COUNTIFS(I!$U$8:$U$62,"X12",I!$T$8:$T$62,"A"))</f>
        <v/>
      </c>
      <c r="O104" s="11" t="str">
        <f>IF(OR((COUNTA(I!$S$8:$S$62)=0),(COUNTA(I!$U$8:$U$62)=0)),"",COUNTIFS(I!$U$8:$U$62,"X13",I!$T$8:$T$62,"A"))</f>
        <v/>
      </c>
      <c r="P104" s="11" t="str">
        <f>IF(OR((COUNTA(I!$S$8:$S$62)=0),(COUNTA(I!$U$8:$U$62)=0)),"",COUNTIFS(I!$U$8:$U$62,"X14",I!$T$8:$T$62,"A"))</f>
        <v/>
      </c>
      <c r="Q104" s="11" t="str">
        <f>IF(OR((COUNTA(I!$S$8:$S$62)=0),(COUNTA(I!$U$8:$U$62)=0)),"",COUNTIFS(I!$U$8:$U$62,"X15",I!$T$8:$T$62,"A"))</f>
        <v/>
      </c>
      <c r="R104" s="40" t="str">
        <f>IF(OR((COUNTA(I!$S$8:$S$62)=0),(COUNTA(I!$U$8:$U$62)=0)),"",COUNTIFS(I!$U$8:$U$62,"X16",I!$T$8:$T$62,"A"))</f>
        <v/>
      </c>
      <c r="S104" s="41" t="str">
        <f>IF(OR((COUNTA(I!$V$8:$V$62)=0),(COUNTA(I!$X$8:$X$62)=0)),"",COUNTIFS(I!$X$8:$X$62,"X17",I!$W$8:$W$62,"A"))</f>
        <v/>
      </c>
      <c r="T104" s="11" t="str">
        <f>IF(OR((COUNTA(I!$V$8:$V$62)=0),(COUNTA(I!$X$8:$X$62)=0)),"",COUNTIFS(I!$X$8:$X$62,"X18",I!$W$8:$W$62,"A"))</f>
        <v/>
      </c>
      <c r="U104" s="11" t="str">
        <f>IF(OR((COUNTA(I!$V$8:$V$62)=0),(COUNTA(I!$X$8:$X$62)=0)),"",COUNTIFS(I!$X$8:$X$62,"X19",I!$W$8:$W$62,"A"))</f>
        <v/>
      </c>
      <c r="V104" s="11" t="str">
        <f>IF(OR((COUNTA(I!$V$8:$V$62)=0),(COUNTA(I!$X$8:$X$62)=0)),"",COUNTIFS(I!$X$8:$X$62,"X20",I!$W$8:$W$62,"A"))</f>
        <v/>
      </c>
      <c r="W104" s="11" t="str">
        <f>IF(OR((COUNTA(I!$V$8:$V$62)=0),(COUNTA(I!$X$8:$X$62)=0)),"",COUNTIFS(I!$X$8:$X$62,"X21",I!$W$8:$W$62,"A"))</f>
        <v/>
      </c>
      <c r="X104" s="11" t="str">
        <f>IF(OR((COUNTA(I!$V$8:$V$62)=0),(COUNTA(I!$X$8:$X$62)=0)),"",COUNTIFS(I!$X$8:$X$62,"X22",I!$W$8:$W$62,"A"))</f>
        <v/>
      </c>
      <c r="Y104" s="11" t="str">
        <f>IF(OR((COUNTA(I!$V$8:$V$62)=0),(COUNTA(I!$X$8:$X$62)=0)),"",COUNTIFS(I!$X$8:$X$62,"X23",I!$W$8:$W$62,"A"))</f>
        <v/>
      </c>
      <c r="Z104" s="40" t="str">
        <f>IF(OR((COUNTA(I!$V$8:$V$62)=0),(COUNTA(I!$X$8:$X$62)=0)),"",COUNTIFS(I!$X$8:$X$62,"X24",I!$W$8:$W$62,"A"))</f>
        <v/>
      </c>
    </row>
    <row r="105" spans="1:26" s="2" customFormat="1" ht="13.5" customHeight="1">
      <c r="A105" s="500"/>
      <c r="B105" s="30" t="s">
        <v>29</v>
      </c>
      <c r="C105" s="13" t="str">
        <f>IF(OR((COUNTA(I!$P$8:$P$62)=0),(COUNTA(I!$R$8:$R$62)=0)),"",COUNTIFS(I!$R$8:$R$62,"X01",I!$Q$8:$Q$62,"B"))</f>
        <v/>
      </c>
      <c r="D105" s="14" t="str">
        <f>IF(OR((COUNTA(I!$P$8:$P$62)=0),(COUNTA(I!$R$8:$R$62)=0)),"",COUNTIFS(I!$R$8:$R$62,"X02",I!$Q$8:$Q$62,"B"))</f>
        <v/>
      </c>
      <c r="E105" s="14" t="str">
        <f>IF(OR((COUNTA(I!$P$8:$P$62)=0),(COUNTA(I!$R$8:$R$62)=0)),"",COUNTIFS(I!$R$8:$R$62,"X03",I!$Q$8:$Q$62,"B"))</f>
        <v/>
      </c>
      <c r="F105" s="14" t="str">
        <f>IF(OR((COUNTA(I!$P$8:$P$62)=0),(COUNTA(I!$R$8:$R$62)=0)),"",COUNTIFS(I!$R$8:$R$62,"X04",I!$Q$8:$Q$62,"B"))</f>
        <v/>
      </c>
      <c r="G105" s="14" t="str">
        <f>IF(OR((COUNTA(I!$P$8:$P$62)=0),(COUNTA(I!$R$8:$R$62)=0)),"",COUNTIFS(I!$R$8:$R$62,"X05",I!$Q$8:$Q$62,"B"))</f>
        <v/>
      </c>
      <c r="H105" s="14" t="str">
        <f>IF(OR((COUNTA(I!$P$8:$P$62)=0),(COUNTA(I!$R$8:$R$62)=0)),"",COUNTIFS(I!$R$8:$R$62,"X06",I!$Q$8:$Q$62,"B"))</f>
        <v/>
      </c>
      <c r="I105" s="14" t="str">
        <f>IF(OR((COUNTA(I!$P$8:$P$62)=0),(COUNTA(I!$R$8:$R$62)=0)),"",COUNTIFS(I!$R$8:$R$62,"X07",I!$Q$8:$Q$62,"B"))</f>
        <v/>
      </c>
      <c r="J105" s="42" t="str">
        <f>IF(OR((COUNTA(I!$P$8:$P$62)=0),(COUNTA(I!$R$8:$R$62)=0)),"",COUNTIFS(I!$R$8:$R$62,"X08",I!$Q$8:$Q$62,"B"))</f>
        <v/>
      </c>
      <c r="K105" s="13" t="str">
        <f>IF(OR((COUNTA(I!$S$8:$S$62)=0),(COUNTA(I!$U$8:$U$62)=0)),"",COUNTIFS(I!$U$8:$U$62,"X09",I!$T$8:$T$62,"B"))</f>
        <v/>
      </c>
      <c r="L105" s="14" t="str">
        <f>IF(OR((COUNTA(I!$S$8:$S$62)=0),(COUNTA(I!$U$8:$U$62)=0)),"",COUNTIFS(I!$U$8:$U$62,"X10",I!$T$8:$T$62,"B"))</f>
        <v/>
      </c>
      <c r="M105" s="14" t="str">
        <f>IF(OR((COUNTA(I!$S$8:$S$62)=0),(COUNTA(I!$U$8:$U$62)=0)),"",COUNTIFS(I!$U$8:$U$62,"X11",I!$T$8:$T$62,"B"))</f>
        <v/>
      </c>
      <c r="N105" s="14" t="str">
        <f>IF(OR((COUNTA(I!$S$8:$S$62)=0),(COUNTA(I!$U$8:$U$62)=0)),"",COUNTIFS(I!$U$8:$U$62,"X12",I!$T$8:$T$62,"B"))</f>
        <v/>
      </c>
      <c r="O105" s="14" t="str">
        <f>IF(OR((COUNTA(I!$S$8:$S$62)=0),(COUNTA(I!$U$8:$U$62)=0)),"",COUNTIFS(I!$U$8:$U$62,"X13",I!$T$8:$T$62,"B"))</f>
        <v/>
      </c>
      <c r="P105" s="14" t="str">
        <f>IF(OR((COUNTA(I!$S$8:$S$62)=0),(COUNTA(I!$U$8:$U$62)=0)),"",COUNTIFS(I!$U$8:$U$62,"X14",I!$T$8:$T$62,"B"))</f>
        <v/>
      </c>
      <c r="Q105" s="14" t="str">
        <f>IF(OR((COUNTA(I!$S$8:$S$62)=0),(COUNTA(I!$U$8:$U$62)=0)),"",COUNTIFS(I!$U$8:$U$62,"X15",I!$T$8:$T$62,"B"))</f>
        <v/>
      </c>
      <c r="R105" s="42" t="str">
        <f>IF(OR((COUNTA(I!$S$8:$S$62)=0),(COUNTA(I!$U$8:$U$62)=0)),"",COUNTIFS(I!$U$8:$U$62,"X16",I!$T$8:$T$62,"B"))</f>
        <v/>
      </c>
      <c r="S105" s="13" t="str">
        <f>IF(OR((COUNTA(I!$V$8:$V$62)=0),(COUNTA(I!$X$8:$X$62)=0)),"",COUNTIFS(I!$X$8:$X$62,"X17",I!$W$8:$W$62,"B"))</f>
        <v/>
      </c>
      <c r="T105" s="14" t="str">
        <f>IF(OR((COUNTA(I!$V$8:$V$62)=0),(COUNTA(I!$X$8:$X$62)=0)),"",COUNTIFS(I!$X$8:$X$62,"X18",I!$W$8:$W$62,"B"))</f>
        <v/>
      </c>
      <c r="U105" s="14" t="str">
        <f>IF(OR((COUNTA(I!$V$8:$V$62)=0),(COUNTA(I!$X$8:$X$62)=0)),"",COUNTIFS(I!$X$8:$X$62,"X19",I!$W$8:$W$62,"B"))</f>
        <v/>
      </c>
      <c r="V105" s="14" t="str">
        <f>IF(OR((COUNTA(I!$V$8:$V$62)=0),(COUNTA(I!$X$8:$X$62)=0)),"",COUNTIFS(I!$X$8:$X$62,"X20",I!$W$8:$W$62,"B"))</f>
        <v/>
      </c>
      <c r="W105" s="14" t="str">
        <f>IF(OR((COUNTA(I!$V$8:$V$62)=0),(COUNTA(I!$X$8:$X$62)=0)),"",COUNTIFS(I!$X$8:$X$62,"X21",I!$W$8:$W$62,"B"))</f>
        <v/>
      </c>
      <c r="X105" s="14" t="str">
        <f>IF(OR((COUNTA(I!$V$8:$V$62)=0),(COUNTA(I!$X$8:$X$62)=0)),"",COUNTIFS(I!$X$8:$X$62,"X22",I!$W$8:$W$62,"B"))</f>
        <v/>
      </c>
      <c r="Y105" s="14" t="str">
        <f>IF(OR((COUNTA(I!$V$8:$V$62)=0),(COUNTA(I!$X$8:$X$62)=0)),"",COUNTIFS(I!$X$8:$X$62,"X23",I!$W$8:$W$62,"B"))</f>
        <v/>
      </c>
      <c r="Z105" s="42" t="str">
        <f>IF(OR((COUNTA(I!$V$8:$V$62)=0),(COUNTA(I!$X$8:$X$62)=0)),"",COUNTIFS(I!$X$8:$X$62,"X24",I!$W$8:$W$62,"B"))</f>
        <v/>
      </c>
    </row>
    <row r="106" spans="1:26" s="2" customFormat="1" ht="13.5" customHeight="1">
      <c r="A106" s="500"/>
      <c r="B106" s="30" t="s">
        <v>30</v>
      </c>
      <c r="C106" s="13" t="str">
        <f>IF(OR((COUNTA(I!$P$8:$P$62)=0),(COUNTA(I!$R$8:$R$62)=0)),"",COUNTIFS(I!$R$8:$R$62,"X01",I!$Q$8:$Q$62,"C"))</f>
        <v/>
      </c>
      <c r="D106" s="14" t="str">
        <f>IF(OR((COUNTA(I!$P$8:$P$62)=0),(COUNTA(I!$R$8:$R$62)=0)),"",COUNTIFS(I!$R$8:$R$62,"X02",I!$Q$8:$Q$62,"C"))</f>
        <v/>
      </c>
      <c r="E106" s="14" t="str">
        <f>IF(OR((COUNTA(I!$P$8:$P$62)=0),(COUNTA(I!$R$8:$R$62)=0)),"",COUNTIFS(I!$R$8:$R$62,"X03",I!$Q$8:$Q$62,"C"))</f>
        <v/>
      </c>
      <c r="F106" s="14" t="str">
        <f>IF(OR((COUNTA(I!$P$8:$P$62)=0),(COUNTA(I!$R$8:$R$62)=0)),"",COUNTIFS(I!$R$8:$R$62,"X04",I!$Q$8:$Q$62,"C"))</f>
        <v/>
      </c>
      <c r="G106" s="14" t="str">
        <f>IF(OR((COUNTA(I!$P$8:$P$62)=0),(COUNTA(I!$R$8:$R$62)=0)),"",COUNTIFS(I!$R$8:$R$62,"X05",I!$Q$8:$Q$62,"C"))</f>
        <v/>
      </c>
      <c r="H106" s="14" t="str">
        <f>IF(OR((COUNTA(I!$P$8:$P$62)=0),(COUNTA(I!$R$8:$R$62)=0)),"",COUNTIFS(I!$R$8:$R$62,"X06",I!$Q$8:$Q$62,"C"))</f>
        <v/>
      </c>
      <c r="I106" s="14" t="str">
        <f>IF(OR((COUNTA(I!$P$8:$P$62)=0),(COUNTA(I!$R$8:$R$62)=0)),"",COUNTIFS(I!$R$8:$R$62,"X07",I!$Q$8:$Q$62,"C"))</f>
        <v/>
      </c>
      <c r="J106" s="42" t="str">
        <f>IF(OR((COUNTA(I!$P$8:$P$62)=0),(COUNTA(I!$R$8:$R$62)=0)),"",COUNTIFS(I!$R$8:$R$62,"X08",I!$Q$8:$Q$62,"C"))</f>
        <v/>
      </c>
      <c r="K106" s="13" t="str">
        <f>IF(OR((COUNTA(I!$S$8:$S$62)=0),(COUNTA(I!$U$8:$U$62)=0)),"",COUNTIFS(I!$U$8:$U$62,"X09",I!$T$8:$T$62,"C"))</f>
        <v/>
      </c>
      <c r="L106" s="14" t="str">
        <f>IF(OR((COUNTA(I!$S$8:$S$62)=0),(COUNTA(I!$U$8:$U$62)=0)),"",COUNTIFS(I!$U$8:$U$62,"X10",I!$T$8:$T$62,"C"))</f>
        <v/>
      </c>
      <c r="M106" s="14" t="str">
        <f>IF(OR((COUNTA(I!$S$8:$S$62)=0),(COUNTA(I!$U$8:$U$62)=0)),"",COUNTIFS(I!$U$8:$U$62,"X11",I!$T$8:$T$62,"C"))</f>
        <v/>
      </c>
      <c r="N106" s="14" t="str">
        <f>IF(OR((COUNTA(I!$S$8:$S$62)=0),(COUNTA(I!$U$8:$U$62)=0)),"",COUNTIFS(I!$U$8:$U$62,"X12",I!$T$8:$T$62,"C"))</f>
        <v/>
      </c>
      <c r="O106" s="14" t="str">
        <f>IF(OR((COUNTA(I!$S$8:$S$62)=0),(COUNTA(I!$U$8:$U$62)=0)),"",COUNTIFS(I!$U$8:$U$62,"X13",I!$T$8:$T$62,"C"))</f>
        <v/>
      </c>
      <c r="P106" s="14" t="str">
        <f>IF(OR((COUNTA(I!$S$8:$S$62)=0),(COUNTA(I!$U$8:$U$62)=0)),"",COUNTIFS(I!$U$8:$U$62,"X14",I!$T$8:$T$62,"C"))</f>
        <v/>
      </c>
      <c r="Q106" s="14" t="str">
        <f>IF(OR((COUNTA(I!$S$8:$S$62)=0),(COUNTA(I!$U$8:$U$62)=0)),"",COUNTIFS(I!$U$8:$U$62,"X15",I!$T$8:$T$62,"C"))</f>
        <v/>
      </c>
      <c r="R106" s="42" t="str">
        <f>IF(OR((COUNTA(I!$S$8:$S$62)=0),(COUNTA(I!$U$8:$U$62)=0)),"",COUNTIFS(I!$U$8:$U$62,"X16",I!$T$8:$T$62,"C"))</f>
        <v/>
      </c>
      <c r="S106" s="13" t="str">
        <f>IF(OR((COUNTA(I!$V$8:$V$62)=0),(COUNTA(I!$X$8:$X$62)=0)),"",COUNTIFS(I!$X$8:$X$62,"X17",I!$W$8:$W$62,"C"))</f>
        <v/>
      </c>
      <c r="T106" s="14" t="str">
        <f>IF(OR((COUNTA(I!$V$8:$V$62)=0),(COUNTA(I!$X$8:$X$62)=0)),"",COUNTIFS(I!$X$8:$X$62,"X18",I!$W$8:$W$62,"C"))</f>
        <v/>
      </c>
      <c r="U106" s="14" t="str">
        <f>IF(OR((COUNTA(I!$V$8:$V$62)=0),(COUNTA(I!$X$8:$X$62)=0)),"",COUNTIFS(I!$X$8:$X$62,"X19",I!$W$8:$W$62,"C"))</f>
        <v/>
      </c>
      <c r="V106" s="14" t="str">
        <f>IF(OR((COUNTA(I!$V$8:$V$62)=0),(COUNTA(I!$X$8:$X$62)=0)),"",COUNTIFS(I!$X$8:$X$62,"X20",I!$W$8:$W$62,"C"))</f>
        <v/>
      </c>
      <c r="W106" s="14" t="str">
        <f>IF(OR((COUNTA(I!$V$8:$V$62)=0),(COUNTA(I!$X$8:$X$62)=0)),"",COUNTIFS(I!$X$8:$X$62,"X21",I!$W$8:$W$62,"C"))</f>
        <v/>
      </c>
      <c r="X106" s="14" t="str">
        <f>IF(OR((COUNTA(I!$V$8:$V$62)=0),(COUNTA(I!$X$8:$X$62)=0)),"",COUNTIFS(I!$X$8:$X$62,"X22",I!$W$8:$W$62,"C"))</f>
        <v/>
      </c>
      <c r="Y106" s="14" t="str">
        <f>IF(OR((COUNTA(I!$V$8:$V$62)=0),(COUNTA(I!$X$8:$X$62)=0)),"",COUNTIFS(I!$X$8:$X$62,"X23",I!$W$8:$W$62,"C"))</f>
        <v/>
      </c>
      <c r="Z106" s="42" t="str">
        <f>IF(OR((COUNTA(I!$V$8:$V$62)=0),(COUNTA(I!$X$8:$X$62)=0)),"",COUNTIFS(I!$X$8:$X$62,"X24",I!$W$8:$W$62,"C"))</f>
        <v/>
      </c>
    </row>
    <row r="107" spans="1:26" s="2" customFormat="1" ht="13.5" customHeight="1">
      <c r="A107" s="500"/>
      <c r="B107" s="30" t="s">
        <v>31</v>
      </c>
      <c r="C107" s="13" t="str">
        <f>IF(OR((COUNTA(I!$P$8:$P$62)=0),(COUNTA(I!$R$8:$R$62)=0)),"",COUNTIFS(I!$R$8:$R$62,"X01",I!$Q$8:$Q$62,"S"))</f>
        <v/>
      </c>
      <c r="D107" s="14" t="str">
        <f>IF(OR((COUNTA(I!$P$8:$P$62)=0),(COUNTA(I!$R$8:$R$62)=0)),"",COUNTIFS(I!$R$8:$R$62,"X02",I!$Q$8:$Q$62,"S"))</f>
        <v/>
      </c>
      <c r="E107" s="14" t="str">
        <f>IF(OR((COUNTA(I!$P$8:$P$62)=0),(COUNTA(I!$R$8:$R$62)=0)),"",COUNTIFS(I!$R$8:$R$62,"X03",I!$Q$8:$Q$62,"S"))</f>
        <v/>
      </c>
      <c r="F107" s="14" t="str">
        <f>IF(OR((COUNTA(I!$P$8:$P$62)=0),(COUNTA(I!$R$8:$R$62)=0)),"",COUNTIFS(I!$R$8:$R$62,"X04",I!$Q$8:$Q$62,"S"))</f>
        <v/>
      </c>
      <c r="G107" s="14" t="str">
        <f>IF(OR((COUNTA(I!$P$8:$P$62)=0),(COUNTA(I!$R$8:$R$62)=0)),"",COUNTIFS(I!$R$8:$R$62,"X05",I!$Q$8:$Q$62,"S"))</f>
        <v/>
      </c>
      <c r="H107" s="14" t="str">
        <f>IF(OR((COUNTA(I!$P$8:$P$62)=0),(COUNTA(I!$R$8:$R$62)=0)),"",COUNTIFS(I!$R$8:$R$62,"X06",I!$Q$8:$Q$62,"S"))</f>
        <v/>
      </c>
      <c r="I107" s="14" t="str">
        <f>IF(OR((COUNTA(I!$P$8:$P$62)=0),(COUNTA(I!$R$8:$R$62)=0)),"",COUNTIFS(I!$R$8:$R$62,"X07",I!$Q$8:$Q$62,"S"))</f>
        <v/>
      </c>
      <c r="J107" s="42" t="str">
        <f>IF(OR((COUNTA(I!$P$8:$P$62)=0),(COUNTA(I!$R$8:$R$62)=0)),"",COUNTIFS(I!$R$8:$R$62,"X08",I!$Q$8:$Q$62,"S"))</f>
        <v/>
      </c>
      <c r="K107" s="13" t="str">
        <f>IF(OR((COUNTA(I!$S$8:$S$62)=0),(COUNTA(I!$U$8:$U$62)=0)),"",COUNTIFS(I!$U$8:$U$62,"X09",I!$T$8:$T$62,"S"))</f>
        <v/>
      </c>
      <c r="L107" s="14" t="str">
        <f>IF(OR((COUNTA(I!$S$8:$S$62)=0),(COUNTA(I!$U$8:$U$62)=0)),"",COUNTIFS(I!$U$8:$U$62,"X10",I!$T$8:$T$62,"S"))</f>
        <v/>
      </c>
      <c r="M107" s="14" t="str">
        <f>IF(OR((COUNTA(I!$S$8:$S$62)=0),(COUNTA(I!$U$8:$U$62)=0)),"",COUNTIFS(I!$U$8:$U$62,"X11",I!$T$8:$T$62,"S"))</f>
        <v/>
      </c>
      <c r="N107" s="14" t="str">
        <f>IF(OR((COUNTA(I!$S$8:$S$62)=0),(COUNTA(I!$U$8:$U$62)=0)),"",COUNTIFS(I!$U$8:$U$62,"X12",I!$T$8:$T$62,"S"))</f>
        <v/>
      </c>
      <c r="O107" s="14" t="str">
        <f>IF(OR((COUNTA(I!$S$8:$S$62)=0),(COUNTA(I!$U$8:$U$62)=0)),"",COUNTIFS(I!$U$8:$U$62,"X13",I!$T$8:$T$62,"S"))</f>
        <v/>
      </c>
      <c r="P107" s="14" t="str">
        <f>IF(OR((COUNTA(I!$S$8:$S$62)=0),(COUNTA(I!$U$8:$U$62)=0)),"",COUNTIFS(I!$U$8:$U$62,"X14",I!$T$8:$T$62,"S"))</f>
        <v/>
      </c>
      <c r="Q107" s="14" t="str">
        <f>IF(OR((COUNTA(I!$S$8:$S$62)=0),(COUNTA(I!$U$8:$U$62)=0)),"",COUNTIFS(I!$U$8:$U$62,"X15",I!$T$8:$T$62,"S"))</f>
        <v/>
      </c>
      <c r="R107" s="42" t="str">
        <f>IF(OR((COUNTA(I!$S$8:$S$62)=0),(COUNTA(I!$U$8:$U$62)=0)),"",COUNTIFS(I!$U$8:$U$62,"X16",I!$T$8:$T$62,"S"))</f>
        <v/>
      </c>
      <c r="S107" s="13" t="str">
        <f>IF(OR((COUNTA(I!$V$8:$V$62)=0),(COUNTA(I!$X$8:$X$62)=0)),"",COUNTIFS(I!$X$8:$X$62,"X17",I!$W$8:$W$62,"S"))</f>
        <v/>
      </c>
      <c r="T107" s="14" t="str">
        <f>IF(OR((COUNTA(I!$V$8:$V$62)=0),(COUNTA(I!$X$8:$X$62)=0)),"",COUNTIFS(I!$X$8:$X$62,"X18",I!$W$8:$W$62,"S"))</f>
        <v/>
      </c>
      <c r="U107" s="14" t="str">
        <f>IF(OR((COUNTA(I!$V$8:$V$62)=0),(COUNTA(I!$X$8:$X$62)=0)),"",COUNTIFS(I!$X$8:$X$62,"X19",I!$W$8:$W$62,"S"))</f>
        <v/>
      </c>
      <c r="V107" s="14" t="str">
        <f>IF(OR((COUNTA(I!$V$8:$V$62)=0),(COUNTA(I!$X$8:$X$62)=0)),"",COUNTIFS(I!$X$8:$X$62,"X20",I!$W$8:$W$62,"S"))</f>
        <v/>
      </c>
      <c r="W107" s="14" t="str">
        <f>IF(OR((COUNTA(I!$V$8:$V$62)=0),(COUNTA(I!$X$8:$X$62)=0)),"",COUNTIFS(I!$X$8:$X$62,"X21",I!$W$8:$W$62,"S"))</f>
        <v/>
      </c>
      <c r="X107" s="14" t="str">
        <f>IF(OR((COUNTA(I!$V$8:$V$62)=0),(COUNTA(I!$X$8:$X$62)=0)),"",COUNTIFS(I!$X$8:$X$62,"X22",I!$W$8:$W$62,"S"))</f>
        <v/>
      </c>
      <c r="Y107" s="14" t="str">
        <f>IF(OR((COUNTA(I!$V$8:$V$62)=0),(COUNTA(I!$X$8:$X$62)=0)),"",COUNTIFS(I!$X$8:$X$62,"X23",I!$W$8:$W$62,"S"))</f>
        <v/>
      </c>
      <c r="Z107" s="42" t="str">
        <f>IF(OR((COUNTA(I!$V$8:$V$62)=0),(COUNTA(I!$X$8:$X$62)=0)),"",COUNTIFS(I!$X$8:$X$62,"X24",I!$W$8:$W$62,"S"))</f>
        <v/>
      </c>
    </row>
    <row r="108" spans="1:26" s="2" customFormat="1" ht="13.5" customHeight="1">
      <c r="A108" s="500"/>
      <c r="B108" s="31" t="s">
        <v>32</v>
      </c>
      <c r="C108" s="16" t="str">
        <f>IF(OR((COUNTA(I!$P$8:$P$62)=0),(COUNTA(I!$R$8:$R$62)=0)),"",COUNTIFS(I!$R$8:$R$62,"X01",I!$Q$8:$Q$62,"W"))</f>
        <v/>
      </c>
      <c r="D108" s="17" t="str">
        <f>IF(OR((COUNTA(I!$P$8:$P$62)=0),(COUNTA(I!$R$8:$R$62)=0)),"",COUNTIFS(I!$R$8:$R$62,"X02",I!$Q$8:$Q$62,"W"))</f>
        <v/>
      </c>
      <c r="E108" s="17" t="str">
        <f>IF(OR((COUNTA(I!$P$8:$P$62)=0),(COUNTA(I!$R$8:$R$62)=0)),"",COUNTIFS(I!$R$8:$R$62,"X03",I!$Q$8:$Q$62,"W"))</f>
        <v/>
      </c>
      <c r="F108" s="17" t="str">
        <f>IF(OR((COUNTA(I!$P$8:$P$62)=0),(COUNTA(I!$R$8:$R$62)=0)),"",COUNTIFS(I!$R$8:$R$62,"X04",I!$Q$8:$Q$62,"W"))</f>
        <v/>
      </c>
      <c r="G108" s="17" t="str">
        <f>IF(OR((COUNTA(I!$P$8:$P$62)=0),(COUNTA(I!$R$8:$R$62)=0)),"",COUNTIFS(I!$R$8:$R$62,"X05",I!$Q$8:$Q$62,"W"))</f>
        <v/>
      </c>
      <c r="H108" s="17" t="str">
        <f>IF(OR((COUNTA(I!$P$8:$P$62)=0),(COUNTA(I!$R$8:$R$62)=0)),"",COUNTIFS(I!$R$8:$R$62,"X06",I!$Q$8:$Q$62,"W"))</f>
        <v/>
      </c>
      <c r="I108" s="17" t="str">
        <f>IF(OR((COUNTA(I!$P$8:$P$62)=0),(COUNTA(I!$R$8:$R$62)=0)),"",COUNTIFS(I!$R$8:$R$62,"X07",I!$Q$8:$Q$62,"W"))</f>
        <v/>
      </c>
      <c r="J108" s="43" t="str">
        <f>IF(OR((COUNTA(I!$P$8:$P$62)=0),(COUNTA(I!$R$8:$R$62)=0)),"",COUNTIFS(I!$R$8:$R$62,"X08",I!$Q$8:$Q$62,"W"))</f>
        <v/>
      </c>
      <c r="K108" s="16" t="str">
        <f>IF(OR((COUNTA(I!$S$8:$S$62)=0),(COUNTA(I!$U$8:$U$62)=0)),"",COUNTIFS(I!$U$8:$U$62,"X09",I!$T$8:$T$62,"W"))</f>
        <v/>
      </c>
      <c r="L108" s="17" t="str">
        <f>IF(OR((COUNTA(I!$S$8:$S$62)=0),(COUNTA(I!$U$8:$U$62)=0)),"",COUNTIFS(I!$U$8:$U$62,"X10",I!$T$8:$T$62,"W"))</f>
        <v/>
      </c>
      <c r="M108" s="17" t="str">
        <f>IF(OR((COUNTA(I!$S$8:$S$62)=0),(COUNTA(I!$U$8:$U$62)=0)),"",COUNTIFS(I!$U$8:$U$62,"X11",I!$T$8:$T$62,"W"))</f>
        <v/>
      </c>
      <c r="N108" s="17" t="str">
        <f>IF(OR((COUNTA(I!$S$8:$S$62)=0),(COUNTA(I!$U$8:$U$62)=0)),"",COUNTIFS(I!$U$8:$U$62,"X12",I!$T$8:$T$62,"W"))</f>
        <v/>
      </c>
      <c r="O108" s="17" t="str">
        <f>IF(OR((COUNTA(I!$S$8:$S$62)=0),(COUNTA(I!$U$8:$U$62)=0)),"",COUNTIFS(I!$U$8:$U$62,"X13",I!$T$8:$T$62,"W"))</f>
        <v/>
      </c>
      <c r="P108" s="17" t="str">
        <f>IF(OR((COUNTA(I!$S$8:$S$62)=0),(COUNTA(I!$U$8:$U$62)=0)),"",COUNTIFS(I!$U$8:$U$62,"X14",I!$T$8:$T$62,"W"))</f>
        <v/>
      </c>
      <c r="Q108" s="17" t="str">
        <f>IF(OR((COUNTA(I!$S$8:$S$62)=0),(COUNTA(I!$U$8:$U$62)=0)),"",COUNTIFS(I!$U$8:$U$62,"X15",I!$T$8:$T$62,"W"))</f>
        <v/>
      </c>
      <c r="R108" s="43" t="str">
        <f>IF(OR((COUNTA(I!$S$8:$S$62)=0),(COUNTA(I!$U$8:$U$62)=0)),"",COUNTIFS(I!$U$8:$U$62,"X16",I!$T$8:$T$62,"W"))</f>
        <v/>
      </c>
      <c r="S108" s="16" t="str">
        <f>IF(OR((COUNTA(I!$V$8:$V$62)=0),(COUNTA(I!$X$8:$X$62)=0)),"",COUNTIFS(I!$X$8:$X$62,"X17",I!$W$8:$W$62,"W"))</f>
        <v/>
      </c>
      <c r="T108" s="17" t="str">
        <f>IF(OR((COUNTA(I!$V$8:$V$62)=0),(COUNTA(I!$X$8:$X$62)=0)),"",COUNTIFS(I!$X$8:$X$62,"X18",I!$W$8:$W$62,"W"))</f>
        <v/>
      </c>
      <c r="U108" s="17" t="str">
        <f>IF(OR((COUNTA(I!$V$8:$V$62)=0),(COUNTA(I!$X$8:$X$62)=0)),"",COUNTIFS(I!$X$8:$X$62,"X19",I!$W$8:$W$62,"W"))</f>
        <v/>
      </c>
      <c r="V108" s="17" t="str">
        <f>IF(OR((COUNTA(I!$V$8:$V$62)=0),(COUNTA(I!$X$8:$X$62)=0)),"",COUNTIFS(I!$X$8:$X$62,"X20",I!$W$8:$W$62,"W"))</f>
        <v/>
      </c>
      <c r="W108" s="17" t="str">
        <f>IF(OR((COUNTA(I!$V$8:$V$62)=0),(COUNTA(I!$X$8:$X$62)=0)),"",COUNTIFS(I!$X$8:$X$62,"X21",I!$W$8:$W$62,"W"))</f>
        <v/>
      </c>
      <c r="X108" s="17" t="str">
        <f>IF(OR((COUNTA(I!$V$8:$V$62)=0),(COUNTA(I!$X$8:$X$62)=0)),"",COUNTIFS(I!$X$8:$X$62,"X22",I!$W$8:$W$62,"W"))</f>
        <v/>
      </c>
      <c r="Y108" s="17" t="str">
        <f>IF(OR((COUNTA(I!$V$8:$V$62)=0),(COUNTA(I!$X$8:$X$62)=0)),"",COUNTIFS(I!$X$8:$X$62,"X23",I!$W$8:$W$62,"W"))</f>
        <v/>
      </c>
      <c r="Z108" s="43" t="str">
        <f>IF(OR((COUNTA(I!$V$8:$V$62)=0),(COUNTA(I!$X$8:$X$62)=0)),"",COUNTIFS(I!$X$8:$X$62,"X24",I!$W$8:$W$62,"W"))</f>
        <v/>
      </c>
    </row>
    <row r="109" spans="1:26" s="2" customFormat="1" ht="13.5" customHeight="1">
      <c r="A109" s="500"/>
      <c r="B109" s="31" t="s">
        <v>47</v>
      </c>
      <c r="C109" s="16" t="str">
        <f>IF(OR((COUNTA(I!$P$8:$P$62)=0),(COUNTA(I!$R$8:$R$62)=0)),"",COUNTIFS(I!$R$8:$R$62,"X01",I!$Q$8:$Q$62,"AB"))</f>
        <v/>
      </c>
      <c r="D109" s="17" t="str">
        <f>IF(OR((COUNTA(I!$P$8:$P$62)=0),(COUNTA(I!$R$8:$R$62)=0)),"",COUNTIFS(I!$R$8:$R$62,"X02",I!$Q$8:$Q$62,"AB"))</f>
        <v/>
      </c>
      <c r="E109" s="17" t="str">
        <f>IF(OR((COUNTA(I!$P$8:$P$62)=0),(COUNTA(I!$R$8:$R$62)=0)),"",COUNTIFS(I!$R$8:$R$62,"X03",I!$Q$8:$Q$62,"AB"))</f>
        <v/>
      </c>
      <c r="F109" s="17" t="str">
        <f>IF(OR((COUNTA(I!$P$8:$P$62)=0),(COUNTA(I!$R$8:$R$62)=0)),"",COUNTIFS(I!$R$8:$R$62,"X04",I!$Q$8:$Q$62,"AB"))</f>
        <v/>
      </c>
      <c r="G109" s="17" t="str">
        <f>IF(OR((COUNTA(I!$P$8:$P$62)=0),(COUNTA(I!$R$8:$R$62)=0)),"",COUNTIFS(I!$R$8:$R$62,"X05",I!$Q$8:$Q$62,"AB"))</f>
        <v/>
      </c>
      <c r="H109" s="17" t="str">
        <f>IF(OR((COUNTA(I!$P$8:$P$62)=0),(COUNTA(I!$R$8:$R$62)=0)),"",COUNTIFS(I!$R$8:$R$62,"X06",I!$Q$8:$Q$62,"AB"))</f>
        <v/>
      </c>
      <c r="I109" s="17" t="str">
        <f>IF(OR((COUNTA(I!$P$8:$P$62)=0),(COUNTA(I!$R$8:$R$62)=0)),"",COUNTIFS(I!$R$8:$R$62,"X07",I!$Q$8:$Q$62,"AB"))</f>
        <v/>
      </c>
      <c r="J109" s="43" t="str">
        <f>IF(OR((COUNTA(I!$P$8:$P$62)=0),(COUNTA(I!$R$8:$R$62)=0)),"",COUNTIFS(I!$R$8:$R$62,"X08",I!$Q$8:$Q$62,"AB"))</f>
        <v/>
      </c>
      <c r="K109" s="16" t="str">
        <f>IF(OR((COUNTA(I!$S$8:$S$62)=0),(COUNTA(I!$U$8:$U$62)=0)),"",COUNTIFS(I!$U$8:$U$62,"X09",I!$T$8:$T$62,"AB"))</f>
        <v/>
      </c>
      <c r="L109" s="17" t="str">
        <f>IF(OR((COUNTA(I!$S$8:$S$62)=0),(COUNTA(I!$U$8:$U$62)=0)),"",COUNTIFS(I!$U$8:$U$62,"X10",I!$T$8:$T$62,"AB"))</f>
        <v/>
      </c>
      <c r="M109" s="17" t="str">
        <f>IF(OR((COUNTA(I!$S$8:$S$62)=0),(COUNTA(I!$U$8:$U$62)=0)),"",COUNTIFS(I!$U$8:$U$62,"X11",I!$T$8:$T$62,"AB"))</f>
        <v/>
      </c>
      <c r="N109" s="17" t="str">
        <f>IF(OR((COUNTA(I!$S$8:$S$62)=0),(COUNTA(I!$U$8:$U$62)=0)),"",COUNTIFS(I!$U$8:$U$62,"X12",I!$T$8:$T$62,"AB"))</f>
        <v/>
      </c>
      <c r="O109" s="17" t="str">
        <f>IF(OR((COUNTA(I!$S$8:$S$62)=0),(COUNTA(I!$U$8:$U$62)=0)),"",COUNTIFS(I!$U$8:$U$62,"X13",I!$T$8:$T$62,"AB"))</f>
        <v/>
      </c>
      <c r="P109" s="17" t="str">
        <f>IF(OR((COUNTA(I!$S$8:$S$62)=0),(COUNTA(I!$U$8:$U$62)=0)),"",COUNTIFS(I!$U$8:$U$62,"X14",I!$T$8:$T$62,"AB"))</f>
        <v/>
      </c>
      <c r="Q109" s="17" t="str">
        <f>IF(OR((COUNTA(I!$S$8:$S$62)=0),(COUNTA(I!$U$8:$U$62)=0)),"",COUNTIFS(I!$U$8:$U$62,"X15",I!$T$8:$T$62,"AB"))</f>
        <v/>
      </c>
      <c r="R109" s="43" t="str">
        <f>IF(OR((COUNTA(I!$S$8:$S$62)=0),(COUNTA(I!$U$8:$U$62)=0)),"",COUNTIFS(I!$U$8:$U$62,"X16",I!$T$8:$T$62,"AB"))</f>
        <v/>
      </c>
      <c r="S109" s="16" t="str">
        <f>IF(OR((COUNTA(I!$V$8:$V$62)=0),(COUNTA(I!$X$8:$X$62)=0)),"",COUNTIFS(I!$X$8:$X$62,"X17",I!$W$8:$W$62,"AB"))</f>
        <v/>
      </c>
      <c r="T109" s="17" t="str">
        <f>IF(OR((COUNTA(I!$V$8:$V$62)=0),(COUNTA(I!$X$8:$X$62)=0)),"",COUNTIFS(I!$X$8:$X$62,"X18",I!$W$8:$W$62,"AB"))</f>
        <v/>
      </c>
      <c r="U109" s="17" t="str">
        <f>IF(OR((COUNTA(I!$V$8:$V$62)=0),(COUNTA(I!$X$8:$X$62)=0)),"",COUNTIFS(I!$X$8:$X$62,"X19",I!$W$8:$W$62,"AB"))</f>
        <v/>
      </c>
      <c r="V109" s="17" t="str">
        <f>IF(OR((COUNTA(I!$V$8:$V$62)=0),(COUNTA(I!$X$8:$X$62)=0)),"",COUNTIFS(I!$X$8:$X$62,"X20",I!$W$8:$W$62,"AB"))</f>
        <v/>
      </c>
      <c r="W109" s="17" t="str">
        <f>IF(OR((COUNTA(I!$V$8:$V$62)=0),(COUNTA(I!$X$8:$X$62)=0)),"",COUNTIFS(I!$X$8:$X$62,"X21",I!$W$8:$W$62,"AB"))</f>
        <v/>
      </c>
      <c r="X109" s="17" t="str">
        <f>IF(OR((COUNTA(I!$V$8:$V$62)=0),(COUNTA(I!$X$8:$X$62)=0)),"",COUNTIFS(I!$X$8:$X$62,"X22",I!$W$8:$W$62,"AB"))</f>
        <v/>
      </c>
      <c r="Y109" s="17" t="str">
        <f>IF(OR((COUNTA(I!$V$8:$V$62)=0),(COUNTA(I!$X$8:$X$62)=0)),"",COUNTIFS(I!$X$8:$X$62,"X23",I!$W$8:$W$62,"AB"))</f>
        <v/>
      </c>
      <c r="Z109" s="43" t="str">
        <f>IF(OR((COUNTA(I!$V$8:$V$62)=0),(COUNTA(I!$X$8:$X$62)=0)),"",COUNTIFS(I!$X$8:$X$62,"X24",I!$W$8:$W$62,"AB"))</f>
        <v/>
      </c>
    </row>
    <row r="110" spans="1:26" s="2" customFormat="1" ht="13.5" customHeight="1">
      <c r="A110" s="500"/>
      <c r="B110" s="32" t="s">
        <v>48</v>
      </c>
      <c r="C110" s="13" t="str">
        <f>IF(OR((COUNTA(I!$P$8:$P$62)=0),(COUNTA(I!$R$8:$R$62)=0)),"",COUNTIFS(I!$R$8:$R$62,"X01",I!$P$8:$P$62,"&lt;=39",I!$P$8:$P$62,"&gt;=30"))</f>
        <v/>
      </c>
      <c r="D110" s="14" t="str">
        <f>IF(OR((COUNTA(I!$P$8:$P$62)=0),(COUNTA(I!$R$8:$R$62)=0)),"",COUNTIFS(I!$R$8:$R$62,"X02",I!$P$8:$P$62,"&lt;=39",I!$P$8:$P$62,"&gt;=30"))</f>
        <v/>
      </c>
      <c r="E110" s="14" t="str">
        <f>IF(OR((COUNTA(I!$P$8:$P$62)=0),(COUNTA(I!$R$8:$R$62)=0)),"",COUNTIFS(I!$R$8:$R$62,"X03",I!$P$8:$P$62,"&lt;=39",I!$P$8:$P$62,"&gt;=30"))</f>
        <v/>
      </c>
      <c r="F110" s="14" t="str">
        <f>IF(OR((COUNTA(I!$P$8:$P$62)=0),(COUNTA(I!$R$8:$R$62)=0)),"",COUNTIFS(I!$R$8:$R$62,"X04",I!$P$8:$P$62,"&lt;=39",I!$P$8:$P$62,"&gt;=30"))</f>
        <v/>
      </c>
      <c r="G110" s="14" t="str">
        <f>IF(OR((COUNTA(I!$P$8:$P$62)=0),(COUNTA(I!$R$8:$R$62)=0)),"",COUNTIFS(I!$R$8:$R$62,"X05",I!$P$8:$P$62,"&lt;=39",I!$P$8:$P$62,"&gt;=30"))</f>
        <v/>
      </c>
      <c r="H110" s="14" t="str">
        <f>IF(OR((COUNTA(I!$P$8:$P$62)=0),(COUNTA(I!$R$8:$R$62)=0)),"",COUNTIFS(I!$R$8:$R$62,"X06",I!$P$8:$P$62,"&lt;=39",I!$P$8:$P$62,"&gt;=30"))</f>
        <v/>
      </c>
      <c r="I110" s="14" t="str">
        <f>IF(OR((COUNTA(I!$P$8:$P$62)=0),(COUNTA(I!$R$8:$R$62)=0)),"",COUNTIFS(I!$R$8:$R$62,"X07",I!$P$8:$P$62,"&lt;=39",I!$P$8:$P$62,"&gt;=30"))</f>
        <v/>
      </c>
      <c r="J110" s="42" t="str">
        <f>IF(OR((COUNTA(I!$P$8:$P$62)=0),(COUNTA(I!$R$8:$R$62)=0)),"",COUNTIFS(I!$R$8:$R$62,"X08",I!$P$8:$P$62,"&lt;=39",I!$P$8:$P$62,"&gt;=30"))</f>
        <v/>
      </c>
      <c r="K110" s="13" t="str">
        <f>IF(OR((COUNTA(I!$S$8:$S$62)=0),(COUNTA(I!$U$8:$U$62)=0)),"",COUNTIFS(I!$U$8:$U$62,"X09",I!$S$8:$S$62,"&lt;=39",I!$S$8:$S$62,"&gt;=30"))</f>
        <v/>
      </c>
      <c r="L110" s="14" t="str">
        <f>IF(OR((COUNTA(I!$S$8:$S$62)=0),(COUNTA(I!$U$8:$U$62)=0)),"",COUNTIFS(I!$U$8:$U$62,"X10",I!$S$8:$S$62,"&lt;=39",I!$S$8:$S$62,"&gt;=30"))</f>
        <v/>
      </c>
      <c r="M110" s="14" t="str">
        <f>IF(OR((COUNTA(I!$S$8:$S$62)=0),(COUNTA(I!$U$8:$U$62)=0)),"",COUNTIFS(I!$U$8:$U$62,"X11",I!$S$8:$S$62,"&lt;=39",I!$S$8:$S$62,"&gt;=30"))</f>
        <v/>
      </c>
      <c r="N110" s="14" t="str">
        <f>IF(OR((COUNTA(I!$S$8:$S$62)=0),(COUNTA(I!$U$8:$U$62)=0)),"",COUNTIFS(I!$U$8:$U$62,"X12",I!$S$8:$S$62,"&lt;=39",I!$S$8:$S$62,"&gt;=30"))</f>
        <v/>
      </c>
      <c r="O110" s="14" t="str">
        <f>IF(OR((COUNTA(I!$S$8:$S$62)=0),(COUNTA(I!$U$8:$U$62)=0)),"",COUNTIFS(I!$U$8:$U$62,"X13",I!$S$8:$S$62,"&lt;=39",I!$S$8:$S$62,"&gt;=30"))</f>
        <v/>
      </c>
      <c r="P110" s="14" t="str">
        <f>IF(OR((COUNTA(I!$S$8:$S$62)=0),(COUNTA(I!$U$8:$U$62)=0)),"",COUNTIFS(I!$U$8:$U$62,"X14",I!$S$8:$S$62,"&lt;=39",I!$S$8:$S$62,"&gt;=30"))</f>
        <v/>
      </c>
      <c r="Q110" s="14" t="str">
        <f>IF(OR((COUNTA(I!$S$8:$S$62)=0),(COUNTA(I!$U$8:$U$62)=0)),"",COUNTIFS(I!$U$8:$U$62,"X15",I!$S$8:$S$62,"&lt;=39",I!$S$8:$S$62,"&gt;=30"))</f>
        <v/>
      </c>
      <c r="R110" s="42" t="str">
        <f>IF(OR((COUNTA(I!$S$8:$S$62)=0),(COUNTA(I!$U$8:$U$62)=0)),"",COUNTIFS(I!$U$8:$U$62,"X16",I!$S$8:$S$62,"&lt;=39",I!$S$8:$S$62,"&gt;=30"))</f>
        <v/>
      </c>
      <c r="S110" s="13" t="str">
        <f>IF(OR((COUNTA(I!$V$8:$V$62)=0),(COUNTA(I!$X$8:$X$62)=0)),"",COUNTIFS(I!$X$8:$X$62,"X17",I!$V$8:$V$62,"&lt;=39",I!$V$8:$V$62,"&gt;=30"))</f>
        <v/>
      </c>
      <c r="T110" s="14" t="str">
        <f>IF(OR((COUNTA(I!$V$8:$V$62)=0),(COUNTA(I!$X$8:$X$62)=0)),"",COUNTIFS(I!$X$8:$X$62,"X18",I!$V$8:$V$62,"&lt;=39",I!$V$8:$V$62,"&gt;=30"))</f>
        <v/>
      </c>
      <c r="U110" s="14" t="str">
        <f>IF(OR((COUNTA(I!$V$8:$V$62)=0),(COUNTA(I!$X$8:$X$62)=0)),"",COUNTIFS(I!$X$8:$X$62,"X19",I!$V$8:$V$62,"&lt;=39",I!$V$8:$V$62,"&gt;=30"))</f>
        <v/>
      </c>
      <c r="V110" s="14" t="str">
        <f>IF(OR((COUNTA(I!$V$8:$V$62)=0),(COUNTA(I!$X$8:$X$62)=0)),"",COUNTIFS(I!$X$8:$X$62,"X20",I!$V$8:$V$62,"&lt;=39",I!$V$8:$V$62,"&gt;=30"))</f>
        <v/>
      </c>
      <c r="W110" s="14" t="str">
        <f>IF(OR((COUNTA(I!$V$8:$V$62)=0),(COUNTA(I!$X$8:$X$62)=0)),"",COUNTIFS(I!$X$8:$X$62,"X21",I!$V$8:$V$62,"&lt;=39",I!$V$8:$V$62,"&gt;=30"))</f>
        <v/>
      </c>
      <c r="X110" s="14" t="str">
        <f>IF(OR((COUNTA(I!$V$8:$V$62)=0),(COUNTA(I!$X$8:$X$62)=0)),"",COUNTIFS(I!$X$8:$X$62,"X22",I!$V$8:$V$62,"&lt;=39",I!$V$8:$V$62,"&gt;=30"))</f>
        <v/>
      </c>
      <c r="Y110" s="14" t="str">
        <f>IF(OR((COUNTA(I!$V$8:$V$62)=0),(COUNTA(I!$X$8:$X$62)=0)),"",COUNTIFS(I!$X$8:$X$62,"X23",I!$V$8:$V$62,"&lt;=39",I!$V$8:$V$62,"&gt;=30"))</f>
        <v/>
      </c>
      <c r="Z110" s="42" t="str">
        <f>IF(OR((COUNTA(I!$V$8:$V$62)=0),(COUNTA(I!$X$8:$X$62)=0)),"",COUNTIFS(I!$X$8:$X$62,"X24",I!$V$8:$V$62,"&lt;=39",I!$V$8:$V$62,"&gt;=30"))</f>
        <v/>
      </c>
    </row>
    <row r="111" spans="1:26" s="2" customFormat="1" ht="13.5" customHeight="1">
      <c r="A111" s="500"/>
      <c r="B111" s="32" t="s">
        <v>51</v>
      </c>
      <c r="C111" s="13" t="str">
        <f>IF(OR((COUNTA(I!$P$8:$P$62)=0),(COUNTA(I!$R$8:$R$62)=0)),"",COUNTIFS(I!$R$8:$R$62,"X01",I!$P$8:$P$62,"&lt;=29",I!$P$8:$P$62,"&gt;=20"))</f>
        <v/>
      </c>
      <c r="D111" s="14" t="str">
        <f>IF(OR((COUNTA(I!$P$8:$P$62)=0),(COUNTA(I!$R$8:$R$62)=0)),"",COUNTIFS(I!$R$8:$R$62,"X02",I!$P$8:$P$62,"&lt;=29",I!$P$8:$P$62,"&gt;=20"))</f>
        <v/>
      </c>
      <c r="E111" s="14" t="str">
        <f>IF(OR((COUNTA(I!$P$8:$P$62)=0),(COUNTA(I!$R$8:$R$62)=0)),"",COUNTIFS(I!$R$8:$R$62,"X03",I!$P$8:$P$62,"&lt;=29",I!$P$8:$P$62,"&gt;=20"))</f>
        <v/>
      </c>
      <c r="F111" s="14" t="str">
        <f>IF(OR((COUNTA(I!$P$8:$P$62)=0),(COUNTA(I!$R$8:$R$62)=0)),"",COUNTIFS(I!$R$8:$R$62,"X04",I!$P$8:$P$62,"&lt;=29",I!$P$8:$P$62,"&gt;=20"))</f>
        <v/>
      </c>
      <c r="G111" s="14" t="str">
        <f>IF(OR((COUNTA(I!$P$8:$P$62)=0),(COUNTA(I!$R$8:$R$62)=0)),"",COUNTIFS(I!$R$8:$R$62,"X05",I!$P$8:$P$62,"&lt;=29",I!$P$8:$P$62,"&gt;=20"))</f>
        <v/>
      </c>
      <c r="H111" s="14" t="str">
        <f>IF(OR((COUNTA(I!$P$8:$P$62)=0),(COUNTA(I!$R$8:$R$62)=0)),"",COUNTIFS(I!$R$8:$R$62,"X06",I!$P$8:$P$62,"&lt;=29",I!$P$8:$P$62,"&gt;=20"))</f>
        <v/>
      </c>
      <c r="I111" s="14" t="str">
        <f>IF(OR((COUNTA(I!$P$8:$P$62)=0),(COUNTA(I!$R$8:$R$62)=0)),"",COUNTIFS(I!$R$8:$R$62,"X07",I!$P$8:$P$62,"&lt;=29",I!$P$8:$P$62,"&gt;=20"))</f>
        <v/>
      </c>
      <c r="J111" s="42" t="str">
        <f>IF(OR((COUNTA(I!$P$8:$P$62)=0),(COUNTA(I!$R$8:$R$62)=0)),"",COUNTIFS(I!$R$8:$R$62,"X08",I!$P$8:$P$62,"&lt;=29",I!$P$8:$P$62,"&gt;=20"))</f>
        <v/>
      </c>
      <c r="K111" s="13" t="str">
        <f>IF(OR((COUNTA(I!$S$8:$S$62)=0),(COUNTA(I!$U$8:$U$62)=0)),"",COUNTIFS(I!$U$8:$U$62,"X09",I!$S$8:$S$62,"&lt;=29",I!$S$8:$S$62,"&gt;=20"))</f>
        <v/>
      </c>
      <c r="L111" s="14" t="str">
        <f>IF(OR((COUNTA(I!$S$8:$S$62)=0),(COUNTA(I!$U$8:$U$62)=0)),"",COUNTIFS(I!$U$8:$U$62,"X10",I!$S$8:$S$62,"&lt;=29",I!$S$8:$S$62,"&gt;=20"))</f>
        <v/>
      </c>
      <c r="M111" s="14" t="str">
        <f>IF(OR((COUNTA(I!$S$8:$S$62)=0),(COUNTA(I!$U$8:$U$62)=0)),"",COUNTIFS(I!$U$8:$U$62,"X11",I!$S$8:$S$62,"&lt;=29",I!$S$8:$S$62,"&gt;=20"))</f>
        <v/>
      </c>
      <c r="N111" s="14" t="str">
        <f>IF(OR((COUNTA(I!$S$8:$S$62)=0),(COUNTA(I!$U$8:$U$62)=0)),"",COUNTIFS(I!$U$8:$U$62,"X12",I!$S$8:$S$62,"&lt;=29",I!$S$8:$S$62,"&gt;=20"))</f>
        <v/>
      </c>
      <c r="O111" s="14" t="str">
        <f>IF(OR((COUNTA(I!$S$8:$S$62)=0),(COUNTA(I!$U$8:$U$62)=0)),"",COUNTIFS(I!$U$8:$U$62,"X13",I!$S$8:$S$62,"&lt;=29",I!$S$8:$S$62,"&gt;=20"))</f>
        <v/>
      </c>
      <c r="P111" s="14" t="str">
        <f>IF(OR((COUNTA(I!$S$8:$S$62)=0),(COUNTA(I!$U$8:$U$62)=0)),"",COUNTIFS(I!$U$8:$U$62,"X14",I!$S$8:$S$62,"&lt;=29",I!$S$8:$S$62,"&gt;=20"))</f>
        <v/>
      </c>
      <c r="Q111" s="14" t="str">
        <f>IF(OR((COUNTA(I!$S$8:$S$62)=0),(COUNTA(I!$U$8:$U$62)=0)),"",COUNTIFS(I!$U$8:$U$62,"X15",I!$S$8:$S$62,"&lt;=29",I!$S$8:$S$62,"&gt;=20"))</f>
        <v/>
      </c>
      <c r="R111" s="42" t="str">
        <f>IF(OR((COUNTA(I!$S$8:$S$62)=0),(COUNTA(I!$U$8:$U$62)=0)),"",COUNTIFS(I!$U$8:$U$62,"X16",I!$S$8:$S$62,"&lt;=29",I!$S$8:$S$62,"&gt;=20"))</f>
        <v/>
      </c>
      <c r="S111" s="13" t="str">
        <f>IF(OR((COUNTA(I!$V$8:$V$62)=0),(COUNTA(I!$X$8:$X$62)=0)),"",COUNTIFS(I!$X$8:$X$62,"X17",I!$V$8:$V$62,"&lt;=29",I!$V$8:$V$62,"&gt;=20"))</f>
        <v/>
      </c>
      <c r="T111" s="14" t="str">
        <f>IF(OR((COUNTA(I!$V$8:$V$62)=0),(COUNTA(I!$X$8:$X$62)=0)),"",COUNTIFS(I!$X$8:$X$62,"X18",I!$V$8:$V$62,"&lt;=29",I!$V$8:$V$62,"&gt;=20"))</f>
        <v/>
      </c>
      <c r="U111" s="14" t="str">
        <f>IF(OR((COUNTA(I!$V$8:$V$62)=0),(COUNTA(I!$X$8:$X$62)=0)),"",COUNTIFS(I!$X$8:$X$62,"X19",I!$V$8:$V$62,"&lt;=29",I!$V$8:$V$62,"&gt;=20"))</f>
        <v/>
      </c>
      <c r="V111" s="14" t="str">
        <f>IF(OR((COUNTA(I!$V$8:$V$62)=0),(COUNTA(I!$X$8:$X$62)=0)),"",COUNTIFS(I!$X$8:$X$62,"X20",I!$V$8:$V$62,"&lt;=29",I!$V$8:$V$62,"&gt;=20"))</f>
        <v/>
      </c>
      <c r="W111" s="14" t="str">
        <f>IF(OR((COUNTA(I!$V$8:$V$62)=0),(COUNTA(I!$X$8:$X$62)=0)),"",COUNTIFS(I!$X$8:$X$62,"X21",I!$V$8:$V$62,"&lt;=29",I!$V$8:$V$62,"&gt;=20"))</f>
        <v/>
      </c>
      <c r="X111" s="14" t="str">
        <f>IF(OR((COUNTA(I!$V$8:$V$62)=0),(COUNTA(I!$X$8:$X$62)=0)),"",COUNTIFS(I!$X$8:$X$62,"X22",I!$V$8:$V$62,"&lt;=29",I!$V$8:$V$62,"&gt;=20"))</f>
        <v/>
      </c>
      <c r="Y111" s="14" t="str">
        <f>IF(OR((COUNTA(I!$V$8:$V$62)=0),(COUNTA(I!$X$8:$X$62)=0)),"",COUNTIFS(I!$X$8:$X$62,"X23",I!$V$8:$V$62,"&lt;=29",I!$V$8:$V$62,"&gt;=20"))</f>
        <v/>
      </c>
      <c r="Z111" s="42" t="str">
        <f>IF(OR((COUNTA(I!$V$8:$V$62)=0),(COUNTA(I!$X$8:$X$62)=0)),"",COUNTIFS(I!$X$8:$X$62,"X24",I!$V$8:$V$62,"&lt;=29",I!$V$8:$V$62,"&gt;=20"))</f>
        <v/>
      </c>
    </row>
    <row r="112" spans="1:26" s="2" customFormat="1" ht="13.5" customHeight="1">
      <c r="A112" s="500"/>
      <c r="B112" s="33" t="s">
        <v>52</v>
      </c>
      <c r="C112" s="16" t="str">
        <f>IF(OR((COUNTA(I!$P$8:$P$62)=0),(COUNTA(I!$R$8:$R$62)=0)),"",COUNTIFS(I!$R$8:$R$62,"X01",I!$P$8:$P$62,"&lt;=19",I!$P$8:$P$62,"&gt;=10"))</f>
        <v/>
      </c>
      <c r="D112" s="17" t="str">
        <f>IF(OR((COUNTA(I!$P$8:$P$62)=0),(COUNTA(I!$R$8:$R$62)=0)),"",COUNTIFS(I!$R$8:$R$62,"X02",I!$P$8:$P$62,"&lt;=19",I!$P$8:$P$62,"&gt;=10"))</f>
        <v/>
      </c>
      <c r="E112" s="17" t="str">
        <f>IF(OR((COUNTA(I!$P$8:$P$62)=0),(COUNTA(I!$R$8:$R$62)=0)),"",COUNTIFS(I!$R$8:$R$62,"X03",I!$P$8:$P$62,"&lt;=19",I!$P$8:$P$62,"&gt;=10"))</f>
        <v/>
      </c>
      <c r="F112" s="17" t="str">
        <f>IF(OR((COUNTA(I!$P$8:$P$62)=0),(COUNTA(I!$R$8:$R$62)=0)),"",COUNTIFS(I!$R$8:$R$62,"X04",I!$P$8:$P$62,"&lt;=19",I!$P$8:$P$62,"&gt;=10"))</f>
        <v/>
      </c>
      <c r="G112" s="17" t="str">
        <f>IF(OR((COUNTA(I!$P$8:$P$62)=0),(COUNTA(I!$R$8:$R$62)=0)),"",COUNTIFS(I!$R$8:$R$62,"X05",I!$P$8:$P$62,"&lt;=19",I!$P$8:$P$62,"&gt;=10"))</f>
        <v/>
      </c>
      <c r="H112" s="17" t="str">
        <f>IF(OR((COUNTA(I!$P$8:$P$62)=0),(COUNTA(I!$R$8:$R$62)=0)),"",COUNTIFS(I!$R$8:$R$62,"X06",I!$P$8:$P$62,"&lt;=19",I!$P$8:$P$62,"&gt;=10"))</f>
        <v/>
      </c>
      <c r="I112" s="17" t="str">
        <f>IF(OR((COUNTA(I!$P$8:$P$62)=0),(COUNTA(I!$R$8:$R$62)=0)),"",COUNTIFS(I!$R$8:$R$62,"X07",I!$P$8:$P$62,"&lt;=19",I!$P$8:$P$62,"&gt;=10"))</f>
        <v/>
      </c>
      <c r="J112" s="43" t="str">
        <f>IF(OR((COUNTA(I!$P$8:$P$62)=0),(COUNTA(I!$R$8:$R$62)=0)),"",COUNTIFS(I!$R$8:$R$62,"X08",I!$P$8:$P$62,"&lt;=19",I!$P$8:$P$62,"&gt;=10"))</f>
        <v/>
      </c>
      <c r="K112" s="16" t="str">
        <f>IF(OR((COUNTA(I!$S$8:$S$62)=0),(COUNTA(I!$U$8:$U$62)=0)),"",COUNTIFS(I!$U$8:$U$62,"X09",I!$S$8:$S$62,"&lt;=19",I!$S$8:$S$62,"&gt;=10"))</f>
        <v/>
      </c>
      <c r="L112" s="17" t="str">
        <f>IF(OR((COUNTA(I!$S$8:$S$62)=0),(COUNTA(I!$U$8:$U$62)=0)),"",COUNTIFS(I!$U$8:$U$62,"X10",I!$S$8:$S$62,"&lt;=19",I!$S$8:$S$62,"&gt;=10"))</f>
        <v/>
      </c>
      <c r="M112" s="17" t="str">
        <f>IF(OR((COUNTA(I!$S$8:$S$62)=0),(COUNTA(I!$U$8:$U$62)=0)),"",COUNTIFS(I!$U$8:$U$62,"X11",I!$S$8:$S$62,"&lt;=19",I!$S$8:$S$62,"&gt;=10"))</f>
        <v/>
      </c>
      <c r="N112" s="17" t="str">
        <f>IF(OR((COUNTA(I!$S$8:$S$62)=0),(COUNTA(I!$U$8:$U$62)=0)),"",COUNTIFS(I!$U$8:$U$62,"X12",I!$S$8:$S$62,"&lt;=19",I!$S$8:$S$62,"&gt;=10"))</f>
        <v/>
      </c>
      <c r="O112" s="17" t="str">
        <f>IF(OR((COUNTA(I!$S$8:$S$62)=0),(COUNTA(I!$U$8:$U$62)=0)),"",COUNTIFS(I!$U$8:$U$62,"X13",I!$S$8:$S$62,"&lt;=19",I!$S$8:$S$62,"&gt;=10"))</f>
        <v/>
      </c>
      <c r="P112" s="17" t="str">
        <f>IF(OR((COUNTA(I!$S$8:$S$62)=0),(COUNTA(I!$U$8:$U$62)=0)),"",COUNTIFS(I!$U$8:$U$62,"X14",I!$S$8:$S$62,"&lt;=19",I!$S$8:$S$62,"&gt;=10"))</f>
        <v/>
      </c>
      <c r="Q112" s="17" t="str">
        <f>IF(OR((COUNTA(I!$S$8:$S$62)=0),(COUNTA(I!$U$8:$U$62)=0)),"",COUNTIFS(I!$U$8:$U$62,"X15",I!$S$8:$S$62,"&lt;=19",I!$S$8:$S$62,"&gt;=10"))</f>
        <v/>
      </c>
      <c r="R112" s="43" t="str">
        <f>IF(OR((COUNTA(I!$S$8:$S$62)=0),(COUNTA(I!$U$8:$U$62)=0)),"",COUNTIFS(I!$U$8:$U$62,"X16",I!$S$8:$S$62,"&lt;=19",I!$S$8:$S$62,"&gt;=10"))</f>
        <v/>
      </c>
      <c r="S112" s="16" t="str">
        <f>IF(OR((COUNTA(I!$V$8:$V$62)=0),(COUNTA(I!$X$8:$X$62)=0)),"",COUNTIFS(I!$X$8:$X$62,"X17",I!$V$8:$V$62,"&lt;=19",I!$V$8:$V$62,"&gt;=10"))</f>
        <v/>
      </c>
      <c r="T112" s="17" t="str">
        <f>IF(OR((COUNTA(I!$V$8:$V$62)=0),(COUNTA(I!$X$8:$X$62)=0)),"",COUNTIFS(I!$X$8:$X$62,"X18",I!$V$8:$V$62,"&lt;=19",I!$V$8:$V$62,"&gt;=10"))</f>
        <v/>
      </c>
      <c r="U112" s="17" t="str">
        <f>IF(OR((COUNTA(I!$V$8:$V$62)=0),(COUNTA(I!$X$8:$X$62)=0)),"",COUNTIFS(I!$X$8:$X$62,"X19",I!$V$8:$V$62,"&lt;=19",I!$V$8:$V$62,"&gt;=10"))</f>
        <v/>
      </c>
      <c r="V112" s="17" t="str">
        <f>IF(OR((COUNTA(I!$V$8:$V$62)=0),(COUNTA(I!$X$8:$X$62)=0)),"",COUNTIFS(I!$X$8:$X$62,"X20",I!$V$8:$V$62,"&lt;=19",I!$V$8:$V$62,"&gt;=10"))</f>
        <v/>
      </c>
      <c r="W112" s="17" t="str">
        <f>IF(OR((COUNTA(I!$V$8:$V$62)=0),(COUNTA(I!$X$8:$X$62)=0)),"",COUNTIFS(I!$X$8:$X$62,"X21",I!$V$8:$V$62,"&lt;=19",I!$V$8:$V$62,"&gt;=10"))</f>
        <v/>
      </c>
      <c r="X112" s="17" t="str">
        <f>IF(OR((COUNTA(I!$V$8:$V$62)=0),(COUNTA(I!$X$8:$X$62)=0)),"",COUNTIFS(I!$X$8:$X$62,"X22",I!$V$8:$V$62,"&lt;=19",I!$V$8:$V$62,"&gt;=10"))</f>
        <v/>
      </c>
      <c r="Y112" s="17" t="str">
        <f>IF(OR((COUNTA(I!$V$8:$V$62)=0),(COUNTA(I!$X$8:$X$62)=0)),"",COUNTIFS(I!$X$8:$X$62,"X23",I!$V$8:$V$62,"&lt;=19",I!$V$8:$V$62,"&gt;=10"))</f>
        <v/>
      </c>
      <c r="Z112" s="43" t="str">
        <f>IF(OR((COUNTA(I!$V$8:$V$62)=0),(COUNTA(I!$X$8:$X$62)=0)),"",COUNTIFS(I!$X$8:$X$62,"X24",I!$V$8:$V$62,"&lt;=19",I!$V$8:$V$62,"&gt;=10"))</f>
        <v/>
      </c>
    </row>
    <row r="113" spans="1:26" s="2" customFormat="1" ht="13.5" customHeight="1">
      <c r="A113" s="501"/>
      <c r="B113" s="34" t="s">
        <v>55</v>
      </c>
      <c r="C113" s="21" t="str">
        <f>IF(OR((COUNTA(I!$P$8:$P$62)=0),(COUNTA(I!$R$8:$R$62)=0)),"",COUNTIFS(I!$R$8:$R$62,"X01",I!$P$8:$P$62,"&lt;=9"))</f>
        <v/>
      </c>
      <c r="D113" s="22" t="str">
        <f>IF(OR((COUNTA(I!$P$8:$P$62)=0),(COUNTA(I!$R$8:$R$62)=0)),"",COUNTIFS(I!$R$8:$R$62,"X02",I!$P$8:$P$62,"&lt;=9"))</f>
        <v/>
      </c>
      <c r="E113" s="22" t="str">
        <f>IF(OR((COUNTA(I!$P$8:$P$62)=0),(COUNTA(I!$R$8:$R$62)=0)),"",COUNTIFS(I!$R$8:$R$62,"X03",I!$P$8:$P$62,"&lt;=9"))</f>
        <v/>
      </c>
      <c r="F113" s="22" t="str">
        <f>IF(OR((COUNTA(I!$P$8:$P$62)=0),(COUNTA(I!$R$8:$R$62)=0)),"",COUNTIFS(I!$R$8:$R$62,"X04",I!$P$8:$P$62,"&lt;=9"))</f>
        <v/>
      </c>
      <c r="G113" s="22" t="str">
        <f>IF(OR((COUNTA(I!$P$8:$P$62)=0),(COUNTA(I!$R$8:$R$62)=0)),"",COUNTIFS(I!$R$8:$R$62,"X05",I!$P$8:$P$62,"&lt;=9"))</f>
        <v/>
      </c>
      <c r="H113" s="22" t="str">
        <f>IF(OR((COUNTA(I!$P$8:$P$62)=0),(COUNTA(I!$R$8:$R$62)=0)),"",COUNTIFS(I!$R$8:$R$62,"X06",I!$P$8:$P$62,"&lt;=9"))</f>
        <v/>
      </c>
      <c r="I113" s="22" t="str">
        <f>IF(OR((COUNTA(I!$P$8:$P$62)=0),(COUNTA(I!$R$8:$R$62)=0)),"",COUNTIFS(I!$R$8:$R$62,"X07",I!$P$8:$P$62,"&lt;=9"))</f>
        <v/>
      </c>
      <c r="J113" s="44" t="str">
        <f>IF(OR((COUNTA(I!$P$8:$P$62)=0),(COUNTA(I!$R$8:$R$62)=0)),"",COUNTIFS(I!$R$8:$R$62,"X08",I!$P$8:$P$62,"&lt;=9"))</f>
        <v/>
      </c>
      <c r="K113" s="21" t="str">
        <f>IF(OR((COUNTA(I!$S$8:$S$62)=0),(COUNTA(I!$U$8:$U$62)=0)),"",COUNTIFS(I!$U$8:$U$62,"X09",I!$S$8:$S$62,"&lt;=9"))</f>
        <v/>
      </c>
      <c r="L113" s="22" t="str">
        <f>IF(OR((COUNTA(I!$S$8:$S$62)=0),(COUNTA(I!$U$8:$U$62)=0)),"",COUNTIFS(I!$U$8:$U$62,"X10",I!$S$8:$S$62,"&lt;=9"))</f>
        <v/>
      </c>
      <c r="M113" s="22" t="str">
        <f>IF(OR((COUNTA(I!$S$8:$S$62)=0),(COUNTA(I!$U$8:$U$62)=0)),"",COUNTIFS(I!$U$8:$U$62,"X11",I!$S$8:$S$62,"&lt;=9"))</f>
        <v/>
      </c>
      <c r="N113" s="22" t="str">
        <f>IF(OR((COUNTA(I!$S$8:$S$62)=0),(COUNTA(I!$U$8:$U$62)=0)),"",COUNTIFS(I!$U$8:$U$62,"X12",I!$S$8:$S$62,"&lt;=9"))</f>
        <v/>
      </c>
      <c r="O113" s="22" t="str">
        <f>IF(OR((COUNTA(I!$S$8:$S$62)=0),(COUNTA(I!$U$8:$U$62)=0)),"",COUNTIFS(I!$U$8:$U$62,"X13",I!$S$8:$S$62,"&lt;=9"))</f>
        <v/>
      </c>
      <c r="P113" s="22" t="str">
        <f>IF(OR((COUNTA(I!$S$8:$S$62)=0),(COUNTA(I!$U$8:$U$62)=0)),"",COUNTIFS(I!$U$8:$U$62,"X14",I!$S$8:$S$62,"&lt;=9"))</f>
        <v/>
      </c>
      <c r="Q113" s="22" t="str">
        <f>IF(OR((COUNTA(I!$S$8:$S$62)=0),(COUNTA(I!$U$8:$U$62)=0)),"",COUNTIFS(I!$U$8:$U$62,"X15",I!$S$8:$S$62,"&lt;=9"))</f>
        <v/>
      </c>
      <c r="R113" s="44" t="str">
        <f>IF(OR((COUNTA(I!$S$8:$S$62)=0),(COUNTA(I!$U$8:$U$62)=0)),"",COUNTIFS(I!$U$8:$U$62,"X16",I!$S$8:$S$62,"&lt;=9"))</f>
        <v/>
      </c>
      <c r="S113" s="21" t="str">
        <f>IF(OR((COUNTA(I!$V$8:$V$62)=0),(COUNTA(I!$X$8:$X$62)=0)),"",COUNTIFS(I!$X$8:$X$62,"X17",I!$V$8:$V$62,"&lt;=9"))</f>
        <v/>
      </c>
      <c r="T113" s="22" t="str">
        <f>IF(OR((COUNTA(I!$V$8:$V$62)=0),(COUNTA(I!$X$8:$X$62)=0)),"",COUNTIFS(I!$X$8:$X$62,"X18",I!$V$8:$V$62,"&lt;=9"))</f>
        <v/>
      </c>
      <c r="U113" s="22" t="str">
        <f>IF(OR((COUNTA(I!$V$8:$V$62)=0),(COUNTA(I!$X$8:$X$62)=0)),"",COUNTIFS(I!$X$8:$X$62,"X19",I!$V$8:$V$62,"&lt;=9"))</f>
        <v/>
      </c>
      <c r="V113" s="22" t="str">
        <f>IF(OR((COUNTA(I!$V$8:$V$62)=0),(COUNTA(I!$X$8:$X$62)=0)),"",COUNTIFS(I!$X$8:$X$62,"X20",I!$V$8:$V$62,"&lt;=9"))</f>
        <v/>
      </c>
      <c r="W113" s="22" t="str">
        <f>IF(OR((COUNTA(I!$V$8:$V$62)=0),(COUNTA(I!$X$8:$X$62)=0)),"",COUNTIFS(I!$X$8:$X$62,"X21",I!$V$8:$V$62,"&lt;=9"))</f>
        <v/>
      </c>
      <c r="X113" s="22" t="str">
        <f>IF(OR((COUNTA(I!$V$8:$V$62)=0),(COUNTA(I!$X$8:$X$62)=0)),"",COUNTIFS(I!$X$8:$X$62,"X22",I!$V$8:$V$62,"&lt;=9"))</f>
        <v/>
      </c>
      <c r="Y113" s="22" t="str">
        <f>IF(OR((COUNTA(I!$V$8:$V$62)=0),(COUNTA(I!$X$8:$X$62)=0)),"",COUNTIFS(I!$X$8:$X$62,"X23",I!$V$8:$V$62,"&lt;=9"))</f>
        <v/>
      </c>
      <c r="Z113" s="44" t="str">
        <f>IF(OR((COUNTA(I!$V$8:$V$62)=0),(COUNTA(I!$X$8:$X$62)=0)),"",COUNTIFS(I!$X$8:$X$62,"X24",I!$V$8:$V$62,"&lt;=9"))</f>
        <v/>
      </c>
    </row>
    <row r="114" spans="1:26" s="2" customFormat="1" ht="13.5" customHeight="1">
      <c r="A114" s="497" t="s">
        <v>174</v>
      </c>
      <c r="B114" s="35" t="s">
        <v>33</v>
      </c>
      <c r="C114" s="24" t="str">
        <f>IF(AND(C104="",C105="",C106="",C107="",C108="",C109="",C110="",C111="",C112="",C113=""),"",(SUM(C104:C107,C110,C111)))</f>
        <v/>
      </c>
      <c r="D114" s="25" t="str">
        <f t="shared" ref="D114" si="324">IF(AND(D104="",D105="",D106="",D107="",D108="",D109="",D110="",D111="",D112="",D113=""),"",(SUM(D104:D107,D110,D111)))</f>
        <v/>
      </c>
      <c r="E114" s="25" t="str">
        <f t="shared" ref="E114" si="325">IF(AND(E104="",E105="",E106="",E107="",E108="",E109="",E110="",E111="",E112="",E113=""),"",(SUM(E104:E107,E110,E111)))</f>
        <v/>
      </c>
      <c r="F114" s="25" t="str">
        <f t="shared" ref="F114" si="326">IF(AND(F104="",F105="",F106="",F107="",F108="",F109="",F110="",F111="",F112="",F113=""),"",(SUM(F104:F107,F110,F111)))</f>
        <v/>
      </c>
      <c r="G114" s="25" t="str">
        <f t="shared" ref="G114" si="327">IF(AND(G104="",G105="",G106="",G107="",G108="",G109="",G110="",G111="",G112="",G113=""),"",(SUM(G104:G107,G110,G111)))</f>
        <v/>
      </c>
      <c r="H114" s="25" t="str">
        <f t="shared" ref="H114" si="328">IF(AND(H104="",H105="",H106="",H107="",H108="",H109="",H110="",H111="",H112="",H113=""),"",(SUM(H104:H107,H110,H111)))</f>
        <v/>
      </c>
      <c r="I114" s="25" t="str">
        <f t="shared" ref="I114" si="329">IF(AND(I104="",I105="",I106="",I107="",I108="",I109="",I110="",I111="",I112="",I113=""),"",(SUM(I104:I107,I110,I111)))</f>
        <v/>
      </c>
      <c r="J114" s="45" t="str">
        <f t="shared" ref="J114" si="330">IF(AND(J104="",J105="",J106="",J107="",J108="",J109="",J110="",J111="",J112="",J113=""),"",(SUM(J104:J107,J110,J111)))</f>
        <v/>
      </c>
      <c r="K114" s="24" t="str">
        <f t="shared" ref="K114" si="331">IF(AND(K104="",K105="",K106="",K107="",K108="",K109="",K110="",K111="",K112="",K113=""),"",(SUM(K104:K107,K110,K111)))</f>
        <v/>
      </c>
      <c r="L114" s="25" t="str">
        <f t="shared" ref="L114" si="332">IF(AND(L104="",L105="",L106="",L107="",L108="",L109="",L110="",L111="",L112="",L113=""),"",(SUM(L104:L107,L110,L111)))</f>
        <v/>
      </c>
      <c r="M114" s="25" t="str">
        <f t="shared" ref="M114" si="333">IF(AND(M104="",M105="",M106="",M107="",M108="",M109="",M110="",M111="",M112="",M113=""),"",(SUM(M104:M107,M110,M111)))</f>
        <v/>
      </c>
      <c r="N114" s="25" t="str">
        <f t="shared" ref="N114" si="334">IF(AND(N104="",N105="",N106="",N107="",N108="",N109="",N110="",N111="",N112="",N113=""),"",(SUM(N104:N107,N110,N111)))</f>
        <v/>
      </c>
      <c r="O114" s="25" t="str">
        <f t="shared" ref="O114" si="335">IF(AND(O104="",O105="",O106="",O107="",O108="",O109="",O110="",O111="",O112="",O113=""),"",(SUM(O104:O107,O110,O111)))</f>
        <v/>
      </c>
      <c r="P114" s="25" t="str">
        <f t="shared" ref="P114" si="336">IF(AND(P104="",P105="",P106="",P107="",P108="",P109="",P110="",P111="",P112="",P113=""),"",(SUM(P104:P107,P110,P111)))</f>
        <v/>
      </c>
      <c r="Q114" s="25" t="str">
        <f t="shared" ref="Q114" si="337">IF(AND(Q104="",Q105="",Q106="",Q107="",Q108="",Q109="",Q110="",Q111="",Q112="",Q113=""),"",(SUM(Q104:Q107,Q110,Q111)))</f>
        <v/>
      </c>
      <c r="R114" s="48" t="str">
        <f t="shared" ref="R114" si="338">IF(AND(R104="",R105="",R106="",R107="",R108="",R109="",R110="",R111="",R112="",R113=""),"",(SUM(R104:R107,R110,R111)))</f>
        <v/>
      </c>
      <c r="S114" s="49" t="str">
        <f t="shared" ref="S114" si="339">IF(AND(S104="",S105="",S106="",S107="",S108="",S109="",S110="",S111="",S112="",S113=""),"",(SUM(S104:S107,S110,S111)))</f>
        <v/>
      </c>
      <c r="T114" s="25" t="str">
        <f t="shared" ref="T114" si="340">IF(AND(T104="",T105="",T106="",T107="",T108="",T109="",T110="",T111="",T112="",T113=""),"",(SUM(T104:T107,T110,T111)))</f>
        <v/>
      </c>
      <c r="U114" s="25" t="str">
        <f t="shared" ref="U114" si="341">IF(AND(U104="",U105="",U106="",U107="",U108="",U109="",U110="",U111="",U112="",U113=""),"",(SUM(U104:U107,U110,U111)))</f>
        <v/>
      </c>
      <c r="V114" s="25" t="str">
        <f t="shared" ref="V114" si="342">IF(AND(V104="",V105="",V106="",V107="",V108="",V109="",V110="",V111="",V112="",V113=""),"",(SUM(V104:V107,V110,V111)))</f>
        <v/>
      </c>
      <c r="W114" s="25" t="str">
        <f t="shared" ref="W114" si="343">IF(AND(W104="",W105="",W106="",W107="",W108="",W109="",W110="",W111="",W112="",W113=""),"",(SUM(W104:W107,W110,W111)))</f>
        <v/>
      </c>
      <c r="X114" s="25" t="str">
        <f t="shared" ref="X114" si="344">IF(AND(X104="",X105="",X106="",X107="",X108="",X109="",X110="",X111="",X112="",X113=""),"",(SUM(X104:X107,X110,X111)))</f>
        <v/>
      </c>
      <c r="Y114" s="25" t="str">
        <f t="shared" ref="Y114" si="345">IF(AND(Y104="",Y105="",Y106="",Y107="",Y108="",Y109="",Y110="",Y111="",Y112="",Y113=""),"",(SUM(Y104:Y107,Y110,Y111)))</f>
        <v/>
      </c>
      <c r="Z114" s="48" t="str">
        <f t="shared" ref="Z114" si="346">IF(AND(Z104="",Z105="",Z106="",Z107="",Z108="",Z109="",Z110="",Z111="",Z112="",Z113=""),"",(SUM(Z104:Z107,Z110,Z111)))</f>
        <v/>
      </c>
    </row>
    <row r="115" spans="1:26" s="2" customFormat="1" ht="13.5" customHeight="1">
      <c r="A115" s="498"/>
      <c r="B115" s="36" t="s">
        <v>169</v>
      </c>
      <c r="C115" s="27" t="str">
        <f>IF(C114="","",IF(C114=0,0,((C114/(SUM(C104:C109))*100))))</f>
        <v/>
      </c>
      <c r="D115" s="28" t="str">
        <f t="shared" ref="D115" si="347">IF(D114="","",IF(D114=0,0,((D114/(SUM(D104:D109))*100))))</f>
        <v/>
      </c>
      <c r="E115" s="28" t="str">
        <f t="shared" ref="E115" si="348">IF(E114="","",IF(E114=0,0,((E114/(SUM(E104:E109))*100))))</f>
        <v/>
      </c>
      <c r="F115" s="28" t="str">
        <f t="shared" ref="F115" si="349">IF(F114="","",IF(F114=0,0,((F114/(SUM(F104:F109))*100))))</f>
        <v/>
      </c>
      <c r="G115" s="28" t="str">
        <f t="shared" ref="G115" si="350">IF(G114="","",IF(G114=0,0,((G114/(SUM(G104:G109))*100))))</f>
        <v/>
      </c>
      <c r="H115" s="28" t="str">
        <f t="shared" ref="H115" si="351">IF(H114="","",IF(H114=0,0,((H114/(SUM(H104:H109))*100))))</f>
        <v/>
      </c>
      <c r="I115" s="28" t="str">
        <f t="shared" ref="I115" si="352">IF(I114="","",IF(I114=0,0,((I114/(SUM(I104:I109))*100))))</f>
        <v/>
      </c>
      <c r="J115" s="46" t="str">
        <f t="shared" ref="J115" si="353">IF(J114="","",IF(J114=0,0,((J114/(SUM(J104:J109))*100))))</f>
        <v/>
      </c>
      <c r="K115" s="27" t="str">
        <f t="shared" ref="K115" si="354">IF(K114="","",IF(K114=0,0,((K114/(SUM(K104:K109))*100))))</f>
        <v/>
      </c>
      <c r="L115" s="28" t="str">
        <f t="shared" ref="L115" si="355">IF(L114="","",IF(L114=0,0,((L114/(SUM(L104:L109))*100))))</f>
        <v/>
      </c>
      <c r="M115" s="28" t="str">
        <f t="shared" ref="M115" si="356">IF(M114="","",IF(M114=0,0,((M114/(SUM(M104:M109))*100))))</f>
        <v/>
      </c>
      <c r="N115" s="28" t="str">
        <f t="shared" ref="N115" si="357">IF(N114="","",IF(N114=0,0,((N114/(SUM(N104:N109))*100))))</f>
        <v/>
      </c>
      <c r="O115" s="28" t="str">
        <f t="shared" ref="O115" si="358">IF(O114="","",IF(O114=0,0,((O114/(SUM(O104:O109))*100))))</f>
        <v/>
      </c>
      <c r="P115" s="28" t="str">
        <f t="shared" ref="P115" si="359">IF(P114="","",IF(P114=0,0,((P114/(SUM(P104:P109))*100))))</f>
        <v/>
      </c>
      <c r="Q115" s="28" t="str">
        <f t="shared" ref="Q115" si="360">IF(Q114="","",IF(Q114=0,0,((Q114/(SUM(Q104:Q109))*100))))</f>
        <v/>
      </c>
      <c r="R115" s="50" t="str">
        <f t="shared" ref="R115" si="361">IF(R114="","",IF(R114=0,0,((R114/(SUM(R104:R109))*100))))</f>
        <v/>
      </c>
      <c r="S115" s="51" t="str">
        <f t="shared" ref="S115" si="362">IF(S114="","",IF(S114=0,0,((S114/(SUM(S104:S109))*100))))</f>
        <v/>
      </c>
      <c r="T115" s="28" t="str">
        <f t="shared" ref="T115" si="363">IF(T114="","",IF(T114=0,0,((T114/(SUM(T104:T109))*100))))</f>
        <v/>
      </c>
      <c r="U115" s="28" t="str">
        <f t="shared" ref="U115" si="364">IF(U114="","",IF(U114=0,0,((U114/(SUM(U104:U109))*100))))</f>
        <v/>
      </c>
      <c r="V115" s="28" t="str">
        <f t="shared" ref="V115" si="365">IF(V114="","",IF(V114=0,0,((V114/(SUM(V104:V109))*100))))</f>
        <v/>
      </c>
      <c r="W115" s="28" t="str">
        <f t="shared" ref="W115" si="366">IF(W114="","",IF(W114=0,0,((W114/(SUM(W104:W109))*100))))</f>
        <v/>
      </c>
      <c r="X115" s="28" t="str">
        <f t="shared" ref="X115" si="367">IF(X114="","",IF(X114=0,0,((X114/(SUM(X104:X109))*100))))</f>
        <v/>
      </c>
      <c r="Y115" s="28" t="str">
        <f t="shared" ref="Y115" si="368">IF(Y114="","",IF(Y114=0,0,((Y114/(SUM(Y104:Y109))*100))))</f>
        <v/>
      </c>
      <c r="Z115" s="50" t="str">
        <f t="shared" ref="Z115" si="369">IF(Z114="","",IF(Z114=0,0,((Z114/(SUM(Z104:Z109))*100))))</f>
        <v/>
      </c>
    </row>
    <row r="116" spans="1:26" s="2" customFormat="1" ht="13.5" customHeight="1">
      <c r="A116" s="499" t="s">
        <v>168</v>
      </c>
      <c r="B116" s="29" t="s">
        <v>28</v>
      </c>
      <c r="C116" s="9" t="str">
        <f>IF(OR((COUNTA(J!$P$8:$P$62)=0),(COUNTA(J!$R$8:$R$62)=0)),"",COUNTIFS(J!$R$8:$R$62,"X01",J!$Q$8:$Q$62,"A"))</f>
        <v/>
      </c>
      <c r="D116" s="10" t="str">
        <f>IF(OR((COUNTA(J!$P$8:$P$62)=0),(COUNTA(J!$R$8:$R$62)=0)),"",COUNTIFS(J!$R$8:$R$62,"X02",J!$Q$8:$Q$62,"A"))</f>
        <v/>
      </c>
      <c r="E116" s="11" t="str">
        <f>IF(OR((COUNTA(J!$P$8:$P$62)=0),(COUNTA(J!$R$8:$R$62)=0)),"",COUNTIFS(J!$R$8:$R$62,"X03",J!$Q$8:$Q$62,"A"))</f>
        <v/>
      </c>
      <c r="F116" s="11" t="str">
        <f>IF(OR((COUNTA(J!$P$8:$P$62)=0),(COUNTA(J!$R$8:$R$62)=0)),"",COUNTIFS(J!$R$8:$R$62,"X04",J!$Q$8:$Q$62,"A"))</f>
        <v/>
      </c>
      <c r="G116" s="11" t="str">
        <f>IF(OR((COUNTA(J!$P$8:$P$62)=0),(COUNTA(J!$R$8:$R$62)=0)),"",COUNTIFS(J!$R$8:$R$62,"X05",J!$Q$8:$Q$62,"A"))</f>
        <v/>
      </c>
      <c r="H116" s="11" t="str">
        <f>IF(OR((COUNTA(J!$P$8:$P$62)=0),(COUNTA(J!$R$8:$R$62)=0)),"",COUNTIFS(J!$R$8:$R$62,"X06",J!$Q$8:$Q$62,"A"))</f>
        <v/>
      </c>
      <c r="I116" s="11" t="str">
        <f>IF(OR((COUNTA(J!$P$8:$P$62)=0),(COUNTA(J!$R$8:$R$62)=0)),"",COUNTIFS(J!$R$8:$R$62,"X07",J!$Q$8:$Q$62,"A"))</f>
        <v/>
      </c>
      <c r="J116" s="40" t="str">
        <f>IF(OR((COUNTA(J!$P$8:$P$62)=0),(COUNTA(J!$R$8:$R$62)=0)),"",COUNTIFS(J!$R$8:$R$62,"X08",J!$Q$8:$Q$62,"A"))</f>
        <v/>
      </c>
      <c r="K116" s="41" t="str">
        <f>IF(OR((COUNTA(J!$S$8:$S$62)=0),(COUNTA(J!$U$8:$U$62)=0)),"",COUNTIFS(J!$U$8:$U$62,"X09",J!$T$8:$T$62,"A"))</f>
        <v/>
      </c>
      <c r="L116" s="11" t="str">
        <f>IF(OR((COUNTA(J!$S$8:$S$62)=0),(COUNTA(J!$U$8:$U$62)=0)),"",COUNTIFS(J!$U$8:$U$62,"X10",J!$T$8:$T$62,"A"))</f>
        <v/>
      </c>
      <c r="M116" s="11" t="str">
        <f>IF(OR((COUNTA(J!$S$8:$S$62)=0),(COUNTA(J!$U$8:$U$62)=0)),"",COUNTIFS(J!$U$8:$U$62,"X11",J!$T$8:$T$62,"A"))</f>
        <v/>
      </c>
      <c r="N116" s="11" t="str">
        <f>IF(OR((COUNTA(J!$S$8:$S$62)=0),(COUNTA(J!$U$8:$U$62)=0)),"",COUNTIFS(J!$U$8:$U$62,"X12",J!$T$8:$T$62,"A"))</f>
        <v/>
      </c>
      <c r="O116" s="11" t="str">
        <f>IF(OR((COUNTA(J!$S$8:$S$62)=0),(COUNTA(J!$U$8:$U$62)=0)),"",COUNTIFS(J!$U$8:$U$62,"X13",J!$T$8:$T$62,"A"))</f>
        <v/>
      </c>
      <c r="P116" s="11" t="str">
        <f>IF(OR((COUNTA(J!$S$8:$S$62)=0),(COUNTA(J!$U$8:$U$62)=0)),"",COUNTIFS(J!$U$8:$U$62,"X14",J!$T$8:$T$62,"A"))</f>
        <v/>
      </c>
      <c r="Q116" s="11" t="str">
        <f>IF(OR((COUNTA(J!$S$8:$S$62)=0),(COUNTA(J!$U$8:$U$62)=0)),"",COUNTIFS(J!$U$8:$U$62,"X15",J!$T$8:$T$62,"A"))</f>
        <v/>
      </c>
      <c r="R116" s="40" t="str">
        <f>IF(OR((COUNTA(J!$S$8:$S$62)=0),(COUNTA(J!$U$8:$U$62)=0)),"",COUNTIFS(J!$U$8:$U$62,"X16",J!$T$8:$T$62,"A"))</f>
        <v/>
      </c>
      <c r="S116" s="41" t="str">
        <f>IF(OR((COUNTA(J!$V$8:$V$62)=0),(COUNTA(J!$X$8:$X$62)=0)),"",COUNTIFS(J!$X$8:$X$62,"X17",J!$W$8:$W$62,"A"))</f>
        <v/>
      </c>
      <c r="T116" s="11" t="str">
        <f>IF(OR((COUNTA(J!$V$8:$V$62)=0),(COUNTA(J!$X$8:$X$62)=0)),"",COUNTIFS(J!$X$8:$X$62,"X18",J!$W$8:$W$62,"A"))</f>
        <v/>
      </c>
      <c r="U116" s="11" t="str">
        <f>IF(OR((COUNTA(J!$V$8:$V$62)=0),(COUNTA(J!$X$8:$X$62)=0)),"",COUNTIFS(J!$X$8:$X$62,"X19",J!$W$8:$W$62,"A"))</f>
        <v/>
      </c>
      <c r="V116" s="11" t="str">
        <f>IF(OR((COUNTA(J!$V$8:$V$62)=0),(COUNTA(J!$X$8:$X$62)=0)),"",COUNTIFS(J!$X$8:$X$62,"X20",J!$W$8:$W$62,"A"))</f>
        <v/>
      </c>
      <c r="W116" s="11" t="str">
        <f>IF(OR((COUNTA(J!$V$8:$V$62)=0),(COUNTA(J!$X$8:$X$62)=0)),"",COUNTIFS(J!$X$8:$X$62,"X21",J!$W$8:$W$62,"A"))</f>
        <v/>
      </c>
      <c r="X116" s="11" t="str">
        <f>IF(OR((COUNTA(J!$V$8:$V$62)=0),(COUNTA(J!$X$8:$X$62)=0)),"",COUNTIFS(J!$X$8:$X$62,"X22",J!$W$8:$W$62,"A"))</f>
        <v/>
      </c>
      <c r="Y116" s="11" t="str">
        <f>IF(OR((COUNTA(J!$V$8:$V$62)=0),(COUNTA(J!$X$8:$X$62)=0)),"",COUNTIFS(J!$X$8:$X$62,"X23",J!$W$8:$W$62,"A"))</f>
        <v/>
      </c>
      <c r="Z116" s="40" t="str">
        <f>IF(OR((COUNTA(J!$V$8:$V$62)=0),(COUNTA(J!$X$8:$X$62)=0)),"",COUNTIFS(J!$X$8:$X$62,"X24",J!$W$8:$W$62,"A"))</f>
        <v/>
      </c>
    </row>
    <row r="117" spans="1:26" s="2" customFormat="1" ht="13.5" customHeight="1">
      <c r="A117" s="500"/>
      <c r="B117" s="30" t="s">
        <v>29</v>
      </c>
      <c r="C117" s="13" t="str">
        <f>IF(OR((COUNTA(J!$P$8:$P$62)=0),(COUNTA(J!$R$8:$R$62)=0)),"",COUNTIFS(J!$R$8:$R$62,"X01",J!$Q$8:$Q$62,"B"))</f>
        <v/>
      </c>
      <c r="D117" s="14" t="str">
        <f>IF(OR((COUNTA(J!$P$8:$P$62)=0),(COUNTA(J!$R$8:$R$62)=0)),"",COUNTIFS(J!$R$8:$R$62,"X02",J!$Q$8:$Q$62,"B"))</f>
        <v/>
      </c>
      <c r="E117" s="14" t="str">
        <f>IF(OR((COUNTA(J!$P$8:$P$62)=0),(COUNTA(J!$R$8:$R$62)=0)),"",COUNTIFS(J!$R$8:$R$62,"X03",J!$Q$8:$Q$62,"B"))</f>
        <v/>
      </c>
      <c r="F117" s="14" t="str">
        <f>IF(OR((COUNTA(J!$P$8:$P$62)=0),(COUNTA(J!$R$8:$R$62)=0)),"",COUNTIFS(J!$R$8:$R$62,"X04",J!$Q$8:$Q$62,"B"))</f>
        <v/>
      </c>
      <c r="G117" s="14" t="str">
        <f>IF(OR((COUNTA(J!$P$8:$P$62)=0),(COUNTA(J!$R$8:$R$62)=0)),"",COUNTIFS(J!$R$8:$R$62,"X05",J!$Q$8:$Q$62,"B"))</f>
        <v/>
      </c>
      <c r="H117" s="14" t="str">
        <f>IF(OR((COUNTA(J!$P$8:$P$62)=0),(COUNTA(J!$R$8:$R$62)=0)),"",COUNTIFS(J!$R$8:$R$62,"X06",J!$Q$8:$Q$62,"B"))</f>
        <v/>
      </c>
      <c r="I117" s="14" t="str">
        <f>IF(OR((COUNTA(J!$P$8:$P$62)=0),(COUNTA(J!$R$8:$R$62)=0)),"",COUNTIFS(J!$R$8:$R$62,"X07",J!$Q$8:$Q$62,"B"))</f>
        <v/>
      </c>
      <c r="J117" s="42" t="str">
        <f>IF(OR((COUNTA(J!$P$8:$P$62)=0),(COUNTA(J!$R$8:$R$62)=0)),"",COUNTIFS(J!$R$8:$R$62,"X08",J!$Q$8:$Q$62,"B"))</f>
        <v/>
      </c>
      <c r="K117" s="13" t="str">
        <f>IF(OR((COUNTA(J!$S$8:$S$62)=0),(COUNTA(J!$U$8:$U$62)=0)),"",COUNTIFS(J!$U$8:$U$62,"X09",J!$T$8:$T$62,"B"))</f>
        <v/>
      </c>
      <c r="L117" s="14" t="str">
        <f>IF(OR((COUNTA(J!$S$8:$S$62)=0),(COUNTA(J!$U$8:$U$62)=0)),"",COUNTIFS(J!$U$8:$U$62,"X10",J!$T$8:$T$62,"B"))</f>
        <v/>
      </c>
      <c r="M117" s="14" t="str">
        <f>IF(OR((COUNTA(J!$S$8:$S$62)=0),(COUNTA(J!$U$8:$U$62)=0)),"",COUNTIFS(J!$U$8:$U$62,"X11",J!$T$8:$T$62,"B"))</f>
        <v/>
      </c>
      <c r="N117" s="14" t="str">
        <f>IF(OR((COUNTA(J!$S$8:$S$62)=0),(COUNTA(J!$U$8:$U$62)=0)),"",COUNTIFS(J!$U$8:$U$62,"X12",J!$T$8:$T$62,"B"))</f>
        <v/>
      </c>
      <c r="O117" s="14" t="str">
        <f>IF(OR((COUNTA(J!$S$8:$S$62)=0),(COUNTA(J!$U$8:$U$62)=0)),"",COUNTIFS(J!$U$8:$U$62,"X13",J!$T$8:$T$62,"B"))</f>
        <v/>
      </c>
      <c r="P117" s="14" t="str">
        <f>IF(OR((COUNTA(J!$S$8:$S$62)=0),(COUNTA(J!$U$8:$U$62)=0)),"",COUNTIFS(J!$U$8:$U$62,"X14",J!$T$8:$T$62,"B"))</f>
        <v/>
      </c>
      <c r="Q117" s="14" t="str">
        <f>IF(OR((COUNTA(J!$S$8:$S$62)=0),(COUNTA(J!$U$8:$U$62)=0)),"",COUNTIFS(J!$U$8:$U$62,"X15",J!$T$8:$T$62,"B"))</f>
        <v/>
      </c>
      <c r="R117" s="42" t="str">
        <f>IF(OR((COUNTA(J!$S$8:$S$62)=0),(COUNTA(J!$U$8:$U$62)=0)),"",COUNTIFS(J!$U$8:$U$62,"X16",J!$T$8:$T$62,"B"))</f>
        <v/>
      </c>
      <c r="S117" s="13" t="str">
        <f>IF(OR((COUNTA(J!$V$8:$V$62)=0),(COUNTA(J!$X$8:$X$62)=0)),"",COUNTIFS(J!$X$8:$X$62,"X17",J!$W$8:$W$62,"B"))</f>
        <v/>
      </c>
      <c r="T117" s="14" t="str">
        <f>IF(OR((COUNTA(J!$V$8:$V$62)=0),(COUNTA(J!$X$8:$X$62)=0)),"",COUNTIFS(J!$X$8:$X$62,"X18",J!$W$8:$W$62,"B"))</f>
        <v/>
      </c>
      <c r="U117" s="14" t="str">
        <f>IF(OR((COUNTA(J!$V$8:$V$62)=0),(COUNTA(J!$X$8:$X$62)=0)),"",COUNTIFS(J!$X$8:$X$62,"X19",J!$W$8:$W$62,"B"))</f>
        <v/>
      </c>
      <c r="V117" s="14" t="str">
        <f>IF(OR((COUNTA(J!$V$8:$V$62)=0),(COUNTA(J!$X$8:$X$62)=0)),"",COUNTIFS(J!$X$8:$X$62,"X20",J!$W$8:$W$62,"B"))</f>
        <v/>
      </c>
      <c r="W117" s="14" t="str">
        <f>IF(OR((COUNTA(J!$V$8:$V$62)=0),(COUNTA(J!$X$8:$X$62)=0)),"",COUNTIFS(J!$X$8:$X$62,"X21",J!$W$8:$W$62,"B"))</f>
        <v/>
      </c>
      <c r="X117" s="14" t="str">
        <f>IF(OR((COUNTA(J!$V$8:$V$62)=0),(COUNTA(J!$X$8:$X$62)=0)),"",COUNTIFS(J!$X$8:$X$62,"X22",J!$W$8:$W$62,"B"))</f>
        <v/>
      </c>
      <c r="Y117" s="14" t="str">
        <f>IF(OR((COUNTA(J!$V$8:$V$62)=0),(COUNTA(J!$X$8:$X$62)=0)),"",COUNTIFS(J!$X$8:$X$62,"X23",J!$W$8:$W$62,"B"))</f>
        <v/>
      </c>
      <c r="Z117" s="42" t="str">
        <f>IF(OR((COUNTA(J!$V$8:$V$62)=0),(COUNTA(J!$X$8:$X$62)=0)),"",COUNTIFS(J!$X$8:$X$62,"X24",J!$W$8:$W$62,"B"))</f>
        <v/>
      </c>
    </row>
    <row r="118" spans="1:26" s="2" customFormat="1" ht="13.5" customHeight="1">
      <c r="A118" s="500"/>
      <c r="B118" s="30" t="s">
        <v>30</v>
      </c>
      <c r="C118" s="13" t="str">
        <f>IF(OR((COUNTA(J!$P$8:$P$62)=0),(COUNTA(J!$R$8:$R$62)=0)),"",COUNTIFS(J!$R$8:$R$62,"X01",J!$Q$8:$Q$62,"C"))</f>
        <v/>
      </c>
      <c r="D118" s="14" t="str">
        <f>IF(OR((COUNTA(J!$P$8:$P$62)=0),(COUNTA(J!$R$8:$R$62)=0)),"",COUNTIFS(J!$R$8:$R$62,"X02",J!$Q$8:$Q$62,"C"))</f>
        <v/>
      </c>
      <c r="E118" s="14" t="str">
        <f>IF(OR((COUNTA(J!$P$8:$P$62)=0),(COUNTA(J!$R$8:$R$62)=0)),"",COUNTIFS(J!$R$8:$R$62,"X03",J!$Q$8:$Q$62,"C"))</f>
        <v/>
      </c>
      <c r="F118" s="14" t="str">
        <f>IF(OR((COUNTA(J!$P$8:$P$62)=0),(COUNTA(J!$R$8:$R$62)=0)),"",COUNTIFS(J!$R$8:$R$62,"X04",J!$Q$8:$Q$62,"C"))</f>
        <v/>
      </c>
      <c r="G118" s="14" t="str">
        <f>IF(OR((COUNTA(J!$P$8:$P$62)=0),(COUNTA(J!$R$8:$R$62)=0)),"",COUNTIFS(J!$R$8:$R$62,"X05",J!$Q$8:$Q$62,"C"))</f>
        <v/>
      </c>
      <c r="H118" s="14" t="str">
        <f>IF(OR((COUNTA(J!$P$8:$P$62)=0),(COUNTA(J!$R$8:$R$62)=0)),"",COUNTIFS(J!$R$8:$R$62,"X06",J!$Q$8:$Q$62,"C"))</f>
        <v/>
      </c>
      <c r="I118" s="14" t="str">
        <f>IF(OR((COUNTA(J!$P$8:$P$62)=0),(COUNTA(J!$R$8:$R$62)=0)),"",COUNTIFS(J!$R$8:$R$62,"X07",J!$Q$8:$Q$62,"C"))</f>
        <v/>
      </c>
      <c r="J118" s="42" t="str">
        <f>IF(OR((COUNTA(J!$P$8:$P$62)=0),(COUNTA(J!$R$8:$R$62)=0)),"",COUNTIFS(J!$R$8:$R$62,"X08",J!$Q$8:$Q$62,"C"))</f>
        <v/>
      </c>
      <c r="K118" s="13" t="str">
        <f>IF(OR((COUNTA(J!$S$8:$S$62)=0),(COUNTA(J!$U$8:$U$62)=0)),"",COUNTIFS(J!$U$8:$U$62,"X09",J!$T$8:$T$62,"C"))</f>
        <v/>
      </c>
      <c r="L118" s="14" t="str">
        <f>IF(OR((COUNTA(J!$S$8:$S$62)=0),(COUNTA(J!$U$8:$U$62)=0)),"",COUNTIFS(J!$U$8:$U$62,"X10",J!$T$8:$T$62,"C"))</f>
        <v/>
      </c>
      <c r="M118" s="14" t="str">
        <f>IF(OR((COUNTA(J!$S$8:$S$62)=0),(COUNTA(J!$U$8:$U$62)=0)),"",COUNTIFS(J!$U$8:$U$62,"X11",J!$T$8:$T$62,"C"))</f>
        <v/>
      </c>
      <c r="N118" s="14" t="str">
        <f>IF(OR((COUNTA(J!$S$8:$S$62)=0),(COUNTA(J!$U$8:$U$62)=0)),"",COUNTIFS(J!$U$8:$U$62,"X12",J!$T$8:$T$62,"C"))</f>
        <v/>
      </c>
      <c r="O118" s="14" t="str">
        <f>IF(OR((COUNTA(J!$S$8:$S$62)=0),(COUNTA(J!$U$8:$U$62)=0)),"",COUNTIFS(J!$U$8:$U$62,"X13",J!$T$8:$T$62,"C"))</f>
        <v/>
      </c>
      <c r="P118" s="14" t="str">
        <f>IF(OR((COUNTA(J!$S$8:$S$62)=0),(COUNTA(J!$U$8:$U$62)=0)),"",COUNTIFS(J!$U$8:$U$62,"X14",J!$T$8:$T$62,"C"))</f>
        <v/>
      </c>
      <c r="Q118" s="14" t="str">
        <f>IF(OR((COUNTA(J!$S$8:$S$62)=0),(COUNTA(J!$U$8:$U$62)=0)),"",COUNTIFS(J!$U$8:$U$62,"X15",J!$T$8:$T$62,"C"))</f>
        <v/>
      </c>
      <c r="R118" s="42" t="str">
        <f>IF(OR((COUNTA(J!$S$8:$S$62)=0),(COUNTA(J!$U$8:$U$62)=0)),"",COUNTIFS(J!$U$8:$U$62,"X16",J!$T$8:$T$62,"C"))</f>
        <v/>
      </c>
      <c r="S118" s="13" t="str">
        <f>IF(OR((COUNTA(J!$V$8:$V$62)=0),(COUNTA(J!$X$8:$X$62)=0)),"",COUNTIFS(J!$X$8:$X$62,"X17",J!$W$8:$W$62,"C"))</f>
        <v/>
      </c>
      <c r="T118" s="14" t="str">
        <f>IF(OR((COUNTA(J!$V$8:$V$62)=0),(COUNTA(J!$X$8:$X$62)=0)),"",COUNTIFS(J!$X$8:$X$62,"X18",J!$W$8:$W$62,"C"))</f>
        <v/>
      </c>
      <c r="U118" s="14" t="str">
        <f>IF(OR((COUNTA(J!$V$8:$V$62)=0),(COUNTA(J!$X$8:$X$62)=0)),"",COUNTIFS(J!$X$8:$X$62,"X19",J!$W$8:$W$62,"C"))</f>
        <v/>
      </c>
      <c r="V118" s="14" t="str">
        <f>IF(OR((COUNTA(J!$V$8:$V$62)=0),(COUNTA(J!$X$8:$X$62)=0)),"",COUNTIFS(J!$X$8:$X$62,"X20",J!$W$8:$W$62,"C"))</f>
        <v/>
      </c>
      <c r="W118" s="14" t="str">
        <f>IF(OR((COUNTA(J!$V$8:$V$62)=0),(COUNTA(J!$X$8:$X$62)=0)),"",COUNTIFS(J!$X$8:$X$62,"X21",J!$W$8:$W$62,"C"))</f>
        <v/>
      </c>
      <c r="X118" s="14" t="str">
        <f>IF(OR((COUNTA(J!$V$8:$V$62)=0),(COUNTA(J!$X$8:$X$62)=0)),"",COUNTIFS(J!$X$8:$X$62,"X22",J!$W$8:$W$62,"C"))</f>
        <v/>
      </c>
      <c r="Y118" s="14" t="str">
        <f>IF(OR((COUNTA(J!$V$8:$V$62)=0),(COUNTA(J!$X$8:$X$62)=0)),"",COUNTIFS(J!$X$8:$X$62,"X23",J!$W$8:$W$62,"C"))</f>
        <v/>
      </c>
      <c r="Z118" s="42" t="str">
        <f>IF(OR((COUNTA(J!$V$8:$V$62)=0),(COUNTA(J!$X$8:$X$62)=0)),"",COUNTIFS(J!$X$8:$X$62,"X24",J!$W$8:$W$62,"C"))</f>
        <v/>
      </c>
    </row>
    <row r="119" spans="1:26" s="2" customFormat="1" ht="13.5" customHeight="1">
      <c r="A119" s="500"/>
      <c r="B119" s="30" t="s">
        <v>31</v>
      </c>
      <c r="C119" s="13" t="str">
        <f>IF(OR((COUNTA(J!$P$8:$P$62)=0),(COUNTA(J!$R$8:$R$62)=0)),"",COUNTIFS(J!$R$8:$R$62,"X01",J!$Q$8:$Q$62,"S"))</f>
        <v/>
      </c>
      <c r="D119" s="14" t="str">
        <f>IF(OR((COUNTA(J!$P$8:$P$62)=0),(COUNTA(J!$R$8:$R$62)=0)),"",COUNTIFS(J!$R$8:$R$62,"X02",J!$Q$8:$Q$62,"S"))</f>
        <v/>
      </c>
      <c r="E119" s="14" t="str">
        <f>IF(OR((COUNTA(J!$P$8:$P$62)=0),(COUNTA(J!$R$8:$R$62)=0)),"",COUNTIFS(J!$R$8:$R$62,"X03",J!$Q$8:$Q$62,"S"))</f>
        <v/>
      </c>
      <c r="F119" s="14" t="str">
        <f>IF(OR((COUNTA(J!$P$8:$P$62)=0),(COUNTA(J!$R$8:$R$62)=0)),"",COUNTIFS(J!$R$8:$R$62,"X04",J!$Q$8:$Q$62,"S"))</f>
        <v/>
      </c>
      <c r="G119" s="14" t="str">
        <f>IF(OR((COUNTA(J!$P$8:$P$62)=0),(COUNTA(J!$R$8:$R$62)=0)),"",COUNTIFS(J!$R$8:$R$62,"X05",J!$Q$8:$Q$62,"S"))</f>
        <v/>
      </c>
      <c r="H119" s="14" t="str">
        <f>IF(OR((COUNTA(J!$P$8:$P$62)=0),(COUNTA(J!$R$8:$R$62)=0)),"",COUNTIFS(J!$R$8:$R$62,"X06",J!$Q$8:$Q$62,"S"))</f>
        <v/>
      </c>
      <c r="I119" s="14" t="str">
        <f>IF(OR((COUNTA(J!$P$8:$P$62)=0),(COUNTA(J!$R$8:$R$62)=0)),"",COUNTIFS(J!$R$8:$R$62,"X07",J!$Q$8:$Q$62,"S"))</f>
        <v/>
      </c>
      <c r="J119" s="42" t="str">
        <f>IF(OR((COUNTA(J!$P$8:$P$62)=0),(COUNTA(J!$R$8:$R$62)=0)),"",COUNTIFS(J!$R$8:$R$62,"X08",J!$Q$8:$Q$62,"S"))</f>
        <v/>
      </c>
      <c r="K119" s="13" t="str">
        <f>IF(OR((COUNTA(J!$S$8:$S$62)=0),(COUNTA(J!$U$8:$U$62)=0)),"",COUNTIFS(J!$U$8:$U$62,"X09",J!$T$8:$T$62,"S"))</f>
        <v/>
      </c>
      <c r="L119" s="14" t="str">
        <f>IF(OR((COUNTA(J!$S$8:$S$62)=0),(COUNTA(J!$U$8:$U$62)=0)),"",COUNTIFS(J!$U$8:$U$62,"X10",J!$T$8:$T$62,"S"))</f>
        <v/>
      </c>
      <c r="M119" s="14" t="str">
        <f>IF(OR((COUNTA(J!$S$8:$S$62)=0),(COUNTA(J!$U$8:$U$62)=0)),"",COUNTIFS(J!$U$8:$U$62,"X11",J!$T$8:$T$62,"S"))</f>
        <v/>
      </c>
      <c r="N119" s="14" t="str">
        <f>IF(OR((COUNTA(J!$S$8:$S$62)=0),(COUNTA(J!$U$8:$U$62)=0)),"",COUNTIFS(J!$U$8:$U$62,"X12",J!$T$8:$T$62,"S"))</f>
        <v/>
      </c>
      <c r="O119" s="14" t="str">
        <f>IF(OR((COUNTA(J!$S$8:$S$62)=0),(COUNTA(J!$U$8:$U$62)=0)),"",COUNTIFS(J!$U$8:$U$62,"X13",J!$T$8:$T$62,"S"))</f>
        <v/>
      </c>
      <c r="P119" s="14" t="str">
        <f>IF(OR((COUNTA(J!$S$8:$S$62)=0),(COUNTA(J!$U$8:$U$62)=0)),"",COUNTIFS(J!$U$8:$U$62,"X14",J!$T$8:$T$62,"S"))</f>
        <v/>
      </c>
      <c r="Q119" s="14" t="str">
        <f>IF(OR((COUNTA(J!$S$8:$S$62)=0),(COUNTA(J!$U$8:$U$62)=0)),"",COUNTIFS(J!$U$8:$U$62,"X15",J!$T$8:$T$62,"S"))</f>
        <v/>
      </c>
      <c r="R119" s="42" t="str">
        <f>IF(OR((COUNTA(J!$S$8:$S$62)=0),(COUNTA(J!$U$8:$U$62)=0)),"",COUNTIFS(J!$U$8:$U$62,"X16",J!$T$8:$T$62,"S"))</f>
        <v/>
      </c>
      <c r="S119" s="13" t="str">
        <f>IF(OR((COUNTA(J!$V$8:$V$62)=0),(COUNTA(J!$X$8:$X$62)=0)),"",COUNTIFS(J!$X$8:$X$62,"X17",J!$W$8:$W$62,"S"))</f>
        <v/>
      </c>
      <c r="T119" s="14" t="str">
        <f>IF(OR((COUNTA(J!$V$8:$V$62)=0),(COUNTA(J!$X$8:$X$62)=0)),"",COUNTIFS(J!$X$8:$X$62,"X18",J!$W$8:$W$62,"S"))</f>
        <v/>
      </c>
      <c r="U119" s="14" t="str">
        <f>IF(OR((COUNTA(J!$V$8:$V$62)=0),(COUNTA(J!$X$8:$X$62)=0)),"",COUNTIFS(J!$X$8:$X$62,"X19",J!$W$8:$W$62,"S"))</f>
        <v/>
      </c>
      <c r="V119" s="14" t="str">
        <f>IF(OR((COUNTA(J!$V$8:$V$62)=0),(COUNTA(J!$X$8:$X$62)=0)),"",COUNTIFS(J!$X$8:$X$62,"X20",J!$W$8:$W$62,"S"))</f>
        <v/>
      </c>
      <c r="W119" s="14" t="str">
        <f>IF(OR((COUNTA(J!$V$8:$V$62)=0),(COUNTA(J!$X$8:$X$62)=0)),"",COUNTIFS(J!$X$8:$X$62,"X21",J!$W$8:$W$62,"S"))</f>
        <v/>
      </c>
      <c r="X119" s="14" t="str">
        <f>IF(OR((COUNTA(J!$V$8:$V$62)=0),(COUNTA(J!$X$8:$X$62)=0)),"",COUNTIFS(J!$X$8:$X$62,"X22",J!$W$8:$W$62,"S"))</f>
        <v/>
      </c>
      <c r="Y119" s="14" t="str">
        <f>IF(OR((COUNTA(J!$V$8:$V$62)=0),(COUNTA(J!$X$8:$X$62)=0)),"",COUNTIFS(J!$X$8:$X$62,"X23",J!$W$8:$W$62,"S"))</f>
        <v/>
      </c>
      <c r="Z119" s="42" t="str">
        <f>IF(OR((COUNTA(J!$V$8:$V$62)=0),(COUNTA(J!$X$8:$X$62)=0)),"",COUNTIFS(J!$X$8:$X$62,"X24",J!$W$8:$W$62,"S"))</f>
        <v/>
      </c>
    </row>
    <row r="120" spans="1:26" s="2" customFormat="1" ht="13.5" customHeight="1">
      <c r="A120" s="500"/>
      <c r="B120" s="31" t="s">
        <v>32</v>
      </c>
      <c r="C120" s="16" t="str">
        <f>IF(OR((COUNTA(J!$P$8:$P$62)=0),(COUNTA(J!$R$8:$R$62)=0)),"",COUNTIFS(J!$R$8:$R$62,"X01",J!$Q$8:$Q$62,"W"))</f>
        <v/>
      </c>
      <c r="D120" s="17" t="str">
        <f>IF(OR((COUNTA(J!$P$8:$P$62)=0),(COUNTA(J!$R$8:$R$62)=0)),"",COUNTIFS(J!$R$8:$R$62,"X02",J!$Q$8:$Q$62,"W"))</f>
        <v/>
      </c>
      <c r="E120" s="17" t="str">
        <f>IF(OR((COUNTA(J!$P$8:$P$62)=0),(COUNTA(J!$R$8:$R$62)=0)),"",COUNTIFS(J!$R$8:$R$62,"X03",J!$Q$8:$Q$62,"W"))</f>
        <v/>
      </c>
      <c r="F120" s="17" t="str">
        <f>IF(OR((COUNTA(J!$P$8:$P$62)=0),(COUNTA(J!$R$8:$R$62)=0)),"",COUNTIFS(J!$R$8:$R$62,"X04",J!$Q$8:$Q$62,"W"))</f>
        <v/>
      </c>
      <c r="G120" s="17" t="str">
        <f>IF(OR((COUNTA(J!$P$8:$P$62)=0),(COUNTA(J!$R$8:$R$62)=0)),"",COUNTIFS(J!$R$8:$R$62,"X05",J!$Q$8:$Q$62,"W"))</f>
        <v/>
      </c>
      <c r="H120" s="17" t="str">
        <f>IF(OR((COUNTA(J!$P$8:$P$62)=0),(COUNTA(J!$R$8:$R$62)=0)),"",COUNTIFS(J!$R$8:$R$62,"X06",J!$Q$8:$Q$62,"W"))</f>
        <v/>
      </c>
      <c r="I120" s="17" t="str">
        <f>IF(OR((COUNTA(J!$P$8:$P$62)=0),(COUNTA(J!$R$8:$R$62)=0)),"",COUNTIFS(J!$R$8:$R$62,"X07",J!$Q$8:$Q$62,"W"))</f>
        <v/>
      </c>
      <c r="J120" s="43" t="str">
        <f>IF(OR((COUNTA(J!$P$8:$P$62)=0),(COUNTA(J!$R$8:$R$62)=0)),"",COUNTIFS(J!$R$8:$R$62,"X08",J!$Q$8:$Q$62,"W"))</f>
        <v/>
      </c>
      <c r="K120" s="16" t="str">
        <f>IF(OR((COUNTA(J!$S$8:$S$62)=0),(COUNTA(J!$U$8:$U$62)=0)),"",COUNTIFS(J!$U$8:$U$62,"X09",J!$T$8:$T$62,"W"))</f>
        <v/>
      </c>
      <c r="L120" s="17" t="str">
        <f>IF(OR((COUNTA(J!$S$8:$S$62)=0),(COUNTA(J!$U$8:$U$62)=0)),"",COUNTIFS(J!$U$8:$U$62,"X10",J!$T$8:$T$62,"W"))</f>
        <v/>
      </c>
      <c r="M120" s="17" t="str">
        <f>IF(OR((COUNTA(J!$S$8:$S$62)=0),(COUNTA(J!$U$8:$U$62)=0)),"",COUNTIFS(J!$U$8:$U$62,"X11",J!$T$8:$T$62,"W"))</f>
        <v/>
      </c>
      <c r="N120" s="17" t="str">
        <f>IF(OR((COUNTA(J!$S$8:$S$62)=0),(COUNTA(J!$U$8:$U$62)=0)),"",COUNTIFS(J!$U$8:$U$62,"X12",J!$T$8:$T$62,"W"))</f>
        <v/>
      </c>
      <c r="O120" s="17" t="str">
        <f>IF(OR((COUNTA(J!$S$8:$S$62)=0),(COUNTA(J!$U$8:$U$62)=0)),"",COUNTIFS(J!$U$8:$U$62,"X13",J!$T$8:$T$62,"W"))</f>
        <v/>
      </c>
      <c r="P120" s="17" t="str">
        <f>IF(OR((COUNTA(J!$S$8:$S$62)=0),(COUNTA(J!$U$8:$U$62)=0)),"",COUNTIFS(J!$U$8:$U$62,"X14",J!$T$8:$T$62,"W"))</f>
        <v/>
      </c>
      <c r="Q120" s="17" t="str">
        <f>IF(OR((COUNTA(J!$S$8:$S$62)=0),(COUNTA(J!$U$8:$U$62)=0)),"",COUNTIFS(J!$U$8:$U$62,"X15",J!$T$8:$T$62,"W"))</f>
        <v/>
      </c>
      <c r="R120" s="43" t="str">
        <f>IF(OR((COUNTA(J!$S$8:$S$62)=0),(COUNTA(J!$U$8:$U$62)=0)),"",COUNTIFS(J!$U$8:$U$62,"X16",J!$T$8:$T$62,"W"))</f>
        <v/>
      </c>
      <c r="S120" s="16" t="str">
        <f>IF(OR((COUNTA(J!$V$8:$V$62)=0),(COUNTA(J!$X$8:$X$62)=0)),"",COUNTIFS(J!$X$8:$X$62,"X17",J!$W$8:$W$62,"W"))</f>
        <v/>
      </c>
      <c r="T120" s="17" t="str">
        <f>IF(OR((COUNTA(J!$V$8:$V$62)=0),(COUNTA(J!$X$8:$X$62)=0)),"",COUNTIFS(J!$X$8:$X$62,"X18",J!$W$8:$W$62,"W"))</f>
        <v/>
      </c>
      <c r="U120" s="17" t="str">
        <f>IF(OR((COUNTA(J!$V$8:$V$62)=0),(COUNTA(J!$X$8:$X$62)=0)),"",COUNTIFS(J!$X$8:$X$62,"X19",J!$W$8:$W$62,"W"))</f>
        <v/>
      </c>
      <c r="V120" s="17" t="str">
        <f>IF(OR((COUNTA(J!$V$8:$V$62)=0),(COUNTA(J!$X$8:$X$62)=0)),"",COUNTIFS(J!$X$8:$X$62,"X20",J!$W$8:$W$62,"W"))</f>
        <v/>
      </c>
      <c r="W120" s="17" t="str">
        <f>IF(OR((COUNTA(J!$V$8:$V$62)=0),(COUNTA(J!$X$8:$X$62)=0)),"",COUNTIFS(J!$X$8:$X$62,"X21",J!$W$8:$W$62,"W"))</f>
        <v/>
      </c>
      <c r="X120" s="17" t="str">
        <f>IF(OR((COUNTA(J!$V$8:$V$62)=0),(COUNTA(J!$X$8:$X$62)=0)),"",COUNTIFS(J!$X$8:$X$62,"X22",J!$W$8:$W$62,"W"))</f>
        <v/>
      </c>
      <c r="Y120" s="17" t="str">
        <f>IF(OR((COUNTA(J!$V$8:$V$62)=0),(COUNTA(J!$X$8:$X$62)=0)),"",COUNTIFS(J!$X$8:$X$62,"X23",J!$W$8:$W$62,"W"))</f>
        <v/>
      </c>
      <c r="Z120" s="43" t="str">
        <f>IF(OR((COUNTA(J!$V$8:$V$62)=0),(COUNTA(J!$X$8:$X$62)=0)),"",COUNTIFS(J!$X$8:$X$62,"X24",J!$W$8:$W$62,"W"))</f>
        <v/>
      </c>
    </row>
    <row r="121" spans="1:26" s="2" customFormat="1" ht="13.5" customHeight="1">
      <c r="A121" s="500"/>
      <c r="B121" s="31" t="s">
        <v>47</v>
      </c>
      <c r="C121" s="16" t="str">
        <f>IF(OR((COUNTA(J!$P$8:$P$62)=0),(COUNTA(J!$R$8:$R$62)=0)),"",COUNTIFS(J!$R$8:$R$62,"X01",J!$Q$8:$Q$62,"AB"))</f>
        <v/>
      </c>
      <c r="D121" s="17" t="str">
        <f>IF(OR((COUNTA(J!$P$8:$P$62)=0),(COUNTA(J!$R$8:$R$62)=0)),"",COUNTIFS(J!$R$8:$R$62,"X02",J!$Q$8:$Q$62,"AB"))</f>
        <v/>
      </c>
      <c r="E121" s="17" t="str">
        <f>IF(OR((COUNTA(J!$P$8:$P$62)=0),(COUNTA(J!$R$8:$R$62)=0)),"",COUNTIFS(J!$R$8:$R$62,"X03",J!$Q$8:$Q$62,"AB"))</f>
        <v/>
      </c>
      <c r="F121" s="17" t="str">
        <f>IF(OR((COUNTA(J!$P$8:$P$62)=0),(COUNTA(J!$R$8:$R$62)=0)),"",COUNTIFS(J!$R$8:$R$62,"X04",J!$Q$8:$Q$62,"AB"))</f>
        <v/>
      </c>
      <c r="G121" s="17" t="str">
        <f>IF(OR((COUNTA(J!$P$8:$P$62)=0),(COUNTA(J!$R$8:$R$62)=0)),"",COUNTIFS(J!$R$8:$R$62,"X05",J!$Q$8:$Q$62,"AB"))</f>
        <v/>
      </c>
      <c r="H121" s="17" t="str">
        <f>IF(OR((COUNTA(J!$P$8:$P$62)=0),(COUNTA(J!$R$8:$R$62)=0)),"",COUNTIFS(J!$R$8:$R$62,"X06",J!$Q$8:$Q$62,"AB"))</f>
        <v/>
      </c>
      <c r="I121" s="17" t="str">
        <f>IF(OR((COUNTA(J!$P$8:$P$62)=0),(COUNTA(J!$R$8:$R$62)=0)),"",COUNTIFS(J!$R$8:$R$62,"X07",J!$Q$8:$Q$62,"AB"))</f>
        <v/>
      </c>
      <c r="J121" s="43" t="str">
        <f>IF(OR((COUNTA(J!$P$8:$P$62)=0),(COUNTA(J!$R$8:$R$62)=0)),"",COUNTIFS(J!$R$8:$R$62,"X08",J!$Q$8:$Q$62,"AB"))</f>
        <v/>
      </c>
      <c r="K121" s="16" t="str">
        <f>IF(OR((COUNTA(J!$S$8:$S$62)=0),(COUNTA(J!$U$8:$U$62)=0)),"",COUNTIFS(J!$U$8:$U$62,"X09",J!$T$8:$T$62,"AB"))</f>
        <v/>
      </c>
      <c r="L121" s="17" t="str">
        <f>IF(OR((COUNTA(J!$S$8:$S$62)=0),(COUNTA(J!$U$8:$U$62)=0)),"",COUNTIFS(J!$U$8:$U$62,"X10",J!$T$8:$T$62,"AB"))</f>
        <v/>
      </c>
      <c r="M121" s="17" t="str">
        <f>IF(OR((COUNTA(J!$S$8:$S$62)=0),(COUNTA(J!$U$8:$U$62)=0)),"",COUNTIFS(J!$U$8:$U$62,"X11",J!$T$8:$T$62,"AB"))</f>
        <v/>
      </c>
      <c r="N121" s="17" t="str">
        <f>IF(OR((COUNTA(J!$S$8:$S$62)=0),(COUNTA(J!$U$8:$U$62)=0)),"",COUNTIFS(J!$U$8:$U$62,"X12",J!$T$8:$T$62,"AB"))</f>
        <v/>
      </c>
      <c r="O121" s="17" t="str">
        <f>IF(OR((COUNTA(J!$S$8:$S$62)=0),(COUNTA(J!$U$8:$U$62)=0)),"",COUNTIFS(J!$U$8:$U$62,"X13",J!$T$8:$T$62,"AB"))</f>
        <v/>
      </c>
      <c r="P121" s="17" t="str">
        <f>IF(OR((COUNTA(J!$S$8:$S$62)=0),(COUNTA(J!$U$8:$U$62)=0)),"",COUNTIFS(J!$U$8:$U$62,"X14",J!$T$8:$T$62,"AB"))</f>
        <v/>
      </c>
      <c r="Q121" s="17" t="str">
        <f>IF(OR((COUNTA(J!$S$8:$S$62)=0),(COUNTA(J!$U$8:$U$62)=0)),"",COUNTIFS(J!$U$8:$U$62,"X15",J!$T$8:$T$62,"AB"))</f>
        <v/>
      </c>
      <c r="R121" s="43" t="str">
        <f>IF(OR((COUNTA(J!$S$8:$S$62)=0),(COUNTA(J!$U$8:$U$62)=0)),"",COUNTIFS(J!$U$8:$U$62,"X16",J!$T$8:$T$62,"AB"))</f>
        <v/>
      </c>
      <c r="S121" s="16" t="str">
        <f>IF(OR((COUNTA(J!$V$8:$V$62)=0),(COUNTA(J!$X$8:$X$62)=0)),"",COUNTIFS(J!$X$8:$X$62,"X17",J!$W$8:$W$62,"AB"))</f>
        <v/>
      </c>
      <c r="T121" s="17" t="str">
        <f>IF(OR((COUNTA(J!$V$8:$V$62)=0),(COUNTA(J!$X$8:$X$62)=0)),"",COUNTIFS(J!$X$8:$X$62,"X18",J!$W$8:$W$62,"AB"))</f>
        <v/>
      </c>
      <c r="U121" s="17" t="str">
        <f>IF(OR((COUNTA(J!$V$8:$V$62)=0),(COUNTA(J!$X$8:$X$62)=0)),"",COUNTIFS(J!$X$8:$X$62,"X19",J!$W$8:$W$62,"AB"))</f>
        <v/>
      </c>
      <c r="V121" s="17" t="str">
        <f>IF(OR((COUNTA(J!$V$8:$V$62)=0),(COUNTA(J!$X$8:$X$62)=0)),"",COUNTIFS(J!$X$8:$X$62,"X20",J!$W$8:$W$62,"AB"))</f>
        <v/>
      </c>
      <c r="W121" s="17" t="str">
        <f>IF(OR((COUNTA(J!$V$8:$V$62)=0),(COUNTA(J!$X$8:$X$62)=0)),"",COUNTIFS(J!$X$8:$X$62,"X21",J!$W$8:$W$62,"AB"))</f>
        <v/>
      </c>
      <c r="X121" s="17" t="str">
        <f>IF(OR((COUNTA(J!$V$8:$V$62)=0),(COUNTA(J!$X$8:$X$62)=0)),"",COUNTIFS(J!$X$8:$X$62,"X22",J!$W$8:$W$62,"AB"))</f>
        <v/>
      </c>
      <c r="Y121" s="17" t="str">
        <f>IF(OR((COUNTA(J!$V$8:$V$62)=0),(COUNTA(J!$X$8:$X$62)=0)),"",COUNTIFS(J!$X$8:$X$62,"X23",J!$W$8:$W$62,"AB"))</f>
        <v/>
      </c>
      <c r="Z121" s="43" t="str">
        <f>IF(OR((COUNTA(J!$V$8:$V$62)=0),(COUNTA(J!$X$8:$X$62)=0)),"",COUNTIFS(J!$X$8:$X$62,"X24",J!$W$8:$W$62,"AB"))</f>
        <v/>
      </c>
    </row>
    <row r="122" spans="1:26" s="2" customFormat="1" ht="13.5" customHeight="1">
      <c r="A122" s="500"/>
      <c r="B122" s="32" t="s">
        <v>48</v>
      </c>
      <c r="C122" s="13" t="str">
        <f>IF(OR((COUNTA(J!$P$8:$P$62)=0),(COUNTA(J!$R$8:$R$62)=0)),"",COUNTIFS(J!$R$8:$R$62,"X01",J!$P$8:$P$62,"&lt;=39",J!$P$8:$P$62,"&gt;=30"))</f>
        <v/>
      </c>
      <c r="D122" s="14" t="str">
        <f>IF(OR((COUNTA(J!$P$8:$P$62)=0),(COUNTA(J!$R$8:$R$62)=0)),"",COUNTIFS(J!$R$8:$R$62,"X02",J!$P$8:$P$62,"&lt;=39",J!$P$8:$P$62,"&gt;=30"))</f>
        <v/>
      </c>
      <c r="E122" s="14" t="str">
        <f>IF(OR((COUNTA(J!$P$8:$P$62)=0),(COUNTA(J!$R$8:$R$62)=0)),"",COUNTIFS(J!$R$8:$R$62,"X03",J!$P$8:$P$62,"&lt;=39",J!$P$8:$P$62,"&gt;=30"))</f>
        <v/>
      </c>
      <c r="F122" s="14" t="str">
        <f>IF(OR((COUNTA(J!$P$8:$P$62)=0),(COUNTA(J!$R$8:$R$62)=0)),"",COUNTIFS(J!$R$8:$R$62,"X04",J!$P$8:$P$62,"&lt;=39",J!$P$8:$P$62,"&gt;=30"))</f>
        <v/>
      </c>
      <c r="G122" s="14" t="str">
        <f>IF(OR((COUNTA(J!$P$8:$P$62)=0),(COUNTA(J!$R$8:$R$62)=0)),"",COUNTIFS(J!$R$8:$R$62,"X05",J!$P$8:$P$62,"&lt;=39",J!$P$8:$P$62,"&gt;=30"))</f>
        <v/>
      </c>
      <c r="H122" s="14" t="str">
        <f>IF(OR((COUNTA(J!$P$8:$P$62)=0),(COUNTA(J!$R$8:$R$62)=0)),"",COUNTIFS(J!$R$8:$R$62,"X06",J!$P$8:$P$62,"&lt;=39",J!$P$8:$P$62,"&gt;=30"))</f>
        <v/>
      </c>
      <c r="I122" s="14" t="str">
        <f>IF(OR((COUNTA(J!$P$8:$P$62)=0),(COUNTA(J!$R$8:$R$62)=0)),"",COUNTIFS(J!$R$8:$R$62,"X07",J!$P$8:$P$62,"&lt;=39",J!$P$8:$P$62,"&gt;=30"))</f>
        <v/>
      </c>
      <c r="J122" s="42" t="str">
        <f>IF(OR((COUNTA(J!$P$8:$P$62)=0),(COUNTA(J!$R$8:$R$62)=0)),"",COUNTIFS(J!$R$8:$R$62,"X08",J!$P$8:$P$62,"&lt;=39",J!$P$8:$P$62,"&gt;=30"))</f>
        <v/>
      </c>
      <c r="K122" s="13" t="str">
        <f>IF(OR((COUNTA(J!$S$8:$S$62)=0),(COUNTA(J!$U$8:$U$62)=0)),"",COUNTIFS(J!$U$8:$U$62,"X09",J!$S$8:$S$62,"&lt;=39",J!$S$8:$S$62,"&gt;=30"))</f>
        <v/>
      </c>
      <c r="L122" s="14" t="str">
        <f>IF(OR((COUNTA(J!$S$8:$S$62)=0),(COUNTA(J!$U$8:$U$62)=0)),"",COUNTIFS(J!$U$8:$U$62,"X10",J!$S$8:$S$62,"&lt;=39",J!$S$8:$S$62,"&gt;=30"))</f>
        <v/>
      </c>
      <c r="M122" s="14" t="str">
        <f>IF(OR((COUNTA(J!$S$8:$S$62)=0),(COUNTA(J!$U$8:$U$62)=0)),"",COUNTIFS(J!$U$8:$U$62,"X11",J!$S$8:$S$62,"&lt;=39",J!$S$8:$S$62,"&gt;=30"))</f>
        <v/>
      </c>
      <c r="N122" s="14" t="str">
        <f>IF(OR((COUNTA(J!$S$8:$S$62)=0),(COUNTA(J!$U$8:$U$62)=0)),"",COUNTIFS(J!$U$8:$U$62,"X12",J!$S$8:$S$62,"&lt;=39",J!$S$8:$S$62,"&gt;=30"))</f>
        <v/>
      </c>
      <c r="O122" s="14" t="str">
        <f>IF(OR((COUNTA(J!$S$8:$S$62)=0),(COUNTA(J!$U$8:$U$62)=0)),"",COUNTIFS(J!$U$8:$U$62,"X13",J!$S$8:$S$62,"&lt;=39",J!$S$8:$S$62,"&gt;=30"))</f>
        <v/>
      </c>
      <c r="P122" s="14" t="str">
        <f>IF(OR((COUNTA(J!$S$8:$S$62)=0),(COUNTA(J!$U$8:$U$62)=0)),"",COUNTIFS(J!$U$8:$U$62,"X14",J!$S$8:$S$62,"&lt;=39",J!$S$8:$S$62,"&gt;=30"))</f>
        <v/>
      </c>
      <c r="Q122" s="14" t="str">
        <f>IF(OR((COUNTA(J!$S$8:$S$62)=0),(COUNTA(J!$U$8:$U$62)=0)),"",COUNTIFS(J!$U$8:$U$62,"X15",J!$S$8:$S$62,"&lt;=39",J!$S$8:$S$62,"&gt;=30"))</f>
        <v/>
      </c>
      <c r="R122" s="42" t="str">
        <f>IF(OR((COUNTA(J!$S$8:$S$62)=0),(COUNTA(J!$U$8:$U$62)=0)),"",COUNTIFS(J!$U$8:$U$62,"X16",J!$S$8:$S$62,"&lt;=39",J!$S$8:$S$62,"&gt;=30"))</f>
        <v/>
      </c>
      <c r="S122" s="13" t="str">
        <f>IF(OR((COUNTA(J!$V$8:$V$62)=0),(COUNTA(J!$X$8:$X$62)=0)),"",COUNTIFS(J!$X$8:$X$62,"X17",J!$V$8:$V$62,"&lt;=39",J!$V$8:$V$62,"&gt;=30"))</f>
        <v/>
      </c>
      <c r="T122" s="14" t="str">
        <f>IF(OR((COUNTA(J!$V$8:$V$62)=0),(COUNTA(J!$X$8:$X$62)=0)),"",COUNTIFS(J!$X$8:$X$62,"X18",J!$V$8:$V$62,"&lt;=39",J!$V$8:$V$62,"&gt;=30"))</f>
        <v/>
      </c>
      <c r="U122" s="14" t="str">
        <f>IF(OR((COUNTA(J!$V$8:$V$62)=0),(COUNTA(J!$X$8:$X$62)=0)),"",COUNTIFS(J!$X$8:$X$62,"X19",J!$V$8:$V$62,"&lt;=39",J!$V$8:$V$62,"&gt;=30"))</f>
        <v/>
      </c>
      <c r="V122" s="14" t="str">
        <f>IF(OR((COUNTA(J!$V$8:$V$62)=0),(COUNTA(J!$X$8:$X$62)=0)),"",COUNTIFS(J!$X$8:$X$62,"X20",J!$V$8:$V$62,"&lt;=39",J!$V$8:$V$62,"&gt;=30"))</f>
        <v/>
      </c>
      <c r="W122" s="14" t="str">
        <f>IF(OR((COUNTA(J!$V$8:$V$62)=0),(COUNTA(J!$X$8:$X$62)=0)),"",COUNTIFS(J!$X$8:$X$62,"X21",J!$V$8:$V$62,"&lt;=39",J!$V$8:$V$62,"&gt;=30"))</f>
        <v/>
      </c>
      <c r="X122" s="14" t="str">
        <f>IF(OR((COUNTA(J!$V$8:$V$62)=0),(COUNTA(J!$X$8:$X$62)=0)),"",COUNTIFS(J!$X$8:$X$62,"X22",J!$V$8:$V$62,"&lt;=39",J!$V$8:$V$62,"&gt;=30"))</f>
        <v/>
      </c>
      <c r="Y122" s="14" t="str">
        <f>IF(OR((COUNTA(J!$V$8:$V$62)=0),(COUNTA(J!$X$8:$X$62)=0)),"",COUNTIFS(J!$X$8:$X$62,"X23",J!$V$8:$V$62,"&lt;=39",J!$V$8:$V$62,"&gt;=30"))</f>
        <v/>
      </c>
      <c r="Z122" s="42" t="str">
        <f>IF(OR((COUNTA(J!$V$8:$V$62)=0),(COUNTA(J!$X$8:$X$62)=0)),"",COUNTIFS(J!$X$8:$X$62,"X24",J!$V$8:$V$62,"&lt;=39",J!$V$8:$V$62,"&gt;=30"))</f>
        <v/>
      </c>
    </row>
    <row r="123" spans="1:26" s="2" customFormat="1" ht="13.5" customHeight="1">
      <c r="A123" s="500"/>
      <c r="B123" s="32" t="s">
        <v>51</v>
      </c>
      <c r="C123" s="13" t="str">
        <f>IF(OR((COUNTA(J!$P$8:$P$62)=0),(COUNTA(J!$R$8:$R$62)=0)),"",COUNTIFS(J!$R$8:$R$62,"X01",J!$P$8:$P$62,"&lt;=29",J!$P$8:$P$62,"&gt;=20"))</f>
        <v/>
      </c>
      <c r="D123" s="14" t="str">
        <f>IF(OR((COUNTA(J!$P$8:$P$62)=0),(COUNTA(J!$R$8:$R$62)=0)),"",COUNTIFS(J!$R$8:$R$62,"X02",J!$P$8:$P$62,"&lt;=29",J!$P$8:$P$62,"&gt;=20"))</f>
        <v/>
      </c>
      <c r="E123" s="14" t="str">
        <f>IF(OR((COUNTA(J!$P$8:$P$62)=0),(COUNTA(J!$R$8:$R$62)=0)),"",COUNTIFS(J!$R$8:$R$62,"X03",J!$P$8:$P$62,"&lt;=29",J!$P$8:$P$62,"&gt;=20"))</f>
        <v/>
      </c>
      <c r="F123" s="14" t="str">
        <f>IF(OR((COUNTA(J!$P$8:$P$62)=0),(COUNTA(J!$R$8:$R$62)=0)),"",COUNTIFS(J!$R$8:$R$62,"X04",J!$P$8:$P$62,"&lt;=29",J!$P$8:$P$62,"&gt;=20"))</f>
        <v/>
      </c>
      <c r="G123" s="14" t="str">
        <f>IF(OR((COUNTA(J!$P$8:$P$62)=0),(COUNTA(J!$R$8:$R$62)=0)),"",COUNTIFS(J!$R$8:$R$62,"X05",J!$P$8:$P$62,"&lt;=29",J!$P$8:$P$62,"&gt;=20"))</f>
        <v/>
      </c>
      <c r="H123" s="14" t="str">
        <f>IF(OR((COUNTA(J!$P$8:$P$62)=0),(COUNTA(J!$R$8:$R$62)=0)),"",COUNTIFS(J!$R$8:$R$62,"X06",J!$P$8:$P$62,"&lt;=29",J!$P$8:$P$62,"&gt;=20"))</f>
        <v/>
      </c>
      <c r="I123" s="14" t="str">
        <f>IF(OR((COUNTA(J!$P$8:$P$62)=0),(COUNTA(J!$R$8:$R$62)=0)),"",COUNTIFS(J!$R$8:$R$62,"X07",J!$P$8:$P$62,"&lt;=29",J!$P$8:$P$62,"&gt;=20"))</f>
        <v/>
      </c>
      <c r="J123" s="42" t="str">
        <f>IF(OR((COUNTA(J!$P$8:$P$62)=0),(COUNTA(J!$R$8:$R$62)=0)),"",COUNTIFS(J!$R$8:$R$62,"X08",J!$P$8:$P$62,"&lt;=29",J!$P$8:$P$62,"&gt;=20"))</f>
        <v/>
      </c>
      <c r="K123" s="13" t="str">
        <f>IF(OR((COUNTA(J!$S$8:$S$62)=0),(COUNTA(J!$U$8:$U$62)=0)),"",COUNTIFS(J!$U$8:$U$62,"X09",J!$S$8:$S$62,"&lt;=29",J!$S$8:$S$62,"&gt;=20"))</f>
        <v/>
      </c>
      <c r="L123" s="14" t="str">
        <f>IF(OR((COUNTA(J!$S$8:$S$62)=0),(COUNTA(J!$U$8:$U$62)=0)),"",COUNTIFS(J!$U$8:$U$62,"X10",J!$S$8:$S$62,"&lt;=29",J!$S$8:$S$62,"&gt;=20"))</f>
        <v/>
      </c>
      <c r="M123" s="14" t="str">
        <f>IF(OR((COUNTA(J!$S$8:$S$62)=0),(COUNTA(J!$U$8:$U$62)=0)),"",COUNTIFS(J!$U$8:$U$62,"X11",J!$S$8:$S$62,"&lt;=29",J!$S$8:$S$62,"&gt;=20"))</f>
        <v/>
      </c>
      <c r="N123" s="14" t="str">
        <f>IF(OR((COUNTA(J!$S$8:$S$62)=0),(COUNTA(J!$U$8:$U$62)=0)),"",COUNTIFS(J!$U$8:$U$62,"X12",J!$S$8:$S$62,"&lt;=29",J!$S$8:$S$62,"&gt;=20"))</f>
        <v/>
      </c>
      <c r="O123" s="14" t="str">
        <f>IF(OR((COUNTA(J!$S$8:$S$62)=0),(COUNTA(J!$U$8:$U$62)=0)),"",COUNTIFS(J!$U$8:$U$62,"X13",J!$S$8:$S$62,"&lt;=29",J!$S$8:$S$62,"&gt;=20"))</f>
        <v/>
      </c>
      <c r="P123" s="14" t="str">
        <f>IF(OR((COUNTA(J!$S$8:$S$62)=0),(COUNTA(J!$U$8:$U$62)=0)),"",COUNTIFS(J!$U$8:$U$62,"X14",J!$S$8:$S$62,"&lt;=29",J!$S$8:$S$62,"&gt;=20"))</f>
        <v/>
      </c>
      <c r="Q123" s="14" t="str">
        <f>IF(OR((COUNTA(J!$S$8:$S$62)=0),(COUNTA(J!$U$8:$U$62)=0)),"",COUNTIFS(J!$U$8:$U$62,"X15",J!$S$8:$S$62,"&lt;=29",J!$S$8:$S$62,"&gt;=20"))</f>
        <v/>
      </c>
      <c r="R123" s="42" t="str">
        <f>IF(OR((COUNTA(J!$S$8:$S$62)=0),(COUNTA(J!$U$8:$U$62)=0)),"",COUNTIFS(J!$U$8:$U$62,"X16",J!$S$8:$S$62,"&lt;=29",J!$S$8:$S$62,"&gt;=20"))</f>
        <v/>
      </c>
      <c r="S123" s="13" t="str">
        <f>IF(OR((COUNTA(J!$V$8:$V$62)=0),(COUNTA(J!$X$8:$X$62)=0)),"",COUNTIFS(J!$X$8:$X$62,"X17",J!$V$8:$V$62,"&lt;=29",J!$V$8:$V$62,"&gt;=20"))</f>
        <v/>
      </c>
      <c r="T123" s="14" t="str">
        <f>IF(OR((COUNTA(J!$V$8:$V$62)=0),(COUNTA(J!$X$8:$X$62)=0)),"",COUNTIFS(J!$X$8:$X$62,"X18",J!$V$8:$V$62,"&lt;=29",J!$V$8:$V$62,"&gt;=20"))</f>
        <v/>
      </c>
      <c r="U123" s="14" t="str">
        <f>IF(OR((COUNTA(J!$V$8:$V$62)=0),(COUNTA(J!$X$8:$X$62)=0)),"",COUNTIFS(J!$X$8:$X$62,"X19",J!$V$8:$V$62,"&lt;=29",J!$V$8:$V$62,"&gt;=20"))</f>
        <v/>
      </c>
      <c r="V123" s="14" t="str">
        <f>IF(OR((COUNTA(J!$V$8:$V$62)=0),(COUNTA(J!$X$8:$X$62)=0)),"",COUNTIFS(J!$X$8:$X$62,"X20",J!$V$8:$V$62,"&lt;=29",J!$V$8:$V$62,"&gt;=20"))</f>
        <v/>
      </c>
      <c r="W123" s="14" t="str">
        <f>IF(OR((COUNTA(J!$V$8:$V$62)=0),(COUNTA(J!$X$8:$X$62)=0)),"",COUNTIFS(J!$X$8:$X$62,"X21",J!$V$8:$V$62,"&lt;=29",J!$V$8:$V$62,"&gt;=20"))</f>
        <v/>
      </c>
      <c r="X123" s="14" t="str">
        <f>IF(OR((COUNTA(J!$V$8:$V$62)=0),(COUNTA(J!$X$8:$X$62)=0)),"",COUNTIFS(J!$X$8:$X$62,"X22",J!$V$8:$V$62,"&lt;=29",J!$V$8:$V$62,"&gt;=20"))</f>
        <v/>
      </c>
      <c r="Y123" s="14" t="str">
        <f>IF(OR((COUNTA(J!$V$8:$V$62)=0),(COUNTA(J!$X$8:$X$62)=0)),"",COUNTIFS(J!$X$8:$X$62,"X23",J!$V$8:$V$62,"&lt;=29",J!$V$8:$V$62,"&gt;=20"))</f>
        <v/>
      </c>
      <c r="Z123" s="42" t="str">
        <f>IF(OR((COUNTA(J!$V$8:$V$62)=0),(COUNTA(J!$X$8:$X$62)=0)),"",COUNTIFS(J!$X$8:$X$62,"X24",J!$V$8:$V$62,"&lt;=29",J!$V$8:$V$62,"&gt;=20"))</f>
        <v/>
      </c>
    </row>
    <row r="124" spans="1:26" s="2" customFormat="1" ht="13.5" customHeight="1">
      <c r="A124" s="500"/>
      <c r="B124" s="33" t="s">
        <v>52</v>
      </c>
      <c r="C124" s="16" t="str">
        <f>IF(OR((COUNTA(J!$P$8:$P$62)=0),(COUNTA(J!$R$8:$R$62)=0)),"",COUNTIFS(J!$R$8:$R$62,"X01",J!$P$8:$P$62,"&lt;=19",J!$P$8:$P$62,"&gt;=10"))</f>
        <v/>
      </c>
      <c r="D124" s="17" t="str">
        <f>IF(OR((COUNTA(J!$P$8:$P$62)=0),(COUNTA(J!$R$8:$R$62)=0)),"",COUNTIFS(J!$R$8:$R$62,"X02",J!$P$8:$P$62,"&lt;=19",J!$P$8:$P$62,"&gt;=10"))</f>
        <v/>
      </c>
      <c r="E124" s="17" t="str">
        <f>IF(OR((COUNTA(J!$P$8:$P$62)=0),(COUNTA(J!$R$8:$R$62)=0)),"",COUNTIFS(J!$R$8:$R$62,"X03",J!$P$8:$P$62,"&lt;=19",J!$P$8:$P$62,"&gt;=10"))</f>
        <v/>
      </c>
      <c r="F124" s="17" t="str">
        <f>IF(OR((COUNTA(J!$P$8:$P$62)=0),(COUNTA(J!$R$8:$R$62)=0)),"",COUNTIFS(J!$R$8:$R$62,"X04",J!$P$8:$P$62,"&lt;=19",J!$P$8:$P$62,"&gt;=10"))</f>
        <v/>
      </c>
      <c r="G124" s="17" t="str">
        <f>IF(OR((COUNTA(J!$P$8:$P$62)=0),(COUNTA(J!$R$8:$R$62)=0)),"",COUNTIFS(J!$R$8:$R$62,"X05",J!$P$8:$P$62,"&lt;=19",J!$P$8:$P$62,"&gt;=10"))</f>
        <v/>
      </c>
      <c r="H124" s="17" t="str">
        <f>IF(OR((COUNTA(J!$P$8:$P$62)=0),(COUNTA(J!$R$8:$R$62)=0)),"",COUNTIFS(J!$R$8:$R$62,"X06",J!$P$8:$P$62,"&lt;=19",J!$P$8:$P$62,"&gt;=10"))</f>
        <v/>
      </c>
      <c r="I124" s="17" t="str">
        <f>IF(OR((COUNTA(J!$P$8:$P$62)=0),(COUNTA(J!$R$8:$R$62)=0)),"",COUNTIFS(J!$R$8:$R$62,"X07",J!$P$8:$P$62,"&lt;=19",J!$P$8:$P$62,"&gt;=10"))</f>
        <v/>
      </c>
      <c r="J124" s="43" t="str">
        <f>IF(OR((COUNTA(J!$P$8:$P$62)=0),(COUNTA(J!$R$8:$R$62)=0)),"",COUNTIFS(J!$R$8:$R$62,"X08",J!$P$8:$P$62,"&lt;=19",J!$P$8:$P$62,"&gt;=10"))</f>
        <v/>
      </c>
      <c r="K124" s="16" t="str">
        <f>IF(OR((COUNTA(J!$S$8:$S$62)=0),(COUNTA(J!$U$8:$U$62)=0)),"",COUNTIFS(J!$U$8:$U$62,"X09",J!$S$8:$S$62,"&lt;=19",J!$S$8:$S$62,"&gt;=10"))</f>
        <v/>
      </c>
      <c r="L124" s="17" t="str">
        <f>IF(OR((COUNTA(J!$S$8:$S$62)=0),(COUNTA(J!$U$8:$U$62)=0)),"",COUNTIFS(J!$U$8:$U$62,"X10",J!$S$8:$S$62,"&lt;=19",J!$S$8:$S$62,"&gt;=10"))</f>
        <v/>
      </c>
      <c r="M124" s="17" t="str">
        <f>IF(OR((COUNTA(J!$S$8:$S$62)=0),(COUNTA(J!$U$8:$U$62)=0)),"",COUNTIFS(J!$U$8:$U$62,"X11",J!$S$8:$S$62,"&lt;=19",J!$S$8:$S$62,"&gt;=10"))</f>
        <v/>
      </c>
      <c r="N124" s="17" t="str">
        <f>IF(OR((COUNTA(J!$S$8:$S$62)=0),(COUNTA(J!$U$8:$U$62)=0)),"",COUNTIFS(J!$U$8:$U$62,"X12",J!$S$8:$S$62,"&lt;=19",J!$S$8:$S$62,"&gt;=10"))</f>
        <v/>
      </c>
      <c r="O124" s="17" t="str">
        <f>IF(OR((COUNTA(J!$S$8:$S$62)=0),(COUNTA(J!$U$8:$U$62)=0)),"",COUNTIFS(J!$U$8:$U$62,"X13",J!$S$8:$S$62,"&lt;=19",J!$S$8:$S$62,"&gt;=10"))</f>
        <v/>
      </c>
      <c r="P124" s="17" t="str">
        <f>IF(OR((COUNTA(J!$S$8:$S$62)=0),(COUNTA(J!$U$8:$U$62)=0)),"",COUNTIFS(J!$U$8:$U$62,"X14",J!$S$8:$S$62,"&lt;=19",J!$S$8:$S$62,"&gt;=10"))</f>
        <v/>
      </c>
      <c r="Q124" s="17" t="str">
        <f>IF(OR((COUNTA(J!$S$8:$S$62)=0),(COUNTA(J!$U$8:$U$62)=0)),"",COUNTIFS(J!$U$8:$U$62,"X15",J!$S$8:$S$62,"&lt;=19",J!$S$8:$S$62,"&gt;=10"))</f>
        <v/>
      </c>
      <c r="R124" s="43" t="str">
        <f>IF(OR((COUNTA(J!$S$8:$S$62)=0),(COUNTA(J!$U$8:$U$62)=0)),"",COUNTIFS(J!$U$8:$U$62,"X16",J!$S$8:$S$62,"&lt;=19",J!$S$8:$S$62,"&gt;=10"))</f>
        <v/>
      </c>
      <c r="S124" s="16" t="str">
        <f>IF(OR((COUNTA(J!$V$8:$V$62)=0),(COUNTA(J!$X$8:$X$62)=0)),"",COUNTIFS(J!$X$8:$X$62,"X17",J!$V$8:$V$62,"&lt;=19",J!$V$8:$V$62,"&gt;=10"))</f>
        <v/>
      </c>
      <c r="T124" s="17" t="str">
        <f>IF(OR((COUNTA(J!$V$8:$V$62)=0),(COUNTA(J!$X$8:$X$62)=0)),"",COUNTIFS(J!$X$8:$X$62,"X18",J!$V$8:$V$62,"&lt;=19",J!$V$8:$V$62,"&gt;=10"))</f>
        <v/>
      </c>
      <c r="U124" s="17" t="str">
        <f>IF(OR((COUNTA(J!$V$8:$V$62)=0),(COUNTA(J!$X$8:$X$62)=0)),"",COUNTIFS(J!$X$8:$X$62,"X19",J!$V$8:$V$62,"&lt;=19",J!$V$8:$V$62,"&gt;=10"))</f>
        <v/>
      </c>
      <c r="V124" s="17" t="str">
        <f>IF(OR((COUNTA(J!$V$8:$V$62)=0),(COUNTA(J!$X$8:$X$62)=0)),"",COUNTIFS(J!$X$8:$X$62,"X20",J!$V$8:$V$62,"&lt;=19",J!$V$8:$V$62,"&gt;=10"))</f>
        <v/>
      </c>
      <c r="W124" s="17" t="str">
        <f>IF(OR((COUNTA(J!$V$8:$V$62)=0),(COUNTA(J!$X$8:$X$62)=0)),"",COUNTIFS(J!$X$8:$X$62,"X21",J!$V$8:$V$62,"&lt;=19",J!$V$8:$V$62,"&gt;=10"))</f>
        <v/>
      </c>
      <c r="X124" s="17" t="str">
        <f>IF(OR((COUNTA(J!$V$8:$V$62)=0),(COUNTA(J!$X$8:$X$62)=0)),"",COUNTIFS(J!$X$8:$X$62,"X22",J!$V$8:$V$62,"&lt;=19",J!$V$8:$V$62,"&gt;=10"))</f>
        <v/>
      </c>
      <c r="Y124" s="17" t="str">
        <f>IF(OR((COUNTA(J!$V$8:$V$62)=0),(COUNTA(J!$X$8:$X$62)=0)),"",COUNTIFS(J!$X$8:$X$62,"X23",J!$V$8:$V$62,"&lt;=19",J!$V$8:$V$62,"&gt;=10"))</f>
        <v/>
      </c>
      <c r="Z124" s="43" t="str">
        <f>IF(OR((COUNTA(J!$V$8:$V$62)=0),(COUNTA(J!$X$8:$X$62)=0)),"",COUNTIFS(J!$X$8:$X$62,"X24",J!$V$8:$V$62,"&lt;=19",J!$V$8:$V$62,"&gt;=10"))</f>
        <v/>
      </c>
    </row>
    <row r="125" spans="1:26" s="2" customFormat="1" ht="13.5" customHeight="1">
      <c r="A125" s="501"/>
      <c r="B125" s="34" t="s">
        <v>55</v>
      </c>
      <c r="C125" s="21" t="str">
        <f>IF(OR((COUNTA(J!$P$8:$P$62)=0),(COUNTA(J!$R$8:$R$62)=0)),"",COUNTIFS(J!$R$8:$R$62,"X01",J!$P$8:$P$62,"&lt;=9"))</f>
        <v/>
      </c>
      <c r="D125" s="22" t="str">
        <f>IF(OR((COUNTA(J!$P$8:$P$62)=0),(COUNTA(J!$R$8:$R$62)=0)),"",COUNTIFS(J!$R$8:$R$62,"X02",J!$P$8:$P$62,"&lt;=9"))</f>
        <v/>
      </c>
      <c r="E125" s="22" t="str">
        <f>IF(OR((COUNTA(J!$P$8:$P$62)=0),(COUNTA(J!$R$8:$R$62)=0)),"",COUNTIFS(J!$R$8:$R$62,"X03",J!$P$8:$P$62,"&lt;=9"))</f>
        <v/>
      </c>
      <c r="F125" s="22" t="str">
        <f>IF(OR((COUNTA(J!$P$8:$P$62)=0),(COUNTA(J!$R$8:$R$62)=0)),"",COUNTIFS(J!$R$8:$R$62,"X04",J!$P$8:$P$62,"&lt;=9"))</f>
        <v/>
      </c>
      <c r="G125" s="22" t="str">
        <f>IF(OR((COUNTA(J!$P$8:$P$62)=0),(COUNTA(J!$R$8:$R$62)=0)),"",COUNTIFS(J!$R$8:$R$62,"X05",J!$P$8:$P$62,"&lt;=9"))</f>
        <v/>
      </c>
      <c r="H125" s="22" t="str">
        <f>IF(OR((COUNTA(J!$P$8:$P$62)=0),(COUNTA(J!$R$8:$R$62)=0)),"",COUNTIFS(J!$R$8:$R$62,"X06",J!$P$8:$P$62,"&lt;=9"))</f>
        <v/>
      </c>
      <c r="I125" s="22" t="str">
        <f>IF(OR((COUNTA(J!$P$8:$P$62)=0),(COUNTA(J!$R$8:$R$62)=0)),"",COUNTIFS(J!$R$8:$R$62,"X07",J!$P$8:$P$62,"&lt;=9"))</f>
        <v/>
      </c>
      <c r="J125" s="44" t="str">
        <f>IF(OR((COUNTA(J!$P$8:$P$62)=0),(COUNTA(J!$R$8:$R$62)=0)),"",COUNTIFS(J!$R$8:$R$62,"X08",J!$P$8:$P$62,"&lt;=9"))</f>
        <v/>
      </c>
      <c r="K125" s="21" t="str">
        <f>IF(OR((COUNTA(J!$S$8:$S$62)=0),(COUNTA(J!$U$8:$U$62)=0)),"",COUNTIFS(J!$U$8:$U$62,"X09",J!$S$8:$S$62,"&lt;=9"))</f>
        <v/>
      </c>
      <c r="L125" s="22" t="str">
        <f>IF(OR((COUNTA(J!$S$8:$S$62)=0),(COUNTA(J!$U$8:$U$62)=0)),"",COUNTIFS(J!$U$8:$U$62,"X10",J!$S$8:$S$62,"&lt;=9"))</f>
        <v/>
      </c>
      <c r="M125" s="22" t="str">
        <f>IF(OR((COUNTA(J!$S$8:$S$62)=0),(COUNTA(J!$U$8:$U$62)=0)),"",COUNTIFS(J!$U$8:$U$62,"X11",J!$S$8:$S$62,"&lt;=9"))</f>
        <v/>
      </c>
      <c r="N125" s="22" t="str">
        <f>IF(OR((COUNTA(J!$S$8:$S$62)=0),(COUNTA(J!$U$8:$U$62)=0)),"",COUNTIFS(J!$U$8:$U$62,"X12",J!$S$8:$S$62,"&lt;=9"))</f>
        <v/>
      </c>
      <c r="O125" s="22" t="str">
        <f>IF(OR((COUNTA(J!$S$8:$S$62)=0),(COUNTA(J!$U$8:$U$62)=0)),"",COUNTIFS(J!$U$8:$U$62,"X13",J!$S$8:$S$62,"&lt;=9"))</f>
        <v/>
      </c>
      <c r="P125" s="22" t="str">
        <f>IF(OR((COUNTA(J!$S$8:$S$62)=0),(COUNTA(J!$U$8:$U$62)=0)),"",COUNTIFS(J!$U$8:$U$62,"X14",J!$S$8:$S$62,"&lt;=9"))</f>
        <v/>
      </c>
      <c r="Q125" s="22" t="str">
        <f>IF(OR((COUNTA(J!$S$8:$S$62)=0),(COUNTA(J!$U$8:$U$62)=0)),"",COUNTIFS(J!$U$8:$U$62,"X15",J!$S$8:$S$62,"&lt;=9"))</f>
        <v/>
      </c>
      <c r="R125" s="44" t="str">
        <f>IF(OR((COUNTA(J!$S$8:$S$62)=0),(COUNTA(J!$U$8:$U$62)=0)),"",COUNTIFS(J!$U$8:$U$62,"X16",J!$S$8:$S$62,"&lt;=9"))</f>
        <v/>
      </c>
      <c r="S125" s="21" t="str">
        <f>IF(OR((COUNTA(J!$V$8:$V$62)=0),(COUNTA(J!$X$8:$X$62)=0)),"",COUNTIFS(J!$X$8:$X$62,"X17",J!$V$8:$V$62,"&lt;=9"))</f>
        <v/>
      </c>
      <c r="T125" s="22" t="str">
        <f>IF(OR((COUNTA(J!$V$8:$V$62)=0),(COUNTA(J!$X$8:$X$62)=0)),"",COUNTIFS(J!$X$8:$X$62,"X18",J!$V$8:$V$62,"&lt;=9"))</f>
        <v/>
      </c>
      <c r="U125" s="22" t="str">
        <f>IF(OR((COUNTA(J!$V$8:$V$62)=0),(COUNTA(J!$X$8:$X$62)=0)),"",COUNTIFS(J!$X$8:$X$62,"X19",J!$V$8:$V$62,"&lt;=9"))</f>
        <v/>
      </c>
      <c r="V125" s="22" t="str">
        <f>IF(OR((COUNTA(J!$V$8:$V$62)=0),(COUNTA(J!$X$8:$X$62)=0)),"",COUNTIFS(J!$X$8:$X$62,"X20",J!$V$8:$V$62,"&lt;=9"))</f>
        <v/>
      </c>
      <c r="W125" s="22" t="str">
        <f>IF(OR((COUNTA(J!$V$8:$V$62)=0),(COUNTA(J!$X$8:$X$62)=0)),"",COUNTIFS(J!$X$8:$X$62,"X21",J!$V$8:$V$62,"&lt;=9"))</f>
        <v/>
      </c>
      <c r="X125" s="22" t="str">
        <f>IF(OR((COUNTA(J!$V$8:$V$62)=0),(COUNTA(J!$X$8:$X$62)=0)),"",COUNTIFS(J!$X$8:$X$62,"X22",J!$V$8:$V$62,"&lt;=9"))</f>
        <v/>
      </c>
      <c r="Y125" s="22" t="str">
        <f>IF(OR((COUNTA(J!$V$8:$V$62)=0),(COUNTA(J!$X$8:$X$62)=0)),"",COUNTIFS(J!$X$8:$X$62,"X23",J!$V$8:$V$62,"&lt;=9"))</f>
        <v/>
      </c>
      <c r="Z125" s="44" t="str">
        <f>IF(OR((COUNTA(J!$V$8:$V$62)=0),(COUNTA(J!$X$8:$X$62)=0)),"",COUNTIFS(J!$X$8:$X$62,"X24",J!$V$8:$V$62,"&lt;=9"))</f>
        <v/>
      </c>
    </row>
    <row r="126" spans="1:26" s="2" customFormat="1" ht="13.5" customHeight="1">
      <c r="A126" s="497" t="s">
        <v>174</v>
      </c>
      <c r="B126" s="35" t="s">
        <v>33</v>
      </c>
      <c r="C126" s="24" t="str">
        <f>IF(AND(C116="",C117="",C118="",C119="",C120="",C121="",C122="",C123="",C124="",C125=""),"",(SUM(C116:C119,C122,C123)))</f>
        <v/>
      </c>
      <c r="D126" s="25" t="str">
        <f t="shared" ref="D126" si="370">IF(AND(D116="",D117="",D118="",D119="",D120="",D121="",D122="",D123="",D124="",D125=""),"",(SUM(D116:D119,D122,D123)))</f>
        <v/>
      </c>
      <c r="E126" s="25" t="str">
        <f t="shared" ref="E126" si="371">IF(AND(E116="",E117="",E118="",E119="",E120="",E121="",E122="",E123="",E124="",E125=""),"",(SUM(E116:E119,E122,E123)))</f>
        <v/>
      </c>
      <c r="F126" s="25" t="str">
        <f t="shared" ref="F126" si="372">IF(AND(F116="",F117="",F118="",F119="",F120="",F121="",F122="",F123="",F124="",F125=""),"",(SUM(F116:F119,F122,F123)))</f>
        <v/>
      </c>
      <c r="G126" s="25" t="str">
        <f t="shared" ref="G126" si="373">IF(AND(G116="",G117="",G118="",G119="",G120="",G121="",G122="",G123="",G124="",G125=""),"",(SUM(G116:G119,G122,G123)))</f>
        <v/>
      </c>
      <c r="H126" s="25" t="str">
        <f t="shared" ref="H126" si="374">IF(AND(H116="",H117="",H118="",H119="",H120="",H121="",H122="",H123="",H124="",H125=""),"",(SUM(H116:H119,H122,H123)))</f>
        <v/>
      </c>
      <c r="I126" s="25" t="str">
        <f t="shared" ref="I126" si="375">IF(AND(I116="",I117="",I118="",I119="",I120="",I121="",I122="",I123="",I124="",I125=""),"",(SUM(I116:I119,I122,I123)))</f>
        <v/>
      </c>
      <c r="J126" s="45" t="str">
        <f t="shared" ref="J126" si="376">IF(AND(J116="",J117="",J118="",J119="",J120="",J121="",J122="",J123="",J124="",J125=""),"",(SUM(J116:J119,J122,J123)))</f>
        <v/>
      </c>
      <c r="K126" s="24" t="str">
        <f t="shared" ref="K126" si="377">IF(AND(K116="",K117="",K118="",K119="",K120="",K121="",K122="",K123="",K124="",K125=""),"",(SUM(K116:K119,K122,K123)))</f>
        <v/>
      </c>
      <c r="L126" s="25" t="str">
        <f t="shared" ref="L126" si="378">IF(AND(L116="",L117="",L118="",L119="",L120="",L121="",L122="",L123="",L124="",L125=""),"",(SUM(L116:L119,L122,L123)))</f>
        <v/>
      </c>
      <c r="M126" s="25" t="str">
        <f t="shared" ref="M126" si="379">IF(AND(M116="",M117="",M118="",M119="",M120="",M121="",M122="",M123="",M124="",M125=""),"",(SUM(M116:M119,M122,M123)))</f>
        <v/>
      </c>
      <c r="N126" s="25" t="str">
        <f t="shared" ref="N126" si="380">IF(AND(N116="",N117="",N118="",N119="",N120="",N121="",N122="",N123="",N124="",N125=""),"",(SUM(N116:N119,N122,N123)))</f>
        <v/>
      </c>
      <c r="O126" s="25" t="str">
        <f t="shared" ref="O126" si="381">IF(AND(O116="",O117="",O118="",O119="",O120="",O121="",O122="",O123="",O124="",O125=""),"",(SUM(O116:O119,O122,O123)))</f>
        <v/>
      </c>
      <c r="P126" s="25" t="str">
        <f t="shared" ref="P126" si="382">IF(AND(P116="",P117="",P118="",P119="",P120="",P121="",P122="",P123="",P124="",P125=""),"",(SUM(P116:P119,P122,P123)))</f>
        <v/>
      </c>
      <c r="Q126" s="25" t="str">
        <f t="shared" ref="Q126" si="383">IF(AND(Q116="",Q117="",Q118="",Q119="",Q120="",Q121="",Q122="",Q123="",Q124="",Q125=""),"",(SUM(Q116:Q119,Q122,Q123)))</f>
        <v/>
      </c>
      <c r="R126" s="48" t="str">
        <f t="shared" ref="R126" si="384">IF(AND(R116="",R117="",R118="",R119="",R120="",R121="",R122="",R123="",R124="",R125=""),"",(SUM(R116:R119,R122,R123)))</f>
        <v/>
      </c>
      <c r="S126" s="49" t="str">
        <f t="shared" ref="S126" si="385">IF(AND(S116="",S117="",S118="",S119="",S120="",S121="",S122="",S123="",S124="",S125=""),"",(SUM(S116:S119,S122,S123)))</f>
        <v/>
      </c>
      <c r="T126" s="25" t="str">
        <f t="shared" ref="T126" si="386">IF(AND(T116="",T117="",T118="",T119="",T120="",T121="",T122="",T123="",T124="",T125=""),"",(SUM(T116:T119,T122,T123)))</f>
        <v/>
      </c>
      <c r="U126" s="25" t="str">
        <f t="shared" ref="U126" si="387">IF(AND(U116="",U117="",U118="",U119="",U120="",U121="",U122="",U123="",U124="",U125=""),"",(SUM(U116:U119,U122,U123)))</f>
        <v/>
      </c>
      <c r="V126" s="25" t="str">
        <f t="shared" ref="V126" si="388">IF(AND(V116="",V117="",V118="",V119="",V120="",V121="",V122="",V123="",V124="",V125=""),"",(SUM(V116:V119,V122,V123)))</f>
        <v/>
      </c>
      <c r="W126" s="25" t="str">
        <f t="shared" ref="W126" si="389">IF(AND(W116="",W117="",W118="",W119="",W120="",W121="",W122="",W123="",W124="",W125=""),"",(SUM(W116:W119,W122,W123)))</f>
        <v/>
      </c>
      <c r="X126" s="25" t="str">
        <f t="shared" ref="X126" si="390">IF(AND(X116="",X117="",X118="",X119="",X120="",X121="",X122="",X123="",X124="",X125=""),"",(SUM(X116:X119,X122,X123)))</f>
        <v/>
      </c>
      <c r="Y126" s="25" t="str">
        <f t="shared" ref="Y126" si="391">IF(AND(Y116="",Y117="",Y118="",Y119="",Y120="",Y121="",Y122="",Y123="",Y124="",Y125=""),"",(SUM(Y116:Y119,Y122,Y123)))</f>
        <v/>
      </c>
      <c r="Z126" s="48" t="str">
        <f t="shared" ref="Z126" si="392">IF(AND(Z116="",Z117="",Z118="",Z119="",Z120="",Z121="",Z122="",Z123="",Z124="",Z125=""),"",(SUM(Z116:Z119,Z122,Z123)))</f>
        <v/>
      </c>
    </row>
    <row r="127" spans="1:26" s="2" customFormat="1" ht="13.5" customHeight="1">
      <c r="A127" s="502"/>
      <c r="B127" s="52" t="s">
        <v>169</v>
      </c>
      <c r="C127" s="53" t="str">
        <f>IF(C126="","",IF(C126=0,0,((C126/(SUM(C116:C121))*100))))</f>
        <v/>
      </c>
      <c r="D127" s="54" t="str">
        <f t="shared" ref="D127" si="393">IF(D126="","",IF(D126=0,0,((D126/(SUM(D116:D121))*100))))</f>
        <v/>
      </c>
      <c r="E127" s="54" t="str">
        <f t="shared" ref="E127" si="394">IF(E126="","",IF(E126=0,0,((E126/(SUM(E116:E121))*100))))</f>
        <v/>
      </c>
      <c r="F127" s="54" t="str">
        <f t="shared" ref="F127" si="395">IF(F126="","",IF(F126=0,0,((F126/(SUM(F116:F121))*100))))</f>
        <v/>
      </c>
      <c r="G127" s="54" t="str">
        <f t="shared" ref="G127" si="396">IF(G126="","",IF(G126=0,0,((G126/(SUM(G116:G121))*100))))</f>
        <v/>
      </c>
      <c r="H127" s="54" t="str">
        <f t="shared" ref="H127" si="397">IF(H126="","",IF(H126=0,0,((H126/(SUM(H116:H121))*100))))</f>
        <v/>
      </c>
      <c r="I127" s="54" t="str">
        <f t="shared" ref="I127" si="398">IF(I126="","",IF(I126=0,0,((I126/(SUM(I116:I121))*100))))</f>
        <v/>
      </c>
      <c r="J127" s="57" t="str">
        <f t="shared" ref="J127" si="399">IF(J126="","",IF(J126=0,0,((J126/(SUM(J116:J121))*100))))</f>
        <v/>
      </c>
      <c r="K127" s="53" t="str">
        <f t="shared" ref="K127" si="400">IF(K126="","",IF(K126=0,0,((K126/(SUM(K116:K121))*100))))</f>
        <v/>
      </c>
      <c r="L127" s="54" t="str">
        <f t="shared" ref="L127" si="401">IF(L126="","",IF(L126=0,0,((L126/(SUM(L116:L121))*100))))</f>
        <v/>
      </c>
      <c r="M127" s="54" t="str">
        <f t="shared" ref="M127" si="402">IF(M126="","",IF(M126=0,0,((M126/(SUM(M116:M121))*100))))</f>
        <v/>
      </c>
      <c r="N127" s="54" t="str">
        <f t="shared" ref="N127" si="403">IF(N126="","",IF(N126=0,0,((N126/(SUM(N116:N121))*100))))</f>
        <v/>
      </c>
      <c r="O127" s="54" t="str">
        <f t="shared" ref="O127" si="404">IF(O126="","",IF(O126=0,0,((O126/(SUM(O116:O121))*100))))</f>
        <v/>
      </c>
      <c r="P127" s="54" t="str">
        <f t="shared" ref="P127" si="405">IF(P126="","",IF(P126=0,0,((P126/(SUM(P116:P121))*100))))</f>
        <v/>
      </c>
      <c r="Q127" s="54" t="str">
        <f t="shared" ref="Q127" si="406">IF(Q126="","",IF(Q126=0,0,((Q126/(SUM(Q116:Q121))*100))))</f>
        <v/>
      </c>
      <c r="R127" s="59" t="str">
        <f t="shared" ref="R127" si="407">IF(R126="","",IF(R126=0,0,((R126/(SUM(R116:R121))*100))))</f>
        <v/>
      </c>
      <c r="S127" s="60" t="str">
        <f t="shared" ref="S127" si="408">IF(S126="","",IF(S126=0,0,((S126/(SUM(S116:S121))*100))))</f>
        <v/>
      </c>
      <c r="T127" s="54" t="str">
        <f t="shared" ref="T127" si="409">IF(T126="","",IF(T126=0,0,((T126/(SUM(T116:T121))*100))))</f>
        <v/>
      </c>
      <c r="U127" s="54" t="str">
        <f t="shared" ref="U127" si="410">IF(U126="","",IF(U126=0,0,((U126/(SUM(U116:U121))*100))))</f>
        <v/>
      </c>
      <c r="V127" s="54" t="str">
        <f t="shared" ref="V127" si="411">IF(V126="","",IF(V126=0,0,((V126/(SUM(V116:V121))*100))))</f>
        <v/>
      </c>
      <c r="W127" s="54" t="str">
        <f t="shared" ref="W127" si="412">IF(W126="","",IF(W126=0,0,((W126/(SUM(W116:W121))*100))))</f>
        <v/>
      </c>
      <c r="X127" s="54" t="str">
        <f t="shared" ref="X127" si="413">IF(X126="","",IF(X126=0,0,((X126/(SUM(X116:X121))*100))))</f>
        <v/>
      </c>
      <c r="Y127" s="54" t="str">
        <f t="shared" ref="Y127" si="414">IF(Y126="","",IF(Y126=0,0,((Y126/(SUM(Y116:Y121))*100))))</f>
        <v/>
      </c>
      <c r="Z127" s="59" t="str">
        <f t="shared" ref="Z127" si="415">IF(Z126="","",IF(Z126=0,0,((Z126/(SUM(Z116:Z121))*100))))</f>
        <v/>
      </c>
    </row>
    <row r="128" spans="1:26" s="2" customFormat="1" ht="13.5" customHeight="1">
      <c r="A128" s="477" t="s">
        <v>186</v>
      </c>
      <c r="B128" s="478"/>
      <c r="C128" s="55">
        <f>IF(AND(C18="",C30="",C42="",C54="",C66="",C78="",C90="",C102="",C114="",C126=""),"",(SUM(C8:C13,C20:C25,C32:C37,C44:C49,C56:C61,C68:C73,C80:C85,C92:C97,C104:C109,C116:C121)))</f>
        <v>0</v>
      </c>
      <c r="D128" s="56">
        <f t="shared" ref="D128:Z128" si="416">IF(AND(D18="",D30="",D42="",D54="",D66="",D78="",D90="",D102="",D114="",D126=""),"",(SUM(D8:D13,D20:D25,D32:D37,D44:D49,D56:D61,D68:D73,D80:D85,D92:D97,D104:D109,D116:D121)))</f>
        <v>0</v>
      </c>
      <c r="E128" s="56">
        <f t="shared" si="416"/>
        <v>0</v>
      </c>
      <c r="F128" s="56">
        <f t="shared" si="416"/>
        <v>46</v>
      </c>
      <c r="G128" s="56">
        <f t="shared" si="416"/>
        <v>0</v>
      </c>
      <c r="H128" s="56">
        <f t="shared" si="416"/>
        <v>0</v>
      </c>
      <c r="I128" s="56">
        <f t="shared" si="416"/>
        <v>0</v>
      </c>
      <c r="J128" s="58">
        <f t="shared" si="416"/>
        <v>0</v>
      </c>
      <c r="K128" s="55">
        <f t="shared" si="416"/>
        <v>6</v>
      </c>
      <c r="L128" s="56">
        <f t="shared" si="416"/>
        <v>0</v>
      </c>
      <c r="M128" s="56">
        <f t="shared" si="416"/>
        <v>3</v>
      </c>
      <c r="N128" s="56">
        <f t="shared" si="416"/>
        <v>5</v>
      </c>
      <c r="O128" s="56">
        <f t="shared" si="416"/>
        <v>11</v>
      </c>
      <c r="P128" s="56">
        <f t="shared" si="416"/>
        <v>0</v>
      </c>
      <c r="Q128" s="56">
        <f t="shared" si="416"/>
        <v>0</v>
      </c>
      <c r="R128" s="61">
        <f t="shared" si="416"/>
        <v>0</v>
      </c>
      <c r="S128" s="62">
        <f t="shared" si="416"/>
        <v>9</v>
      </c>
      <c r="T128" s="56">
        <f t="shared" si="416"/>
        <v>32</v>
      </c>
      <c r="U128" s="56">
        <f t="shared" si="416"/>
        <v>0</v>
      </c>
      <c r="V128" s="56">
        <f t="shared" si="416"/>
        <v>0</v>
      </c>
      <c r="W128" s="56">
        <f t="shared" si="416"/>
        <v>0</v>
      </c>
      <c r="X128" s="56">
        <f t="shared" si="416"/>
        <v>0</v>
      </c>
      <c r="Y128" s="56">
        <f t="shared" si="416"/>
        <v>0</v>
      </c>
      <c r="Z128" s="61">
        <f t="shared" si="416"/>
        <v>0</v>
      </c>
    </row>
    <row r="129" spans="1:26" ht="13.5" customHeight="1">
      <c r="A129" s="503" t="s">
        <v>187</v>
      </c>
      <c r="B129" s="63" t="s">
        <v>33</v>
      </c>
      <c r="C129" s="64">
        <f>IF(AND(C18="",C30="",C42="",C54="",C66="",C78="",C90="",C102="",C114="",C126=""),"",SUM(C18,C30,C42,C54,C66,C78,C90,C102,C114,C126))</f>
        <v>0</v>
      </c>
      <c r="D129" s="65">
        <f t="shared" ref="D129:Z129" si="417">IF(AND(D18="",D30="",D42="",D54="",D66="",D78="",D90="",D102="",D114="",D126=""),"",SUM(D18,D30,D42,D54,D66,D78,D90,D102,D114,D126))</f>
        <v>0</v>
      </c>
      <c r="E129" s="65">
        <f t="shared" si="417"/>
        <v>0</v>
      </c>
      <c r="F129" s="65">
        <f t="shared" si="417"/>
        <v>45</v>
      </c>
      <c r="G129" s="65">
        <f t="shared" si="417"/>
        <v>0</v>
      </c>
      <c r="H129" s="65">
        <f t="shared" si="417"/>
        <v>0</v>
      </c>
      <c r="I129" s="65">
        <f t="shared" si="417"/>
        <v>0</v>
      </c>
      <c r="J129" s="77">
        <f t="shared" si="417"/>
        <v>0</v>
      </c>
      <c r="K129" s="64">
        <f t="shared" si="417"/>
        <v>6</v>
      </c>
      <c r="L129" s="65">
        <f t="shared" si="417"/>
        <v>0</v>
      </c>
      <c r="M129" s="65">
        <f t="shared" si="417"/>
        <v>3</v>
      </c>
      <c r="N129" s="65">
        <f t="shared" si="417"/>
        <v>5</v>
      </c>
      <c r="O129" s="65">
        <f t="shared" si="417"/>
        <v>11</v>
      </c>
      <c r="P129" s="65">
        <f t="shared" si="417"/>
        <v>0</v>
      </c>
      <c r="Q129" s="65">
        <f t="shared" si="417"/>
        <v>0</v>
      </c>
      <c r="R129" s="79">
        <f t="shared" si="417"/>
        <v>0</v>
      </c>
      <c r="S129" s="80">
        <f t="shared" si="417"/>
        <v>9</v>
      </c>
      <c r="T129" s="65">
        <f t="shared" si="417"/>
        <v>32</v>
      </c>
      <c r="U129" s="65">
        <f t="shared" si="417"/>
        <v>0</v>
      </c>
      <c r="V129" s="65">
        <f t="shared" si="417"/>
        <v>0</v>
      </c>
      <c r="W129" s="65">
        <f t="shared" si="417"/>
        <v>0</v>
      </c>
      <c r="X129" s="65">
        <f t="shared" si="417"/>
        <v>0</v>
      </c>
      <c r="Y129" s="65">
        <f t="shared" si="417"/>
        <v>0</v>
      </c>
      <c r="Z129" s="79">
        <f t="shared" si="417"/>
        <v>0</v>
      </c>
    </row>
    <row r="130" spans="1:26" ht="13.5" customHeight="1">
      <c r="A130" s="504"/>
      <c r="B130" s="66" t="s">
        <v>169</v>
      </c>
      <c r="C130" s="67">
        <f>IF(C129="","",IF(C129=0,0,(C129/C128*100)))</f>
        <v>0</v>
      </c>
      <c r="D130" s="68">
        <f t="shared" ref="D130:Z130" si="418">IF(D129="","",IF(D129=0,0,(D129/D128*100)))</f>
        <v>0</v>
      </c>
      <c r="E130" s="68">
        <f t="shared" si="418"/>
        <v>0</v>
      </c>
      <c r="F130" s="68">
        <f t="shared" si="418"/>
        <v>97.826086956521706</v>
      </c>
      <c r="G130" s="68">
        <f t="shared" si="418"/>
        <v>0</v>
      </c>
      <c r="H130" s="68">
        <f t="shared" si="418"/>
        <v>0</v>
      </c>
      <c r="I130" s="68">
        <f t="shared" si="418"/>
        <v>0</v>
      </c>
      <c r="J130" s="78">
        <f t="shared" si="418"/>
        <v>0</v>
      </c>
      <c r="K130" s="67">
        <f t="shared" si="418"/>
        <v>100</v>
      </c>
      <c r="L130" s="68">
        <f t="shared" si="418"/>
        <v>0</v>
      </c>
      <c r="M130" s="68">
        <f t="shared" si="418"/>
        <v>100</v>
      </c>
      <c r="N130" s="68">
        <f t="shared" si="418"/>
        <v>100</v>
      </c>
      <c r="O130" s="68">
        <f t="shared" si="418"/>
        <v>100</v>
      </c>
      <c r="P130" s="68">
        <f t="shared" si="418"/>
        <v>0</v>
      </c>
      <c r="Q130" s="68">
        <f t="shared" si="418"/>
        <v>0</v>
      </c>
      <c r="R130" s="81">
        <f t="shared" si="418"/>
        <v>0</v>
      </c>
      <c r="S130" s="82">
        <f t="shared" si="418"/>
        <v>100</v>
      </c>
      <c r="T130" s="68">
        <f t="shared" si="418"/>
        <v>100</v>
      </c>
      <c r="U130" s="68">
        <f t="shared" si="418"/>
        <v>0</v>
      </c>
      <c r="V130" s="68">
        <f t="shared" si="418"/>
        <v>0</v>
      </c>
      <c r="W130" s="68">
        <f t="shared" si="418"/>
        <v>0</v>
      </c>
      <c r="X130" s="68">
        <f t="shared" si="418"/>
        <v>0</v>
      </c>
      <c r="Y130" s="68">
        <f t="shared" si="418"/>
        <v>0</v>
      </c>
      <c r="Z130" s="81">
        <f t="shared" si="418"/>
        <v>0</v>
      </c>
    </row>
    <row r="131" spans="1:26">
      <c r="A131" s="69"/>
      <c r="B131" s="69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>
      <c r="A132" s="71" t="s">
        <v>188</v>
      </c>
      <c r="B132" s="69" t="s">
        <v>189</v>
      </c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>
      <c r="A133" s="69"/>
      <c r="B133" s="69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5.75" customHeight="1">
      <c r="A134" s="69"/>
      <c r="B134" s="69"/>
      <c r="C134" s="479" t="s">
        <v>60</v>
      </c>
      <c r="D134" s="480"/>
      <c r="E134" s="480"/>
      <c r="F134" s="480"/>
      <c r="G134" s="480"/>
      <c r="H134" s="480"/>
      <c r="I134" s="480"/>
      <c r="J134" s="480"/>
      <c r="K134" s="480"/>
      <c r="L134" s="480"/>
      <c r="M134" s="480"/>
      <c r="N134" s="480"/>
      <c r="O134" s="480"/>
      <c r="P134" s="480"/>
      <c r="Q134" s="480"/>
      <c r="R134" s="480"/>
      <c r="S134" s="480"/>
      <c r="T134" s="480"/>
      <c r="U134" s="480"/>
      <c r="V134" s="480"/>
      <c r="W134" s="480"/>
      <c r="X134" s="480"/>
      <c r="Y134" s="480"/>
      <c r="Z134" s="481"/>
    </row>
    <row r="135" spans="1:26">
      <c r="A135" s="69"/>
      <c r="B135" s="69"/>
      <c r="C135" s="479" t="s">
        <v>15</v>
      </c>
      <c r="D135" s="480"/>
      <c r="E135" s="480"/>
      <c r="F135" s="480"/>
      <c r="G135" s="480"/>
      <c r="H135" s="480"/>
      <c r="I135" s="480"/>
      <c r="J135" s="481"/>
      <c r="K135" s="479" t="s">
        <v>16</v>
      </c>
      <c r="L135" s="480"/>
      <c r="M135" s="480"/>
      <c r="N135" s="480"/>
      <c r="O135" s="480"/>
      <c r="P135" s="480"/>
      <c r="Q135" s="480"/>
      <c r="R135" s="481"/>
      <c r="S135" s="482" t="s">
        <v>17</v>
      </c>
      <c r="T135" s="480"/>
      <c r="U135" s="480"/>
      <c r="V135" s="480"/>
      <c r="W135" s="480"/>
      <c r="X135" s="480"/>
      <c r="Y135" s="480"/>
      <c r="Z135" s="481"/>
    </row>
    <row r="136" spans="1:26">
      <c r="A136" s="69"/>
      <c r="B136" s="69"/>
      <c r="C136" s="72" t="s">
        <v>65</v>
      </c>
      <c r="D136" s="483" t="s">
        <v>66</v>
      </c>
      <c r="E136" s="484"/>
      <c r="F136" s="484"/>
      <c r="G136" s="484"/>
      <c r="H136" s="484"/>
      <c r="I136" s="484"/>
      <c r="J136" s="485"/>
      <c r="K136" s="72" t="s">
        <v>67</v>
      </c>
      <c r="L136" s="483" t="s">
        <v>68</v>
      </c>
      <c r="M136" s="484"/>
      <c r="N136" s="484"/>
      <c r="O136" s="484"/>
      <c r="P136" s="484"/>
      <c r="Q136" s="484"/>
      <c r="R136" s="485"/>
      <c r="S136" s="72" t="s">
        <v>69</v>
      </c>
      <c r="T136" s="483" t="s">
        <v>70</v>
      </c>
      <c r="U136" s="484"/>
      <c r="V136" s="484"/>
      <c r="W136" s="484"/>
      <c r="X136" s="484"/>
      <c r="Y136" s="484"/>
      <c r="Z136" s="485"/>
    </row>
    <row r="137" spans="1:26">
      <c r="A137" s="69"/>
      <c r="B137" s="69"/>
      <c r="C137" s="73" t="s">
        <v>73</v>
      </c>
      <c r="D137" s="486" t="s">
        <v>74</v>
      </c>
      <c r="E137" s="487"/>
      <c r="F137" s="487"/>
      <c r="G137" s="487"/>
      <c r="H137" s="487"/>
      <c r="I137" s="487"/>
      <c r="J137" s="488"/>
      <c r="K137" s="73" t="s">
        <v>75</v>
      </c>
      <c r="L137" s="486" t="s">
        <v>76</v>
      </c>
      <c r="M137" s="487"/>
      <c r="N137" s="487"/>
      <c r="O137" s="487"/>
      <c r="P137" s="487"/>
      <c r="Q137" s="487"/>
      <c r="R137" s="488"/>
      <c r="S137" s="73" t="s">
        <v>77</v>
      </c>
      <c r="T137" s="486" t="s">
        <v>78</v>
      </c>
      <c r="U137" s="487"/>
      <c r="V137" s="487"/>
      <c r="W137" s="487"/>
      <c r="X137" s="487"/>
      <c r="Y137" s="487"/>
      <c r="Z137" s="488"/>
    </row>
    <row r="138" spans="1:26">
      <c r="A138" s="69"/>
      <c r="B138" s="69"/>
      <c r="C138" s="73" t="s">
        <v>81</v>
      </c>
      <c r="D138" s="486" t="s">
        <v>82</v>
      </c>
      <c r="E138" s="487"/>
      <c r="F138" s="487"/>
      <c r="G138" s="487"/>
      <c r="H138" s="487"/>
      <c r="I138" s="487"/>
      <c r="J138" s="488"/>
      <c r="K138" s="73" t="s">
        <v>83</v>
      </c>
      <c r="L138" s="486" t="s">
        <v>84</v>
      </c>
      <c r="M138" s="487"/>
      <c r="N138" s="487"/>
      <c r="O138" s="487"/>
      <c r="P138" s="487"/>
      <c r="Q138" s="487"/>
      <c r="R138" s="488"/>
      <c r="S138" s="73" t="s">
        <v>85</v>
      </c>
      <c r="T138" s="486" t="s">
        <v>86</v>
      </c>
      <c r="U138" s="487"/>
      <c r="V138" s="487"/>
      <c r="W138" s="487"/>
      <c r="X138" s="487"/>
      <c r="Y138" s="487"/>
      <c r="Z138" s="488"/>
    </row>
    <row r="139" spans="1:26">
      <c r="A139" s="69"/>
      <c r="B139" s="69"/>
      <c r="C139" s="73" t="s">
        <v>87</v>
      </c>
      <c r="D139" s="486" t="s">
        <v>88</v>
      </c>
      <c r="E139" s="487"/>
      <c r="F139" s="487"/>
      <c r="G139" s="487"/>
      <c r="H139" s="487"/>
      <c r="I139" s="487"/>
      <c r="J139" s="488"/>
      <c r="K139" s="73" t="s">
        <v>89</v>
      </c>
      <c r="L139" s="486" t="s">
        <v>90</v>
      </c>
      <c r="M139" s="487"/>
      <c r="N139" s="487"/>
      <c r="O139" s="487"/>
      <c r="P139" s="487"/>
      <c r="Q139" s="487"/>
      <c r="R139" s="488"/>
      <c r="S139" s="73" t="s">
        <v>91</v>
      </c>
      <c r="T139" s="486" t="s">
        <v>92</v>
      </c>
      <c r="U139" s="487"/>
      <c r="V139" s="487"/>
      <c r="W139" s="487"/>
      <c r="X139" s="487"/>
      <c r="Y139" s="487"/>
      <c r="Z139" s="488"/>
    </row>
    <row r="140" spans="1:26">
      <c r="A140" s="69"/>
      <c r="B140" s="69"/>
      <c r="C140" s="73" t="s">
        <v>94</v>
      </c>
      <c r="D140" s="486"/>
      <c r="E140" s="487"/>
      <c r="F140" s="487"/>
      <c r="G140" s="487"/>
      <c r="H140" s="487"/>
      <c r="I140" s="487"/>
      <c r="J140" s="488"/>
      <c r="K140" s="73" t="s">
        <v>95</v>
      </c>
      <c r="L140" s="486" t="s">
        <v>96</v>
      </c>
      <c r="M140" s="487"/>
      <c r="N140" s="487"/>
      <c r="O140" s="487"/>
      <c r="P140" s="487"/>
      <c r="Q140" s="487"/>
      <c r="R140" s="488"/>
      <c r="S140" s="73" t="s">
        <v>97</v>
      </c>
      <c r="T140" s="486" t="s">
        <v>98</v>
      </c>
      <c r="U140" s="487"/>
      <c r="V140" s="487"/>
      <c r="W140" s="487"/>
      <c r="X140" s="487"/>
      <c r="Y140" s="487"/>
      <c r="Z140" s="488"/>
    </row>
    <row r="141" spans="1:26">
      <c r="A141" s="69"/>
      <c r="B141" s="69"/>
      <c r="C141" s="73" t="s">
        <v>99</v>
      </c>
      <c r="D141" s="486"/>
      <c r="E141" s="487"/>
      <c r="F141" s="487"/>
      <c r="G141" s="487"/>
      <c r="H141" s="487"/>
      <c r="I141" s="487"/>
      <c r="J141" s="488"/>
      <c r="K141" s="73" t="s">
        <v>100</v>
      </c>
      <c r="L141" s="486" t="s">
        <v>101</v>
      </c>
      <c r="M141" s="487"/>
      <c r="N141" s="487"/>
      <c r="O141" s="487"/>
      <c r="P141" s="487"/>
      <c r="Q141" s="487"/>
      <c r="R141" s="488"/>
      <c r="S141" s="73" t="s">
        <v>102</v>
      </c>
      <c r="T141" s="486" t="s">
        <v>103</v>
      </c>
      <c r="U141" s="487"/>
      <c r="V141" s="487"/>
      <c r="W141" s="487"/>
      <c r="X141" s="487"/>
      <c r="Y141" s="487"/>
      <c r="Z141" s="488"/>
    </row>
    <row r="142" spans="1:26">
      <c r="A142" s="69"/>
      <c r="B142" s="69"/>
      <c r="C142" s="73" t="s">
        <v>105</v>
      </c>
      <c r="D142" s="486"/>
      <c r="E142" s="487"/>
      <c r="F142" s="487"/>
      <c r="G142" s="487"/>
      <c r="H142" s="487"/>
      <c r="I142" s="487"/>
      <c r="J142" s="488"/>
      <c r="K142" s="73" t="s">
        <v>106</v>
      </c>
      <c r="L142" s="486"/>
      <c r="M142" s="487"/>
      <c r="N142" s="487"/>
      <c r="O142" s="487"/>
      <c r="P142" s="487"/>
      <c r="Q142" s="487"/>
      <c r="R142" s="488"/>
      <c r="S142" s="73" t="s">
        <v>107</v>
      </c>
      <c r="T142" s="486" t="s">
        <v>108</v>
      </c>
      <c r="U142" s="487"/>
      <c r="V142" s="487"/>
      <c r="W142" s="487"/>
      <c r="X142" s="487"/>
      <c r="Y142" s="487"/>
      <c r="Z142" s="488"/>
    </row>
    <row r="143" spans="1:26">
      <c r="A143" s="69"/>
      <c r="B143" s="69"/>
      <c r="C143" s="74" t="s">
        <v>109</v>
      </c>
      <c r="D143" s="489"/>
      <c r="E143" s="490"/>
      <c r="F143" s="490"/>
      <c r="G143" s="490"/>
      <c r="H143" s="490"/>
      <c r="I143" s="490"/>
      <c r="J143" s="491"/>
      <c r="K143" s="74" t="s">
        <v>110</v>
      </c>
      <c r="L143" s="489"/>
      <c r="M143" s="490"/>
      <c r="N143" s="490"/>
      <c r="O143" s="490"/>
      <c r="P143" s="490"/>
      <c r="Q143" s="490"/>
      <c r="R143" s="491"/>
      <c r="S143" s="74" t="s">
        <v>111</v>
      </c>
      <c r="T143" s="489"/>
      <c r="U143" s="490"/>
      <c r="V143" s="490"/>
      <c r="W143" s="490"/>
      <c r="X143" s="490"/>
      <c r="Y143" s="490"/>
      <c r="Z143" s="491"/>
    </row>
    <row r="149" spans="1:24" ht="15.6">
      <c r="A149" s="75"/>
      <c r="B149" s="75"/>
      <c r="D149" s="76" t="s">
        <v>181</v>
      </c>
      <c r="E149" s="76"/>
      <c r="K149" s="440" t="s">
        <v>181</v>
      </c>
      <c r="L149" s="440"/>
      <c r="M149" s="440"/>
      <c r="N149" s="440"/>
      <c r="O149" s="440"/>
      <c r="T149" s="440" t="s">
        <v>181</v>
      </c>
      <c r="U149" s="440"/>
      <c r="V149" s="440"/>
      <c r="W149" s="440"/>
      <c r="X149" s="440"/>
    </row>
    <row r="150" spans="1:24" ht="15.75" customHeight="1">
      <c r="A150" s="75"/>
      <c r="B150" s="75"/>
      <c r="D150" s="76" t="s">
        <v>182</v>
      </c>
      <c r="E150" s="76"/>
      <c r="K150" s="440" t="s">
        <v>183</v>
      </c>
      <c r="L150" s="440"/>
      <c r="M150" s="440"/>
      <c r="N150" s="440"/>
      <c r="O150" s="440"/>
      <c r="T150" s="441" t="s">
        <v>184</v>
      </c>
      <c r="U150" s="441"/>
      <c r="V150" s="441"/>
      <c r="W150" s="441"/>
      <c r="X150" s="441"/>
    </row>
    <row r="151" spans="1:24">
      <c r="T151" s="441"/>
      <c r="U151" s="441"/>
      <c r="V151" s="441"/>
      <c r="W151" s="441"/>
      <c r="X151" s="441"/>
    </row>
  </sheetData>
  <sheetProtection algorithmName="SHA-512" hashValue="CnSIj2ausNRJloliIwBQ1F1POQaTWgie7ojJCbqMAXRF3GFjjjaDcIY/RfmmZo+tHSlx5neDwnWYIqG72V/JaQ==" saltValue="5fZLZfRRvwiE/KhMZQZt1g==" spinCount="100000" sheet="1" objects="1" scenarios="1"/>
  <mergeCells count="72">
    <mergeCell ref="A129:A130"/>
    <mergeCell ref="B6:B7"/>
    <mergeCell ref="T150:X151"/>
    <mergeCell ref="K150:O150"/>
    <mergeCell ref="A6:A7"/>
    <mergeCell ref="A8:A17"/>
    <mergeCell ref="A18:A19"/>
    <mergeCell ref="A20:A29"/>
    <mergeCell ref="A30:A31"/>
    <mergeCell ref="A32:A41"/>
    <mergeCell ref="A42:A43"/>
    <mergeCell ref="A44:A53"/>
    <mergeCell ref="A54:A55"/>
    <mergeCell ref="A56:A65"/>
    <mergeCell ref="A66:A67"/>
    <mergeCell ref="A68:A77"/>
    <mergeCell ref="A78:A79"/>
    <mergeCell ref="A80:A89"/>
    <mergeCell ref="A90:A91"/>
    <mergeCell ref="D143:J143"/>
    <mergeCell ref="L143:R143"/>
    <mergeCell ref="T143:Z143"/>
    <mergeCell ref="K149:O149"/>
    <mergeCell ref="T149:X149"/>
    <mergeCell ref="D141:J141"/>
    <mergeCell ref="L141:R141"/>
    <mergeCell ref="T141:Z141"/>
    <mergeCell ref="D142:J142"/>
    <mergeCell ref="L142:R142"/>
    <mergeCell ref="T142:Z142"/>
    <mergeCell ref="D139:J139"/>
    <mergeCell ref="L139:R139"/>
    <mergeCell ref="T139:Z139"/>
    <mergeCell ref="D140:J140"/>
    <mergeCell ref="L140:R140"/>
    <mergeCell ref="T140:Z140"/>
    <mergeCell ref="D137:J137"/>
    <mergeCell ref="L137:R137"/>
    <mergeCell ref="T137:Z137"/>
    <mergeCell ref="D138:J138"/>
    <mergeCell ref="L138:R138"/>
    <mergeCell ref="T138:Z138"/>
    <mergeCell ref="C134:Z134"/>
    <mergeCell ref="C135:J135"/>
    <mergeCell ref="K135:R135"/>
    <mergeCell ref="S135:Z135"/>
    <mergeCell ref="D136:J136"/>
    <mergeCell ref="L136:R136"/>
    <mergeCell ref="T136:Z136"/>
    <mergeCell ref="W5:Z5"/>
    <mergeCell ref="C6:J6"/>
    <mergeCell ref="K6:R6"/>
    <mergeCell ref="S6:Z6"/>
    <mergeCell ref="A128:B128"/>
    <mergeCell ref="A92:A101"/>
    <mergeCell ref="A102:A103"/>
    <mergeCell ref="A104:A113"/>
    <mergeCell ref="A114:A115"/>
    <mergeCell ref="A116:A125"/>
    <mergeCell ref="A126:A127"/>
    <mergeCell ref="A5:E5"/>
    <mergeCell ref="F5:J5"/>
    <mergeCell ref="K5:N5"/>
    <mergeCell ref="O5:R5"/>
    <mergeCell ref="S5:V5"/>
    <mergeCell ref="A3:Z3"/>
    <mergeCell ref="A4:E4"/>
    <mergeCell ref="F4:J4"/>
    <mergeCell ref="K4:N4"/>
    <mergeCell ref="O4:R4"/>
    <mergeCell ref="S4:V4"/>
    <mergeCell ref="W4:Z4"/>
  </mergeCells>
  <pageMargins left="0.31496062992126" right="0.196850393700787" top="0.74803149606299202" bottom="0.35433070866141703" header="0.31496062992126" footer="0.31496062992126"/>
  <pageSetup paperSize="8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1" master="" otherUserPermission="visible"/>
  <rangeList sheetStid="2" master="" otherUserPermission="visible"/>
  <rangeList sheetStid="10" master="" otherUserPermission="visible"/>
  <rangeList sheetStid="9" master="" otherUserPermission="visible"/>
  <rangeList sheetStid="8" master="" otherUserPermission="visible"/>
  <rangeList sheetStid="7" master="" otherUserPermission="visible"/>
  <rangeList sheetStid="6" master="" otherUserPermission="visible"/>
  <rangeList sheetStid="5" master="" otherUserPermission="visible"/>
  <rangeList sheetStid="4" master="" otherUserPermission="visible"/>
  <rangeList sheetStid="3" master="" otherUserPermission="visible"/>
  <rangeList sheetStid="12" master="" otherUserPermission="visible"/>
  <rangeList sheetStid="1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Summary</vt:lpstr>
      <vt:lpstr>Basket Summary</vt:lpstr>
      <vt:lpstr>'Basket Summary'!Print_Titles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Kaveesha Sanjana</cp:lastModifiedBy>
  <cp:lastPrinted>2019-12-11T19:25:00Z</cp:lastPrinted>
  <dcterms:created xsi:type="dcterms:W3CDTF">2019-08-02T18:52:00Z</dcterms:created>
  <dcterms:modified xsi:type="dcterms:W3CDTF">2025-07-08T14:11:32Z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6955DADB25564D8CB403CF3E796CE4B3_12</vt:lpwstr>
  </property>
  <property fmtid="{D5CDD505-2E9C-101B-9397-08002B2CF9AE}" pid="3" name="KSOProductBuildVer">
    <vt:lpwstr>1033-12.2.0.21931</vt:lpwstr>
  </property>
</Properties>
</file>