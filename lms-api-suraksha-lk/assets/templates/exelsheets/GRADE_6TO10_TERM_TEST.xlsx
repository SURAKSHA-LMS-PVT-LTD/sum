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</sheets>
  <definedNames/>
  <calcPr/>
</workbook>
</file>

<file path=xl/sharedStrings.xml><?xml version="1.0" encoding="utf-8"?>
<sst xmlns="http://schemas.openxmlformats.org/spreadsheetml/2006/main" count="100" uniqueCount="71">
  <si>
    <t>Student Achievement Levels of Grade 6 - 9</t>
  </si>
  <si>
    <t>Name of the School</t>
  </si>
  <si>
    <t>Division</t>
  </si>
  <si>
    <t>Zone</t>
  </si>
  <si>
    <t>Grade &amp; Class</t>
  </si>
  <si>
    <t>Year</t>
  </si>
  <si>
    <t>Term</t>
  </si>
  <si>
    <t>Student ID</t>
  </si>
  <si>
    <t>Subjects</t>
  </si>
  <si>
    <t>Mathematics</t>
  </si>
  <si>
    <t>Science</t>
  </si>
  <si>
    <t>First Language</t>
  </si>
  <si>
    <t>English</t>
  </si>
  <si>
    <t>Religion</t>
  </si>
  <si>
    <t>History</t>
  </si>
  <si>
    <t>Geography</t>
  </si>
  <si>
    <t>Ctizenship Education</t>
  </si>
  <si>
    <t>Health &amp; Phy. Edu.</t>
  </si>
  <si>
    <t>Aesthetic Subject</t>
  </si>
  <si>
    <t>Second Language</t>
  </si>
  <si>
    <t>PTS</t>
  </si>
  <si>
    <t>Sports Practical</t>
  </si>
  <si>
    <t>Student's Total</t>
  </si>
  <si>
    <t>Student's Average</t>
  </si>
  <si>
    <t>Student's Position</t>
  </si>
  <si>
    <t>Pass=P /Fail=F</t>
  </si>
  <si>
    <t>Student's Name</t>
  </si>
  <si>
    <t>M</t>
  </si>
  <si>
    <t>G</t>
  </si>
  <si>
    <t>X</t>
  </si>
  <si>
    <t>Total</t>
  </si>
  <si>
    <t>Total 'P's</t>
  </si>
  <si>
    <t>Subject Average</t>
  </si>
  <si>
    <t>Total 'F's</t>
  </si>
  <si>
    <t>Grades Total for Subjects</t>
  </si>
  <si>
    <t>A - 75</t>
  </si>
  <si>
    <t>Total 'ab's</t>
  </si>
  <si>
    <t>B - 65</t>
  </si>
  <si>
    <t>C - 50</t>
  </si>
  <si>
    <t>S - 40</t>
  </si>
  <si>
    <t>W</t>
  </si>
  <si>
    <t>31 - 39</t>
  </si>
  <si>
    <t>21 - 30</t>
  </si>
  <si>
    <t>11 - 20</t>
  </si>
  <si>
    <t>0 -10</t>
  </si>
  <si>
    <r>
      <rPr>
        <rFont val="Wingdings"/>
        <color theme="1"/>
        <sz val="10.0"/>
      </rPr>
      <t>l</t>
    </r>
    <r>
      <rPr>
        <rFont val="Times New Roman"/>
        <color theme="1"/>
        <sz val="10.0"/>
      </rPr>
      <t xml:space="preserve"> M - Marks</t>
    </r>
  </si>
  <si>
    <t>l</t>
  </si>
  <si>
    <t>G - Grade</t>
  </si>
  <si>
    <t>P - Pass</t>
  </si>
  <si>
    <t>F - Fail</t>
  </si>
  <si>
    <t>Aesthetic Subject Codes</t>
  </si>
  <si>
    <t>E1</t>
  </si>
  <si>
    <t>Art</t>
  </si>
  <si>
    <t>E2</t>
  </si>
  <si>
    <t>Western Music</t>
  </si>
  <si>
    <t>E3</t>
  </si>
  <si>
    <t>Eastern Music</t>
  </si>
  <si>
    <t>E4</t>
  </si>
  <si>
    <t>Dancing</t>
  </si>
  <si>
    <t>E5</t>
  </si>
  <si>
    <t>Drama &amp; Theatre</t>
  </si>
  <si>
    <t>E6</t>
  </si>
  <si>
    <t>English Literature</t>
  </si>
  <si>
    <t>……………………………</t>
  </si>
  <si>
    <t>………………………</t>
  </si>
  <si>
    <t>E7</t>
  </si>
  <si>
    <t>Class Teacher's Signature</t>
  </si>
  <si>
    <t>Date</t>
  </si>
  <si>
    <t>Principal's Signature &amp; Rubber Stamp</t>
  </si>
  <si>
    <t>E8</t>
  </si>
  <si>
    <t>E9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</si>
</sst>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sz val="11.0"/>
      <color theme="1"/>
      <name val="Times New Roman"/>
    </font>
    <font>
      <b/>
      <sz val="14.0"/>
      <color theme="1"/>
      <name val="Times New Roman"/>
    </font>
    <font/>
    <font>
      <sz val="14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theme="1"/>
      <name val="Noto Sans Symbols"/>
    </font>
    <font>
      <b/>
      <sz val="10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F9999"/>
        <bgColor rgb="FFFF9999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</fills>
  <borders count="61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Font="1"/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6" fillId="0" fontId="5" numFmtId="0" xfId="0" applyAlignment="1" applyBorder="1" applyFont="1">
      <alignment horizontal="center" textRotation="90"/>
    </xf>
    <xf borderId="7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textRotation="90"/>
    </xf>
    <xf borderId="9" fillId="0" fontId="3" numFmtId="0" xfId="0" applyBorder="1" applyFont="1"/>
    <xf borderId="8" fillId="0" fontId="5" numFmtId="0" xfId="0" applyAlignment="1" applyBorder="1" applyFont="1">
      <alignment horizontal="center" shrinkToFit="0" textRotation="90" wrapText="1"/>
    </xf>
    <xf borderId="10" fillId="0" fontId="5" numFmtId="0" xfId="0" applyAlignment="1" applyBorder="1" applyFont="1">
      <alignment horizontal="center" shrinkToFit="0" textRotation="90" wrapText="1"/>
    </xf>
    <xf borderId="11" fillId="0" fontId="3" numFmtId="0" xfId="0" applyBorder="1" applyFont="1"/>
    <xf borderId="12" fillId="0" fontId="3" numFmtId="0" xfId="0" applyBorder="1" applyFont="1"/>
    <xf borderId="5" fillId="0" fontId="5" numFmtId="0" xfId="0" applyAlignment="1" applyBorder="1" applyFont="1">
      <alignment horizontal="center" shrinkToFit="0" textRotation="90" wrapText="1"/>
    </xf>
    <xf borderId="6" fillId="0" fontId="5" numFmtId="0" xfId="0" applyAlignment="1" applyBorder="1" applyFont="1">
      <alignment horizontal="center" shrinkToFit="0" textRotation="90" wrapText="1"/>
    </xf>
    <xf borderId="13" fillId="0" fontId="5" numFmtId="0" xfId="0" applyAlignment="1" applyBorder="1" applyFont="1">
      <alignment horizontal="center" shrinkToFit="0" textRotation="90" wrapText="1"/>
    </xf>
    <xf borderId="14" fillId="0" fontId="5" numFmtId="0" xfId="0" applyAlignment="1" applyBorder="1" applyFont="1">
      <alignment horizontal="center" shrinkToFit="0" textRotation="90" wrapText="1"/>
    </xf>
    <xf borderId="15" fillId="0" fontId="3" numFmtId="0" xfId="0" applyBorder="1" applyFont="1"/>
    <xf borderId="16" fillId="0" fontId="3" numFmtId="0" xfId="0" applyBorder="1" applyFont="1"/>
    <xf borderId="17" fillId="0" fontId="5" numFmtId="0" xfId="0" applyAlignment="1" applyBorder="1" applyFont="1">
      <alignment horizontal="center"/>
    </xf>
    <xf borderId="18" fillId="0" fontId="1" numFmtId="0" xfId="0" applyAlignment="1" applyBorder="1" applyFont="1">
      <alignment textRotation="255"/>
    </xf>
    <xf borderId="17" fillId="0" fontId="1" numFmtId="0" xfId="0" applyAlignment="1" applyBorder="1" applyFont="1">
      <alignment textRotation="255"/>
    </xf>
    <xf borderId="19" fillId="0" fontId="5" numFmtId="0" xfId="0" applyAlignment="1" applyBorder="1" applyFont="1">
      <alignment textRotation="255"/>
    </xf>
    <xf borderId="20" fillId="0" fontId="3" numFmtId="0" xfId="0" applyBorder="1" applyFont="1"/>
    <xf borderId="21" fillId="0" fontId="3" numFmtId="0" xfId="0" applyBorder="1" applyFont="1"/>
    <xf borderId="22" fillId="0" fontId="6" numFmtId="0" xfId="0" applyBorder="1" applyFont="1"/>
    <xf borderId="23" fillId="0" fontId="6" numFmtId="49" xfId="0" applyAlignment="1" applyBorder="1" applyFont="1" applyNumberFormat="1">
      <alignment horizontal="center"/>
    </xf>
    <xf borderId="7" fillId="0" fontId="6" numFmtId="49" xfId="0" applyBorder="1" applyFont="1" applyNumberFormat="1"/>
    <xf borderId="22" fillId="0" fontId="6" numFmtId="0" xfId="0" applyAlignment="1" applyBorder="1" applyFont="1">
      <alignment horizontal="right"/>
    </xf>
    <xf borderId="24" fillId="3" fontId="6" numFmtId="0" xfId="0" applyAlignment="1" applyBorder="1" applyFill="1" applyFont="1">
      <alignment horizontal="right"/>
    </xf>
    <xf borderId="25" fillId="3" fontId="6" numFmtId="0" xfId="0" applyAlignment="1" applyBorder="1" applyFont="1">
      <alignment horizontal="right"/>
    </xf>
    <xf borderId="26" fillId="3" fontId="6" numFmtId="0" xfId="0" applyAlignment="1" applyBorder="1" applyFont="1">
      <alignment horizontal="right"/>
    </xf>
    <xf borderId="27" fillId="0" fontId="6" numFmtId="0" xfId="0" applyAlignment="1" applyBorder="1" applyFont="1">
      <alignment horizontal="right"/>
    </xf>
    <xf borderId="24" fillId="3" fontId="6" numFmtId="0" xfId="0" applyBorder="1" applyFont="1"/>
    <xf borderId="28" fillId="2" fontId="6" numFmtId="0" xfId="0" applyAlignment="1" applyBorder="1" applyFont="1">
      <alignment horizontal="right"/>
    </xf>
    <xf borderId="29" fillId="2" fontId="6" numFmtId="2" xfId="0" applyAlignment="1" applyBorder="1" applyFont="1" applyNumberFormat="1">
      <alignment horizontal="right"/>
    </xf>
    <xf borderId="24" fillId="2" fontId="6" numFmtId="0" xfId="0" applyAlignment="1" applyBorder="1" applyFont="1">
      <alignment horizontal="center"/>
    </xf>
    <xf borderId="30" fillId="2" fontId="6" numFmtId="0" xfId="0" applyAlignment="1" applyBorder="1" applyFont="1">
      <alignment horizontal="center" shrinkToFit="0" wrapText="1"/>
    </xf>
    <xf borderId="0" fillId="0" fontId="6" numFmtId="0" xfId="0" applyFont="1"/>
    <xf borderId="31" fillId="0" fontId="6" numFmtId="0" xfId="0" applyBorder="1" applyFont="1"/>
    <xf borderId="32" fillId="0" fontId="6" numFmtId="49" xfId="0" applyAlignment="1" applyBorder="1" applyFont="1" applyNumberFormat="1">
      <alignment horizontal="center"/>
    </xf>
    <xf borderId="33" fillId="0" fontId="6" numFmtId="49" xfId="0" applyBorder="1" applyFont="1" applyNumberFormat="1"/>
    <xf borderId="31" fillId="0" fontId="6" numFmtId="0" xfId="0" applyAlignment="1" applyBorder="1" applyFont="1">
      <alignment horizontal="right"/>
    </xf>
    <xf borderId="32" fillId="3" fontId="6" numFmtId="0" xfId="0" applyAlignment="1" applyBorder="1" applyFont="1">
      <alignment horizontal="right"/>
    </xf>
    <xf borderId="33" fillId="0" fontId="6" numFmtId="0" xfId="0" applyAlignment="1" applyBorder="1" applyFont="1">
      <alignment horizontal="right"/>
    </xf>
    <xf borderId="34" fillId="0" fontId="6" numFmtId="0" xfId="0" applyAlignment="1" applyBorder="1" applyFont="1">
      <alignment horizontal="right"/>
    </xf>
    <xf borderId="35" fillId="0" fontId="6" numFmtId="49" xfId="0" applyAlignment="1" applyBorder="1" applyFont="1" applyNumberFormat="1">
      <alignment horizontal="center"/>
    </xf>
    <xf borderId="36" fillId="3" fontId="6" numFmtId="0" xfId="0" applyAlignment="1" applyBorder="1" applyFont="1">
      <alignment horizontal="right"/>
    </xf>
    <xf borderId="10" fillId="0" fontId="6" numFmtId="0" xfId="0" applyAlignment="1" applyBorder="1" applyFont="1">
      <alignment horizontal="center"/>
    </xf>
    <xf borderId="10" fillId="2" fontId="6" numFmtId="0" xfId="0" applyAlignment="1" applyBorder="1" applyFont="1">
      <alignment horizontal="right"/>
    </xf>
    <xf borderId="37" fillId="0" fontId="3" numFmtId="0" xfId="0" applyBorder="1" applyFont="1"/>
    <xf borderId="12" fillId="0" fontId="6" numFmtId="0" xfId="0" applyAlignment="1" applyBorder="1" applyFont="1">
      <alignment horizontal="right"/>
    </xf>
    <xf borderId="38" fillId="0" fontId="6" numFmtId="0" xfId="0" applyAlignment="1" applyBorder="1" applyFont="1">
      <alignment horizontal="center"/>
    </xf>
    <xf borderId="39" fillId="0" fontId="3" numFmtId="0" xfId="0" applyBorder="1" applyFont="1"/>
    <xf borderId="40" fillId="0" fontId="3" numFmtId="0" xfId="0" applyBorder="1" applyFont="1"/>
    <xf borderId="41" fillId="2" fontId="6" numFmtId="0" xfId="0" applyAlignment="1" applyBorder="1" applyFont="1">
      <alignment horizontal="center" shrinkToFit="0" wrapText="1"/>
    </xf>
    <xf borderId="42" fillId="0" fontId="6" numFmtId="0" xfId="0" applyAlignment="1" applyBorder="1" applyFont="1">
      <alignment horizontal="center"/>
    </xf>
    <xf borderId="43" fillId="0" fontId="3" numFmtId="0" xfId="0" applyBorder="1" applyFont="1"/>
    <xf borderId="19" fillId="0" fontId="3" numFmtId="0" xfId="0" applyBorder="1" applyFont="1"/>
    <xf borderId="42" fillId="2" fontId="6" numFmtId="0" xfId="0" applyAlignment="1" applyBorder="1" applyFont="1">
      <alignment horizontal="right"/>
    </xf>
    <xf borderId="44" fillId="0" fontId="3" numFmtId="0" xfId="0" applyBorder="1" applyFont="1"/>
    <xf borderId="19" fillId="0" fontId="6" numFmtId="0" xfId="0" applyAlignment="1" applyBorder="1" applyFont="1">
      <alignment horizontal="right"/>
    </xf>
    <xf borderId="2" fillId="0" fontId="6" numFmtId="0" xfId="0" applyAlignment="1" applyBorder="1" applyFont="1">
      <alignment horizontal="center"/>
    </xf>
    <xf borderId="38" fillId="0" fontId="6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27" fillId="0" fontId="6" numFmtId="0" xfId="0" applyBorder="1" applyFont="1"/>
    <xf borderId="46" fillId="0" fontId="6" numFmtId="0" xfId="0" applyAlignment="1" applyBorder="1" applyFont="1">
      <alignment horizontal="center"/>
    </xf>
    <xf borderId="26" fillId="3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29" fillId="3" fontId="6" numFmtId="0" xfId="0" applyAlignment="1" applyBorder="1" applyFont="1">
      <alignment horizontal="center"/>
    </xf>
    <xf borderId="47" fillId="3" fontId="6" numFmtId="0" xfId="0" applyAlignment="1" applyBorder="1" applyFont="1">
      <alignment horizontal="center"/>
    </xf>
    <xf borderId="48" fillId="0" fontId="6" numFmtId="0" xfId="0" applyAlignment="1" applyBorder="1" applyFont="1">
      <alignment horizontal="center"/>
    </xf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33" fillId="0" fontId="6" numFmtId="0" xfId="0" applyBorder="1" applyFont="1"/>
    <xf borderId="31" fillId="0" fontId="6" numFmtId="0" xfId="0" applyAlignment="1" applyBorder="1" applyFont="1">
      <alignment horizontal="center"/>
    </xf>
    <xf borderId="32" fillId="3" fontId="6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33" fillId="3" fontId="6" numFmtId="0" xfId="0" applyAlignment="1" applyBorder="1" applyFont="1">
      <alignment horizontal="center"/>
    </xf>
    <xf borderId="23" fillId="0" fontId="6" numFmtId="0" xfId="0" applyAlignment="1" applyBorder="1" applyFont="1">
      <alignment horizontal="right"/>
    </xf>
    <xf borderId="23" fillId="0" fontId="6" numFmtId="0" xfId="0" applyAlignment="1" applyBorder="1" applyFont="1">
      <alignment horizontal="center" shrinkToFit="0" wrapText="1"/>
    </xf>
    <xf borderId="32" fillId="0" fontId="6" numFmtId="0" xfId="0" applyAlignment="1" applyBorder="1" applyFont="1">
      <alignment horizontal="right"/>
    </xf>
    <xf borderId="32" fillId="0" fontId="6" numFmtId="0" xfId="0" applyAlignment="1" applyBorder="1" applyFont="1">
      <alignment horizontal="center" shrinkToFit="0" wrapText="1"/>
    </xf>
    <xf borderId="8" fillId="0" fontId="3" numFmtId="0" xfId="0" applyBorder="1" applyFont="1"/>
    <xf borderId="34" fillId="0" fontId="3" numFmtId="0" xfId="0" applyBorder="1" applyFont="1"/>
    <xf borderId="52" fillId="0" fontId="6" numFmtId="0" xfId="0" applyBorder="1" applyFont="1"/>
    <xf borderId="36" fillId="3" fontId="6" numFmtId="0" xfId="0" applyAlignment="1" applyBorder="1" applyFont="1">
      <alignment horizontal="center"/>
    </xf>
    <xf borderId="53" fillId="0" fontId="6" numFmtId="0" xfId="0" applyAlignment="1" applyBorder="1" applyFont="1">
      <alignment horizontal="center"/>
    </xf>
    <xf borderId="54" fillId="3" fontId="6" numFmtId="0" xfId="0" applyAlignment="1" applyBorder="1" applyFont="1">
      <alignment horizontal="center"/>
    </xf>
    <xf borderId="55" fillId="2" fontId="6" numFmtId="0" xfId="0" applyAlignment="1" applyBorder="1" applyFont="1">
      <alignment horizontal="center"/>
    </xf>
    <xf borderId="56" fillId="0" fontId="6" numFmtId="0" xfId="0" applyAlignment="1" applyBorder="1" applyFont="1">
      <alignment horizontal="center"/>
    </xf>
    <xf borderId="56" fillId="2" fontId="6" numFmtId="0" xfId="0" applyAlignment="1" applyBorder="1" applyFont="1">
      <alignment horizontal="center"/>
    </xf>
    <xf borderId="57" fillId="2" fontId="6" numFmtId="0" xfId="0" applyAlignment="1" applyBorder="1" applyFont="1">
      <alignment horizontal="center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46" fillId="4" fontId="6" numFmtId="49" xfId="0" applyBorder="1" applyFill="1" applyFont="1" applyNumberFormat="1"/>
    <xf borderId="26" fillId="2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31" fillId="5" fontId="6" numFmtId="49" xfId="0" applyBorder="1" applyFill="1" applyFont="1" applyNumberFormat="1"/>
    <xf borderId="32" fillId="2" fontId="6" numFmtId="0" xfId="0" applyAlignment="1" applyBorder="1" applyFont="1">
      <alignment horizontal="center"/>
    </xf>
    <xf borderId="33" fillId="0" fontId="6" numFmtId="0" xfId="0" applyAlignment="1" applyBorder="1" applyFont="1">
      <alignment horizontal="center"/>
    </xf>
    <xf borderId="0" fillId="0" fontId="7" numFmtId="0" xfId="0" applyAlignment="1" applyFont="1">
      <alignment horizontal="right" shrinkToFit="0" wrapText="1"/>
    </xf>
    <xf borderId="31" fillId="6" fontId="6" numFmtId="49" xfId="0" applyBorder="1" applyFill="1" applyFont="1" applyNumberFormat="1"/>
    <xf borderId="0" fillId="0" fontId="6" numFmtId="0" xfId="0" applyAlignment="1" applyFont="1">
      <alignment horizontal="left"/>
    </xf>
    <xf borderId="18" fillId="7" fontId="6" numFmtId="49" xfId="0" applyBorder="1" applyFill="1" applyFont="1" applyNumberFormat="1"/>
    <xf borderId="35" fillId="2" fontId="6" numFmtId="0" xfId="0" applyAlignment="1" applyBorder="1" applyFont="1">
      <alignment horizontal="center"/>
    </xf>
    <xf borderId="35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0" fillId="0" fontId="6" numFmtId="49" xfId="0" applyFont="1" applyNumberFormat="1"/>
    <xf borderId="0" fillId="0" fontId="7" numFmtId="0" xfId="0" applyAlignment="1" applyFont="1">
      <alignment horizontal="right"/>
    </xf>
    <xf borderId="32" fillId="0" fontId="8" numFmtId="0" xfId="0" applyAlignment="1" applyBorder="1" applyFont="1">
      <alignment horizontal="center"/>
    </xf>
    <xf borderId="58" fillId="0" fontId="6" numFmtId="49" xfId="0" applyAlignment="1" applyBorder="1" applyFont="1" applyNumberFormat="1">
      <alignment horizontal="left"/>
    </xf>
    <xf borderId="59" fillId="0" fontId="3" numFmtId="0" xfId="0" applyBorder="1" applyFont="1"/>
    <xf borderId="60" fillId="0" fontId="3" numFmtId="0" xfId="0" applyBorder="1" applyFont="1"/>
    <xf borderId="32" fillId="0" fontId="6" numFmtId="0" xfId="0" applyBorder="1" applyFont="1"/>
    <xf borderId="58" fillId="0" fontId="1" numFmtId="0" xfId="0" applyAlignment="1" applyBorder="1" applyFont="1">
      <alignment horizontal="left"/>
    </xf>
    <xf borderId="58" fillId="0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9933"/>
          <bgColor rgb="FFFF993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5.25"/>
    <col customWidth="1" min="3" max="3" width="25.25"/>
    <col customWidth="1" min="4" max="4" width="3.38"/>
    <col customWidth="1" min="5" max="5" width="2.88"/>
    <col customWidth="1" min="6" max="6" width="3.38"/>
    <col customWidth="1" min="7" max="7" width="2.88"/>
    <col customWidth="1" min="8" max="8" width="3.38"/>
    <col customWidth="1" min="9" max="9" width="2.88"/>
    <col customWidth="1" min="10" max="10" width="3.38"/>
    <col customWidth="1" min="11" max="11" width="2.88"/>
    <col customWidth="1" min="12" max="12" width="3.38"/>
    <col customWidth="1" min="13" max="13" width="2.88"/>
    <col customWidth="1" min="14" max="14" width="3.38"/>
    <col customWidth="1" min="15" max="15" width="2.88"/>
    <col customWidth="1" min="16" max="16" width="3.38"/>
    <col customWidth="1" min="17" max="17" width="2.88"/>
    <col customWidth="1" min="18" max="18" width="3.38"/>
    <col customWidth="1" min="19" max="19" width="2.88"/>
    <col customWidth="1" min="20" max="20" width="3.38"/>
    <col customWidth="1" min="21" max="21" width="2.88"/>
    <col customWidth="1" min="22" max="22" width="3.38"/>
    <col customWidth="1" min="23" max="24" width="2.88"/>
    <col customWidth="1" min="25" max="25" width="3.38"/>
    <col customWidth="1" min="26" max="26" width="2.88"/>
    <col customWidth="1" min="27" max="27" width="3.38"/>
    <col customWidth="1" min="28" max="28" width="2.88"/>
    <col customWidth="1" min="29" max="29" width="3.38"/>
    <col customWidth="1" min="30" max="30" width="2.88"/>
    <col customWidth="1" min="31" max="31" width="4.88"/>
    <col customWidth="1" min="32" max="32" width="5.88"/>
    <col customWidth="1" min="33" max="33" width="5.13"/>
    <col customWidth="1" min="34" max="34" width="3.75"/>
    <col customWidth="1" min="35" max="54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3"/>
      <c r="AH1" s="4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2"/>
      <c r="AG2" s="3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ht="19.5" customHeight="1">
      <c r="A4" s="8" t="s">
        <v>1</v>
      </c>
      <c r="B4" s="9"/>
      <c r="C4" s="10"/>
      <c r="D4" s="11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2" t="s">
        <v>2</v>
      </c>
      <c r="Q4" s="9"/>
      <c r="R4" s="9"/>
      <c r="S4" s="9"/>
      <c r="T4" s="9"/>
      <c r="U4" s="10"/>
      <c r="V4" s="13"/>
      <c r="W4" s="9"/>
      <c r="X4" s="9"/>
      <c r="Y4" s="9"/>
      <c r="Z4" s="9"/>
      <c r="AA4" s="9"/>
      <c r="AB4" s="10"/>
      <c r="AC4" s="14" t="s">
        <v>3</v>
      </c>
      <c r="AD4" s="9"/>
      <c r="AE4" s="10"/>
      <c r="AF4" s="15"/>
      <c r="AG4" s="9"/>
      <c r="AH4" s="10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>
      <c r="A5" s="8" t="s">
        <v>4</v>
      </c>
      <c r="B5" s="9"/>
      <c r="C5" s="10"/>
      <c r="D5" s="11"/>
      <c r="E5" s="9"/>
      <c r="F5" s="9"/>
      <c r="G5" s="9"/>
      <c r="H5" s="9"/>
      <c r="I5" s="9"/>
      <c r="J5" s="9"/>
      <c r="K5" s="10"/>
      <c r="L5" s="12" t="s">
        <v>5</v>
      </c>
      <c r="M5" s="9"/>
      <c r="N5" s="9"/>
      <c r="O5" s="10"/>
      <c r="P5" s="11"/>
      <c r="Q5" s="9"/>
      <c r="R5" s="9"/>
      <c r="S5" s="9"/>
      <c r="T5" s="9"/>
      <c r="U5" s="10"/>
      <c r="V5" s="12" t="s">
        <v>6</v>
      </c>
      <c r="W5" s="9"/>
      <c r="X5" s="9"/>
      <c r="Y5" s="9"/>
      <c r="Z5" s="9"/>
      <c r="AA5" s="9"/>
      <c r="AB5" s="10"/>
      <c r="AC5" s="13"/>
      <c r="AD5" s="9"/>
      <c r="AE5" s="9"/>
      <c r="AF5" s="9"/>
      <c r="AG5" s="9"/>
      <c r="AH5" s="10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ht="68.25" customHeight="1">
      <c r="A6" s="16"/>
      <c r="B6" s="17" t="s">
        <v>7</v>
      </c>
      <c r="C6" s="18" t="s">
        <v>8</v>
      </c>
      <c r="D6" s="19" t="s">
        <v>9</v>
      </c>
      <c r="E6" s="20"/>
      <c r="F6" s="19" t="s">
        <v>10</v>
      </c>
      <c r="G6" s="20"/>
      <c r="H6" s="21" t="s">
        <v>11</v>
      </c>
      <c r="I6" s="20"/>
      <c r="J6" s="19" t="s">
        <v>12</v>
      </c>
      <c r="K6" s="20"/>
      <c r="L6" s="19" t="s">
        <v>13</v>
      </c>
      <c r="M6" s="20"/>
      <c r="N6" s="19" t="s">
        <v>14</v>
      </c>
      <c r="O6" s="20"/>
      <c r="P6" s="21" t="s">
        <v>15</v>
      </c>
      <c r="Q6" s="20"/>
      <c r="R6" s="21" t="s">
        <v>16</v>
      </c>
      <c r="S6" s="20"/>
      <c r="T6" s="21" t="s">
        <v>17</v>
      </c>
      <c r="U6" s="20"/>
      <c r="V6" s="22" t="s">
        <v>18</v>
      </c>
      <c r="W6" s="23"/>
      <c r="X6" s="24"/>
      <c r="Y6" s="22" t="s">
        <v>19</v>
      </c>
      <c r="Z6" s="24"/>
      <c r="AA6" s="21" t="s">
        <v>20</v>
      </c>
      <c r="AB6" s="20"/>
      <c r="AC6" s="21" t="s">
        <v>21</v>
      </c>
      <c r="AD6" s="20"/>
      <c r="AE6" s="25" t="s">
        <v>22</v>
      </c>
      <c r="AF6" s="26" t="s">
        <v>23</v>
      </c>
      <c r="AG6" s="27" t="s">
        <v>24</v>
      </c>
      <c r="AH6" s="28" t="s">
        <v>25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ht="19.5" customHeight="1">
      <c r="A7" s="29"/>
      <c r="B7" s="30"/>
      <c r="C7" s="31" t="s">
        <v>26</v>
      </c>
      <c r="D7" s="32" t="s">
        <v>27</v>
      </c>
      <c r="E7" s="33" t="s">
        <v>28</v>
      </c>
      <c r="F7" s="32" t="s">
        <v>27</v>
      </c>
      <c r="G7" s="33" t="s">
        <v>28</v>
      </c>
      <c r="H7" s="32" t="s">
        <v>27</v>
      </c>
      <c r="I7" s="33" t="s">
        <v>28</v>
      </c>
      <c r="J7" s="32" t="s">
        <v>27</v>
      </c>
      <c r="K7" s="33" t="s">
        <v>28</v>
      </c>
      <c r="L7" s="32" t="s">
        <v>27</v>
      </c>
      <c r="M7" s="33" t="s">
        <v>28</v>
      </c>
      <c r="N7" s="32" t="s">
        <v>27</v>
      </c>
      <c r="O7" s="33" t="s">
        <v>28</v>
      </c>
      <c r="P7" s="32" t="s">
        <v>27</v>
      </c>
      <c r="Q7" s="33" t="s">
        <v>28</v>
      </c>
      <c r="R7" s="32" t="s">
        <v>27</v>
      </c>
      <c r="S7" s="33" t="s">
        <v>28</v>
      </c>
      <c r="T7" s="32" t="s">
        <v>27</v>
      </c>
      <c r="U7" s="33" t="s">
        <v>28</v>
      </c>
      <c r="V7" s="32" t="s">
        <v>27</v>
      </c>
      <c r="W7" s="33" t="s">
        <v>28</v>
      </c>
      <c r="X7" s="34" t="s">
        <v>29</v>
      </c>
      <c r="Y7" s="32" t="s">
        <v>27</v>
      </c>
      <c r="Z7" s="33" t="s">
        <v>28</v>
      </c>
      <c r="AA7" s="32" t="s">
        <v>27</v>
      </c>
      <c r="AB7" s="33" t="s">
        <v>28</v>
      </c>
      <c r="AC7" s="32" t="s">
        <v>27</v>
      </c>
      <c r="AD7" s="33" t="s">
        <v>28</v>
      </c>
      <c r="AE7" s="29"/>
      <c r="AF7" s="30"/>
      <c r="AG7" s="35"/>
      <c r="AH7" s="36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37">
        <v>1.0</v>
      </c>
      <c r="B8" s="38"/>
      <c r="C8" s="39"/>
      <c r="D8" s="40"/>
      <c r="E8" s="41" t="str">
        <f t="shared" ref="E8:E62" si="1">IF(D8="","",IF(D8="ab","ab",IF(D8&gt;=75,"A",(IF(D8&gt;=65,"B",IF(D8&gt;=50,"C",IF(D8&gt;=40,"S","W")))))))</f>
        <v/>
      </c>
      <c r="F8" s="40"/>
      <c r="G8" s="41" t="str">
        <f t="shared" ref="G8:G62" si="2">IF(F8="","",IF(F8="ab","ab",IF(F8&gt;=75,"A",(IF(F8&gt;=65,"B",IF(F8&gt;=50,"C",IF(F8&gt;=40,"S","W")))))))</f>
        <v/>
      </c>
      <c r="H8" s="40"/>
      <c r="I8" s="41" t="str">
        <f t="shared" ref="I8:I62" si="3">IF(H8="","",IF(H8="ab","ab",IF(H8&gt;=75,"A",(IF(H8&gt;=65,"B",IF(H8&gt;=50,"C",IF(H8&gt;=40,"S","W")))))))</f>
        <v/>
      </c>
      <c r="J8" s="40"/>
      <c r="K8" s="41" t="str">
        <f t="shared" ref="K8:K62" si="4">IF(J8="","",IF(J8="ab","ab",IF(J8&gt;=75,"A",(IF(J8&gt;=65,"B",IF(J8&gt;=50,"C",IF(J8&gt;=40,"S","W")))))))</f>
        <v/>
      </c>
      <c r="L8" s="40"/>
      <c r="M8" s="41" t="str">
        <f t="shared" ref="M8:M62" si="5">IF(L8="","",IF(L8="ab","ab",IF(L8&gt;=75,"A",(IF(L8&gt;=65,"B",IF(L8&gt;=50,"C",IF(L8&gt;=40,"S","W")))))))</f>
        <v/>
      </c>
      <c r="N8" s="40"/>
      <c r="O8" s="41" t="str">
        <f t="shared" ref="O8:O62" si="6">IF(N8="","",IF(N8="ab","ab",IF(N8&gt;=75,"A",(IF(N8&gt;=65,"B",IF(N8&gt;=50,"C",IF(N8&gt;=40,"S","W")))))))</f>
        <v/>
      </c>
      <c r="P8" s="40"/>
      <c r="Q8" s="41" t="str">
        <f t="shared" ref="Q8:Q62" si="7">IF(P8="","",IF(P8="ab","ab",IF(P8&gt;=75,"A",(IF(P8&gt;=65,"B",IF(P8&gt;=50,"C",IF(P8&gt;=40,"S","W")))))))</f>
        <v/>
      </c>
      <c r="R8" s="40"/>
      <c r="S8" s="41" t="str">
        <f t="shared" ref="S8:S62" si="8">IF(R8="","",IF(R8="ab","ab",IF(R8&gt;=75,"A",(IF(R8&gt;=65,"B",IF(R8&gt;=50,"C",IF(R8&gt;=40,"S","W")))))))</f>
        <v/>
      </c>
      <c r="T8" s="40"/>
      <c r="U8" s="42" t="str">
        <f t="shared" ref="U8:U62" si="9">IF(T8="","",IF(T8="ab","ab",IF(T8&gt;=75,"A",(IF(T8&gt;=65,"B",IF(T8&gt;=50,"C",IF(T8&gt;=40,"S","W")))))))</f>
        <v/>
      </c>
      <c r="V8" s="40"/>
      <c r="W8" s="43" t="str">
        <f t="shared" ref="W8:W62" si="10">IF(V8="","",IF(V8="ab","ab",IF(V8&gt;=75,"A",(IF(V8&gt;=65,"B",IF(V8&gt;=50,"C",IF(V8&gt;=40,"S","W")))))))</f>
        <v/>
      </c>
      <c r="X8" s="44"/>
      <c r="Y8" s="40"/>
      <c r="Z8" s="41" t="str">
        <f t="shared" ref="Z8:Z62" si="11">IF(Y8="","",IF(Y8="ab","ab",IF(Y8&gt;=75,"A",(IF(Y8&gt;=65,"B",IF(Y8&gt;=50,"C",IF(Y8&gt;=40,"S","W")))))))</f>
        <v/>
      </c>
      <c r="AA8" s="40"/>
      <c r="AB8" s="41" t="str">
        <f t="shared" ref="AB8:AB62" si="12">IF(AA8="","",IF(AA8="ab","ab",IF(AA8&gt;=75,"A",(IF(AA8&gt;=65,"B",IF(AA8&gt;=50,"C",IF(AA8&gt;=40,"S","W")))))))</f>
        <v/>
      </c>
      <c r="AC8" s="40"/>
      <c r="AD8" s="45" t="str">
        <f t="shared" ref="AD8:AD62" si="13">IF(AC8="","",IF(AC8="ab","ab",IF(AC8&gt;=75,"A",(IF(AC8&gt;=65,"B",IF(AC8&gt;=50,"C",IF(AC8&gt;=40,"S","W")))))))</f>
        <v/>
      </c>
      <c r="AE8" s="46" t="str">
        <f t="shared" ref="AE8:AE62" si="14">IF(AND(D8="",F8="",H8="",J8="",L8="",N8="",P8="",R8="",V8="",Y8="",AA8="",AC8=""),"",IF(AND(D8="ab",F8="ab",H8="ab",J8="ab",L8="ab",N8="ab",P8="ab",R8="ab",V8="ab",Y8="ab",AA8="ab",AC8="ab"),"ab",IF(COUNT(D8:AD8)=0,"",(SUM(D8:AC8)))))</f>
        <v/>
      </c>
      <c r="AF8" s="47" t="str">
        <f t="shared" ref="AF8:AF62" si="15">IF(AE8="","",IF(AE8="ab","ab",IF(AE8=0,0,(AVERAGE(D8:AC8)))))</f>
        <v/>
      </c>
      <c r="AG8" s="48" t="str">
        <f t="shared" ref="AG8:AG62" si="16">IF(AE8="","",IF(AE8="ab","ab",(RANK(AE8,$AE$8:$AE$62))))</f>
        <v/>
      </c>
      <c r="AH8" s="49" t="str">
        <f t="shared" ref="AH8:AH62" si="17">IF(AE8="","",IF(AE8="ab","ab",IF(AF8&gt;=40,"P","F")))</f>
        <v/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</row>
    <row r="9">
      <c r="A9" s="51">
        <v>2.0</v>
      </c>
      <c r="B9" s="52"/>
      <c r="C9" s="53"/>
      <c r="D9" s="40"/>
      <c r="E9" s="41" t="str">
        <f t="shared" si="1"/>
        <v/>
      </c>
      <c r="F9" s="40"/>
      <c r="G9" s="41" t="str">
        <f t="shared" si="2"/>
        <v/>
      </c>
      <c r="H9" s="40"/>
      <c r="I9" s="41" t="str">
        <f t="shared" si="3"/>
        <v/>
      </c>
      <c r="J9" s="40"/>
      <c r="K9" s="41" t="str">
        <f t="shared" si="4"/>
        <v/>
      </c>
      <c r="L9" s="40"/>
      <c r="M9" s="41" t="str">
        <f t="shared" si="5"/>
        <v/>
      </c>
      <c r="N9" s="40"/>
      <c r="O9" s="41" t="str">
        <f t="shared" si="6"/>
        <v/>
      </c>
      <c r="P9" s="40"/>
      <c r="Q9" s="41" t="str">
        <f t="shared" si="7"/>
        <v/>
      </c>
      <c r="R9" s="40"/>
      <c r="S9" s="41" t="str">
        <f t="shared" si="8"/>
        <v/>
      </c>
      <c r="T9" s="40"/>
      <c r="U9" s="42" t="str">
        <f t="shared" si="9"/>
        <v/>
      </c>
      <c r="V9" s="54"/>
      <c r="W9" s="55" t="str">
        <f t="shared" si="10"/>
        <v/>
      </c>
      <c r="X9" s="56"/>
      <c r="Y9" s="57"/>
      <c r="Z9" s="41" t="str">
        <f t="shared" si="11"/>
        <v/>
      </c>
      <c r="AA9" s="40"/>
      <c r="AB9" s="41" t="str">
        <f t="shared" si="12"/>
        <v/>
      </c>
      <c r="AC9" s="40"/>
      <c r="AD9" s="45" t="str">
        <f t="shared" si="13"/>
        <v/>
      </c>
      <c r="AE9" s="46" t="str">
        <f t="shared" si="14"/>
        <v/>
      </c>
      <c r="AF9" s="47" t="str">
        <f t="shared" si="15"/>
        <v/>
      </c>
      <c r="AG9" s="48" t="str">
        <f t="shared" si="16"/>
        <v/>
      </c>
      <c r="AH9" s="49" t="str">
        <f t="shared" si="17"/>
        <v/>
      </c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</row>
    <row r="10">
      <c r="A10" s="51">
        <v>3.0</v>
      </c>
      <c r="B10" s="52"/>
      <c r="C10" s="53"/>
      <c r="D10" s="40"/>
      <c r="E10" s="41" t="str">
        <f t="shared" si="1"/>
        <v/>
      </c>
      <c r="F10" s="40"/>
      <c r="G10" s="41" t="str">
        <f t="shared" si="2"/>
        <v/>
      </c>
      <c r="H10" s="40"/>
      <c r="I10" s="41" t="str">
        <f t="shared" si="3"/>
        <v/>
      </c>
      <c r="J10" s="40"/>
      <c r="K10" s="41" t="str">
        <f t="shared" si="4"/>
        <v/>
      </c>
      <c r="L10" s="40"/>
      <c r="M10" s="41" t="str">
        <f t="shared" si="5"/>
        <v/>
      </c>
      <c r="N10" s="40"/>
      <c r="O10" s="41" t="str">
        <f t="shared" si="6"/>
        <v/>
      </c>
      <c r="P10" s="40"/>
      <c r="Q10" s="41" t="str">
        <f t="shared" si="7"/>
        <v/>
      </c>
      <c r="R10" s="40"/>
      <c r="S10" s="41" t="str">
        <f t="shared" si="8"/>
        <v/>
      </c>
      <c r="T10" s="40"/>
      <c r="U10" s="42" t="str">
        <f t="shared" si="9"/>
        <v/>
      </c>
      <c r="V10" s="54"/>
      <c r="W10" s="55" t="str">
        <f t="shared" si="10"/>
        <v/>
      </c>
      <c r="X10" s="56"/>
      <c r="Y10" s="57"/>
      <c r="Z10" s="41" t="str">
        <f t="shared" si="11"/>
        <v/>
      </c>
      <c r="AA10" s="40"/>
      <c r="AB10" s="41" t="str">
        <f t="shared" si="12"/>
        <v/>
      </c>
      <c r="AC10" s="40"/>
      <c r="AD10" s="45" t="str">
        <f t="shared" si="13"/>
        <v/>
      </c>
      <c r="AE10" s="46" t="str">
        <f t="shared" si="14"/>
        <v/>
      </c>
      <c r="AF10" s="47" t="str">
        <f t="shared" si="15"/>
        <v/>
      </c>
      <c r="AG10" s="48" t="str">
        <f t="shared" si="16"/>
        <v/>
      </c>
      <c r="AH10" s="49" t="str">
        <f t="shared" si="17"/>
        <v/>
      </c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</row>
    <row r="11">
      <c r="A11" s="51">
        <v>4.0</v>
      </c>
      <c r="B11" s="52"/>
      <c r="C11" s="53"/>
      <c r="D11" s="40"/>
      <c r="E11" s="41" t="str">
        <f t="shared" si="1"/>
        <v/>
      </c>
      <c r="F11" s="40"/>
      <c r="G11" s="41" t="str">
        <f t="shared" si="2"/>
        <v/>
      </c>
      <c r="H11" s="40"/>
      <c r="I11" s="41" t="str">
        <f t="shared" si="3"/>
        <v/>
      </c>
      <c r="J11" s="40"/>
      <c r="K11" s="41" t="str">
        <f t="shared" si="4"/>
        <v/>
      </c>
      <c r="L11" s="40"/>
      <c r="M11" s="41" t="str">
        <f t="shared" si="5"/>
        <v/>
      </c>
      <c r="N11" s="40"/>
      <c r="O11" s="41" t="str">
        <f t="shared" si="6"/>
        <v/>
      </c>
      <c r="P11" s="40"/>
      <c r="Q11" s="41" t="str">
        <f t="shared" si="7"/>
        <v/>
      </c>
      <c r="R11" s="40"/>
      <c r="S11" s="41" t="str">
        <f t="shared" si="8"/>
        <v/>
      </c>
      <c r="T11" s="40"/>
      <c r="U11" s="42" t="str">
        <f t="shared" si="9"/>
        <v/>
      </c>
      <c r="V11" s="54"/>
      <c r="W11" s="55" t="str">
        <f t="shared" si="10"/>
        <v/>
      </c>
      <c r="X11" s="56"/>
      <c r="Y11" s="57"/>
      <c r="Z11" s="41" t="str">
        <f t="shared" si="11"/>
        <v/>
      </c>
      <c r="AA11" s="40"/>
      <c r="AB11" s="41" t="str">
        <f t="shared" si="12"/>
        <v/>
      </c>
      <c r="AC11" s="40"/>
      <c r="AD11" s="45" t="str">
        <f t="shared" si="13"/>
        <v/>
      </c>
      <c r="AE11" s="46" t="str">
        <f t="shared" si="14"/>
        <v/>
      </c>
      <c r="AF11" s="47" t="str">
        <f t="shared" si="15"/>
        <v/>
      </c>
      <c r="AG11" s="48" t="str">
        <f t="shared" si="16"/>
        <v/>
      </c>
      <c r="AH11" s="49" t="str">
        <f t="shared" si="17"/>
        <v/>
      </c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</row>
    <row r="12">
      <c r="A12" s="51">
        <v>5.0</v>
      </c>
      <c r="B12" s="52"/>
      <c r="C12" s="53"/>
      <c r="D12" s="40"/>
      <c r="E12" s="41" t="str">
        <f t="shared" si="1"/>
        <v/>
      </c>
      <c r="F12" s="40"/>
      <c r="G12" s="41" t="str">
        <f t="shared" si="2"/>
        <v/>
      </c>
      <c r="H12" s="40"/>
      <c r="I12" s="41" t="str">
        <f t="shared" si="3"/>
        <v/>
      </c>
      <c r="J12" s="40"/>
      <c r="K12" s="41" t="str">
        <f t="shared" si="4"/>
        <v/>
      </c>
      <c r="L12" s="40"/>
      <c r="M12" s="41" t="str">
        <f t="shared" si="5"/>
        <v/>
      </c>
      <c r="N12" s="40"/>
      <c r="O12" s="41" t="str">
        <f t="shared" si="6"/>
        <v/>
      </c>
      <c r="P12" s="40"/>
      <c r="Q12" s="41" t="str">
        <f t="shared" si="7"/>
        <v/>
      </c>
      <c r="R12" s="40"/>
      <c r="S12" s="41" t="str">
        <f t="shared" si="8"/>
        <v/>
      </c>
      <c r="T12" s="40"/>
      <c r="U12" s="42" t="str">
        <f t="shared" si="9"/>
        <v/>
      </c>
      <c r="V12" s="54"/>
      <c r="W12" s="55" t="str">
        <f t="shared" si="10"/>
        <v/>
      </c>
      <c r="X12" s="56"/>
      <c r="Y12" s="57"/>
      <c r="Z12" s="41" t="str">
        <f t="shared" si="11"/>
        <v/>
      </c>
      <c r="AA12" s="40"/>
      <c r="AB12" s="41" t="str">
        <f t="shared" si="12"/>
        <v/>
      </c>
      <c r="AC12" s="40"/>
      <c r="AD12" s="45" t="str">
        <f t="shared" si="13"/>
        <v/>
      </c>
      <c r="AE12" s="46" t="str">
        <f t="shared" si="14"/>
        <v/>
      </c>
      <c r="AF12" s="47" t="str">
        <f t="shared" si="15"/>
        <v/>
      </c>
      <c r="AG12" s="48" t="str">
        <f t="shared" si="16"/>
        <v/>
      </c>
      <c r="AH12" s="49" t="str">
        <f t="shared" si="17"/>
        <v/>
      </c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</row>
    <row r="13">
      <c r="A13" s="51">
        <v>6.0</v>
      </c>
      <c r="B13" s="52"/>
      <c r="C13" s="53"/>
      <c r="D13" s="40"/>
      <c r="E13" s="41" t="str">
        <f t="shared" si="1"/>
        <v/>
      </c>
      <c r="F13" s="40"/>
      <c r="G13" s="41" t="str">
        <f t="shared" si="2"/>
        <v/>
      </c>
      <c r="H13" s="40"/>
      <c r="I13" s="41" t="str">
        <f t="shared" si="3"/>
        <v/>
      </c>
      <c r="J13" s="40"/>
      <c r="K13" s="41" t="str">
        <f t="shared" si="4"/>
        <v/>
      </c>
      <c r="L13" s="40"/>
      <c r="M13" s="41" t="str">
        <f t="shared" si="5"/>
        <v/>
      </c>
      <c r="N13" s="40"/>
      <c r="O13" s="41" t="str">
        <f t="shared" si="6"/>
        <v/>
      </c>
      <c r="P13" s="40"/>
      <c r="Q13" s="41" t="str">
        <f t="shared" si="7"/>
        <v/>
      </c>
      <c r="R13" s="40"/>
      <c r="S13" s="41" t="str">
        <f t="shared" si="8"/>
        <v/>
      </c>
      <c r="T13" s="40"/>
      <c r="U13" s="42" t="str">
        <f t="shared" si="9"/>
        <v/>
      </c>
      <c r="V13" s="54"/>
      <c r="W13" s="55" t="str">
        <f t="shared" si="10"/>
        <v/>
      </c>
      <c r="X13" s="56"/>
      <c r="Y13" s="57"/>
      <c r="Z13" s="41" t="str">
        <f t="shared" si="11"/>
        <v/>
      </c>
      <c r="AA13" s="40"/>
      <c r="AB13" s="41" t="str">
        <f t="shared" si="12"/>
        <v/>
      </c>
      <c r="AC13" s="40"/>
      <c r="AD13" s="45" t="str">
        <f t="shared" si="13"/>
        <v/>
      </c>
      <c r="AE13" s="46" t="str">
        <f t="shared" si="14"/>
        <v/>
      </c>
      <c r="AF13" s="47" t="str">
        <f t="shared" si="15"/>
        <v/>
      </c>
      <c r="AG13" s="48" t="str">
        <f t="shared" si="16"/>
        <v/>
      </c>
      <c r="AH13" s="49" t="str">
        <f t="shared" si="17"/>
        <v/>
      </c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</row>
    <row r="14">
      <c r="A14" s="51">
        <v>7.0</v>
      </c>
      <c r="B14" s="52"/>
      <c r="C14" s="53"/>
      <c r="D14" s="40"/>
      <c r="E14" s="41" t="str">
        <f t="shared" si="1"/>
        <v/>
      </c>
      <c r="F14" s="40"/>
      <c r="G14" s="41" t="str">
        <f t="shared" si="2"/>
        <v/>
      </c>
      <c r="H14" s="40"/>
      <c r="I14" s="41" t="str">
        <f t="shared" si="3"/>
        <v/>
      </c>
      <c r="J14" s="40"/>
      <c r="K14" s="41" t="str">
        <f t="shared" si="4"/>
        <v/>
      </c>
      <c r="L14" s="40"/>
      <c r="M14" s="41" t="str">
        <f t="shared" si="5"/>
        <v/>
      </c>
      <c r="N14" s="40"/>
      <c r="O14" s="41" t="str">
        <f t="shared" si="6"/>
        <v/>
      </c>
      <c r="P14" s="40"/>
      <c r="Q14" s="41" t="str">
        <f t="shared" si="7"/>
        <v/>
      </c>
      <c r="R14" s="40"/>
      <c r="S14" s="41" t="str">
        <f t="shared" si="8"/>
        <v/>
      </c>
      <c r="T14" s="40"/>
      <c r="U14" s="42" t="str">
        <f t="shared" si="9"/>
        <v/>
      </c>
      <c r="V14" s="54"/>
      <c r="W14" s="55" t="str">
        <f t="shared" si="10"/>
        <v/>
      </c>
      <c r="X14" s="56"/>
      <c r="Y14" s="57"/>
      <c r="Z14" s="41" t="str">
        <f t="shared" si="11"/>
        <v/>
      </c>
      <c r="AA14" s="40"/>
      <c r="AB14" s="41" t="str">
        <f t="shared" si="12"/>
        <v/>
      </c>
      <c r="AC14" s="40"/>
      <c r="AD14" s="45" t="str">
        <f t="shared" si="13"/>
        <v/>
      </c>
      <c r="AE14" s="46" t="str">
        <f t="shared" si="14"/>
        <v/>
      </c>
      <c r="AF14" s="47" t="str">
        <f t="shared" si="15"/>
        <v/>
      </c>
      <c r="AG14" s="48" t="str">
        <f t="shared" si="16"/>
        <v/>
      </c>
      <c r="AH14" s="49" t="str">
        <f t="shared" si="17"/>
        <v/>
      </c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</row>
    <row r="15">
      <c r="A15" s="51">
        <v>8.0</v>
      </c>
      <c r="B15" s="52"/>
      <c r="C15" s="53"/>
      <c r="D15" s="40"/>
      <c r="E15" s="41" t="str">
        <f t="shared" si="1"/>
        <v/>
      </c>
      <c r="F15" s="40"/>
      <c r="G15" s="41" t="str">
        <f t="shared" si="2"/>
        <v/>
      </c>
      <c r="H15" s="40"/>
      <c r="I15" s="41" t="str">
        <f t="shared" si="3"/>
        <v/>
      </c>
      <c r="J15" s="40"/>
      <c r="K15" s="41" t="str">
        <f t="shared" si="4"/>
        <v/>
      </c>
      <c r="L15" s="40"/>
      <c r="M15" s="41" t="str">
        <f t="shared" si="5"/>
        <v/>
      </c>
      <c r="N15" s="40"/>
      <c r="O15" s="41" t="str">
        <f t="shared" si="6"/>
        <v/>
      </c>
      <c r="P15" s="40"/>
      <c r="Q15" s="41" t="str">
        <f t="shared" si="7"/>
        <v/>
      </c>
      <c r="R15" s="40"/>
      <c r="S15" s="41" t="str">
        <f t="shared" si="8"/>
        <v/>
      </c>
      <c r="T15" s="40"/>
      <c r="U15" s="42" t="str">
        <f t="shared" si="9"/>
        <v/>
      </c>
      <c r="V15" s="54"/>
      <c r="W15" s="55" t="str">
        <f t="shared" si="10"/>
        <v/>
      </c>
      <c r="X15" s="56"/>
      <c r="Y15" s="57"/>
      <c r="Z15" s="41" t="str">
        <f t="shared" si="11"/>
        <v/>
      </c>
      <c r="AA15" s="40"/>
      <c r="AB15" s="41" t="str">
        <f t="shared" si="12"/>
        <v/>
      </c>
      <c r="AC15" s="40"/>
      <c r="AD15" s="45" t="str">
        <f t="shared" si="13"/>
        <v/>
      </c>
      <c r="AE15" s="46" t="str">
        <f t="shared" si="14"/>
        <v/>
      </c>
      <c r="AF15" s="47" t="str">
        <f t="shared" si="15"/>
        <v/>
      </c>
      <c r="AG15" s="48" t="str">
        <f t="shared" si="16"/>
        <v/>
      </c>
      <c r="AH15" s="49" t="str">
        <f t="shared" si="17"/>
        <v/>
      </c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</row>
    <row r="16">
      <c r="A16" s="51">
        <v>9.0</v>
      </c>
      <c r="B16" s="52"/>
      <c r="C16" s="53"/>
      <c r="D16" s="40"/>
      <c r="E16" s="41" t="str">
        <f t="shared" si="1"/>
        <v/>
      </c>
      <c r="F16" s="40"/>
      <c r="G16" s="41" t="str">
        <f t="shared" si="2"/>
        <v/>
      </c>
      <c r="H16" s="40"/>
      <c r="I16" s="41" t="str">
        <f t="shared" si="3"/>
        <v/>
      </c>
      <c r="J16" s="40"/>
      <c r="K16" s="41" t="str">
        <f t="shared" si="4"/>
        <v/>
      </c>
      <c r="L16" s="40"/>
      <c r="M16" s="41" t="str">
        <f t="shared" si="5"/>
        <v/>
      </c>
      <c r="N16" s="40"/>
      <c r="O16" s="41" t="str">
        <f t="shared" si="6"/>
        <v/>
      </c>
      <c r="P16" s="40"/>
      <c r="Q16" s="41" t="str">
        <f t="shared" si="7"/>
        <v/>
      </c>
      <c r="R16" s="40"/>
      <c r="S16" s="41" t="str">
        <f t="shared" si="8"/>
        <v/>
      </c>
      <c r="T16" s="40"/>
      <c r="U16" s="42" t="str">
        <f t="shared" si="9"/>
        <v/>
      </c>
      <c r="V16" s="54"/>
      <c r="W16" s="55" t="str">
        <f t="shared" si="10"/>
        <v/>
      </c>
      <c r="X16" s="56"/>
      <c r="Y16" s="57"/>
      <c r="Z16" s="41" t="str">
        <f t="shared" si="11"/>
        <v/>
      </c>
      <c r="AA16" s="40"/>
      <c r="AB16" s="41" t="str">
        <f t="shared" si="12"/>
        <v/>
      </c>
      <c r="AC16" s="40"/>
      <c r="AD16" s="45" t="str">
        <f t="shared" si="13"/>
        <v/>
      </c>
      <c r="AE16" s="46" t="str">
        <f t="shared" si="14"/>
        <v/>
      </c>
      <c r="AF16" s="47" t="str">
        <f t="shared" si="15"/>
        <v/>
      </c>
      <c r="AG16" s="48" t="str">
        <f t="shared" si="16"/>
        <v/>
      </c>
      <c r="AH16" s="49" t="str">
        <f t="shared" si="17"/>
        <v/>
      </c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</row>
    <row r="17">
      <c r="A17" s="51">
        <v>10.0</v>
      </c>
      <c r="B17" s="52"/>
      <c r="C17" s="53"/>
      <c r="D17" s="40"/>
      <c r="E17" s="41" t="str">
        <f t="shared" si="1"/>
        <v/>
      </c>
      <c r="F17" s="40"/>
      <c r="G17" s="41" t="str">
        <f t="shared" si="2"/>
        <v/>
      </c>
      <c r="H17" s="40"/>
      <c r="I17" s="41" t="str">
        <f t="shared" si="3"/>
        <v/>
      </c>
      <c r="J17" s="40"/>
      <c r="K17" s="41" t="str">
        <f t="shared" si="4"/>
        <v/>
      </c>
      <c r="L17" s="40"/>
      <c r="M17" s="41" t="str">
        <f t="shared" si="5"/>
        <v/>
      </c>
      <c r="N17" s="40"/>
      <c r="O17" s="41" t="str">
        <f t="shared" si="6"/>
        <v/>
      </c>
      <c r="P17" s="40"/>
      <c r="Q17" s="41" t="str">
        <f t="shared" si="7"/>
        <v/>
      </c>
      <c r="R17" s="40"/>
      <c r="S17" s="41" t="str">
        <f t="shared" si="8"/>
        <v/>
      </c>
      <c r="T17" s="40"/>
      <c r="U17" s="42" t="str">
        <f t="shared" si="9"/>
        <v/>
      </c>
      <c r="V17" s="54"/>
      <c r="W17" s="55" t="str">
        <f t="shared" si="10"/>
        <v/>
      </c>
      <c r="X17" s="56"/>
      <c r="Y17" s="57"/>
      <c r="Z17" s="41" t="str">
        <f t="shared" si="11"/>
        <v/>
      </c>
      <c r="AA17" s="40"/>
      <c r="AB17" s="41" t="str">
        <f t="shared" si="12"/>
        <v/>
      </c>
      <c r="AC17" s="40"/>
      <c r="AD17" s="45" t="str">
        <f t="shared" si="13"/>
        <v/>
      </c>
      <c r="AE17" s="46" t="str">
        <f t="shared" si="14"/>
        <v/>
      </c>
      <c r="AF17" s="47" t="str">
        <f t="shared" si="15"/>
        <v/>
      </c>
      <c r="AG17" s="48" t="str">
        <f t="shared" si="16"/>
        <v/>
      </c>
      <c r="AH17" s="49" t="str">
        <f t="shared" si="17"/>
        <v/>
      </c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</row>
    <row r="18">
      <c r="A18" s="51">
        <v>11.0</v>
      </c>
      <c r="B18" s="52"/>
      <c r="C18" s="53"/>
      <c r="D18" s="40"/>
      <c r="E18" s="41" t="str">
        <f t="shared" si="1"/>
        <v/>
      </c>
      <c r="F18" s="40"/>
      <c r="G18" s="41" t="str">
        <f t="shared" si="2"/>
        <v/>
      </c>
      <c r="H18" s="40"/>
      <c r="I18" s="41" t="str">
        <f t="shared" si="3"/>
        <v/>
      </c>
      <c r="J18" s="40"/>
      <c r="K18" s="41" t="str">
        <f t="shared" si="4"/>
        <v/>
      </c>
      <c r="L18" s="40"/>
      <c r="M18" s="41" t="str">
        <f t="shared" si="5"/>
        <v/>
      </c>
      <c r="N18" s="40"/>
      <c r="O18" s="41" t="str">
        <f t="shared" si="6"/>
        <v/>
      </c>
      <c r="P18" s="40"/>
      <c r="Q18" s="41" t="str">
        <f t="shared" si="7"/>
        <v/>
      </c>
      <c r="R18" s="40"/>
      <c r="S18" s="41" t="str">
        <f t="shared" si="8"/>
        <v/>
      </c>
      <c r="T18" s="40"/>
      <c r="U18" s="42" t="str">
        <f t="shared" si="9"/>
        <v/>
      </c>
      <c r="V18" s="54"/>
      <c r="W18" s="55" t="str">
        <f t="shared" si="10"/>
        <v/>
      </c>
      <c r="X18" s="56"/>
      <c r="Y18" s="57"/>
      <c r="Z18" s="41" t="str">
        <f t="shared" si="11"/>
        <v/>
      </c>
      <c r="AA18" s="40"/>
      <c r="AB18" s="41" t="str">
        <f t="shared" si="12"/>
        <v/>
      </c>
      <c r="AC18" s="40"/>
      <c r="AD18" s="45" t="str">
        <f t="shared" si="13"/>
        <v/>
      </c>
      <c r="AE18" s="46" t="str">
        <f t="shared" si="14"/>
        <v/>
      </c>
      <c r="AF18" s="47" t="str">
        <f t="shared" si="15"/>
        <v/>
      </c>
      <c r="AG18" s="48" t="str">
        <f t="shared" si="16"/>
        <v/>
      </c>
      <c r="AH18" s="49" t="str">
        <f t="shared" si="17"/>
        <v/>
      </c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</row>
    <row r="19">
      <c r="A19" s="51">
        <v>12.0</v>
      </c>
      <c r="B19" s="52"/>
      <c r="C19" s="53"/>
      <c r="D19" s="40"/>
      <c r="E19" s="41" t="str">
        <f t="shared" si="1"/>
        <v/>
      </c>
      <c r="F19" s="40"/>
      <c r="G19" s="41" t="str">
        <f t="shared" si="2"/>
        <v/>
      </c>
      <c r="H19" s="40"/>
      <c r="I19" s="41" t="str">
        <f t="shared" si="3"/>
        <v/>
      </c>
      <c r="J19" s="40"/>
      <c r="K19" s="41" t="str">
        <f t="shared" si="4"/>
        <v/>
      </c>
      <c r="L19" s="40"/>
      <c r="M19" s="41" t="str">
        <f t="shared" si="5"/>
        <v/>
      </c>
      <c r="N19" s="40"/>
      <c r="O19" s="41" t="str">
        <f t="shared" si="6"/>
        <v/>
      </c>
      <c r="P19" s="40"/>
      <c r="Q19" s="41" t="str">
        <f t="shared" si="7"/>
        <v/>
      </c>
      <c r="R19" s="40"/>
      <c r="S19" s="41" t="str">
        <f t="shared" si="8"/>
        <v/>
      </c>
      <c r="T19" s="40"/>
      <c r="U19" s="42" t="str">
        <f t="shared" si="9"/>
        <v/>
      </c>
      <c r="V19" s="54"/>
      <c r="W19" s="55" t="str">
        <f t="shared" si="10"/>
        <v/>
      </c>
      <c r="X19" s="56"/>
      <c r="Y19" s="57"/>
      <c r="Z19" s="41" t="str">
        <f t="shared" si="11"/>
        <v/>
      </c>
      <c r="AA19" s="40"/>
      <c r="AB19" s="41" t="str">
        <f t="shared" si="12"/>
        <v/>
      </c>
      <c r="AC19" s="40"/>
      <c r="AD19" s="45" t="str">
        <f t="shared" si="13"/>
        <v/>
      </c>
      <c r="AE19" s="46" t="str">
        <f t="shared" si="14"/>
        <v/>
      </c>
      <c r="AF19" s="47" t="str">
        <f t="shared" si="15"/>
        <v/>
      </c>
      <c r="AG19" s="48" t="str">
        <f t="shared" si="16"/>
        <v/>
      </c>
      <c r="AH19" s="49" t="str">
        <f t="shared" si="17"/>
        <v/>
      </c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</row>
    <row r="20">
      <c r="A20" s="51">
        <v>13.0</v>
      </c>
      <c r="B20" s="52"/>
      <c r="C20" s="53"/>
      <c r="D20" s="40"/>
      <c r="E20" s="41" t="str">
        <f t="shared" si="1"/>
        <v/>
      </c>
      <c r="F20" s="40"/>
      <c r="G20" s="41" t="str">
        <f t="shared" si="2"/>
        <v/>
      </c>
      <c r="H20" s="40"/>
      <c r="I20" s="41" t="str">
        <f t="shared" si="3"/>
        <v/>
      </c>
      <c r="J20" s="40"/>
      <c r="K20" s="41" t="str">
        <f t="shared" si="4"/>
        <v/>
      </c>
      <c r="L20" s="40"/>
      <c r="M20" s="41" t="str">
        <f t="shared" si="5"/>
        <v/>
      </c>
      <c r="N20" s="40"/>
      <c r="O20" s="41" t="str">
        <f t="shared" si="6"/>
        <v/>
      </c>
      <c r="P20" s="40"/>
      <c r="Q20" s="41" t="str">
        <f t="shared" si="7"/>
        <v/>
      </c>
      <c r="R20" s="40"/>
      <c r="S20" s="41" t="str">
        <f t="shared" si="8"/>
        <v/>
      </c>
      <c r="T20" s="40"/>
      <c r="U20" s="42" t="str">
        <f t="shared" si="9"/>
        <v/>
      </c>
      <c r="V20" s="54"/>
      <c r="W20" s="55" t="str">
        <f t="shared" si="10"/>
        <v/>
      </c>
      <c r="X20" s="56"/>
      <c r="Y20" s="57"/>
      <c r="Z20" s="41" t="str">
        <f t="shared" si="11"/>
        <v/>
      </c>
      <c r="AA20" s="40"/>
      <c r="AB20" s="41" t="str">
        <f t="shared" si="12"/>
        <v/>
      </c>
      <c r="AC20" s="40"/>
      <c r="AD20" s="45" t="str">
        <f t="shared" si="13"/>
        <v/>
      </c>
      <c r="AE20" s="46" t="str">
        <f t="shared" si="14"/>
        <v/>
      </c>
      <c r="AF20" s="47" t="str">
        <f t="shared" si="15"/>
        <v/>
      </c>
      <c r="AG20" s="48" t="str">
        <f t="shared" si="16"/>
        <v/>
      </c>
      <c r="AH20" s="49" t="str">
        <f t="shared" si="17"/>
        <v/>
      </c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</row>
    <row r="21" ht="15.75" customHeight="1">
      <c r="A21" s="51">
        <v>14.0</v>
      </c>
      <c r="B21" s="52"/>
      <c r="C21" s="53"/>
      <c r="D21" s="40"/>
      <c r="E21" s="41" t="str">
        <f t="shared" si="1"/>
        <v/>
      </c>
      <c r="F21" s="40"/>
      <c r="G21" s="41" t="str">
        <f t="shared" si="2"/>
        <v/>
      </c>
      <c r="H21" s="40"/>
      <c r="I21" s="41" t="str">
        <f t="shared" si="3"/>
        <v/>
      </c>
      <c r="J21" s="40"/>
      <c r="K21" s="41" t="str">
        <f t="shared" si="4"/>
        <v/>
      </c>
      <c r="L21" s="40"/>
      <c r="M21" s="41" t="str">
        <f t="shared" si="5"/>
        <v/>
      </c>
      <c r="N21" s="40"/>
      <c r="O21" s="41" t="str">
        <f t="shared" si="6"/>
        <v/>
      </c>
      <c r="P21" s="40"/>
      <c r="Q21" s="41" t="str">
        <f t="shared" si="7"/>
        <v/>
      </c>
      <c r="R21" s="40"/>
      <c r="S21" s="41" t="str">
        <f t="shared" si="8"/>
        <v/>
      </c>
      <c r="T21" s="40"/>
      <c r="U21" s="42" t="str">
        <f t="shared" si="9"/>
        <v/>
      </c>
      <c r="V21" s="54"/>
      <c r="W21" s="55" t="str">
        <f t="shared" si="10"/>
        <v/>
      </c>
      <c r="X21" s="56"/>
      <c r="Y21" s="57"/>
      <c r="Z21" s="41" t="str">
        <f t="shared" si="11"/>
        <v/>
      </c>
      <c r="AA21" s="40"/>
      <c r="AB21" s="41" t="str">
        <f t="shared" si="12"/>
        <v/>
      </c>
      <c r="AC21" s="40"/>
      <c r="AD21" s="45" t="str">
        <f t="shared" si="13"/>
        <v/>
      </c>
      <c r="AE21" s="46" t="str">
        <f t="shared" si="14"/>
        <v/>
      </c>
      <c r="AF21" s="47" t="str">
        <f t="shared" si="15"/>
        <v/>
      </c>
      <c r="AG21" s="48" t="str">
        <f t="shared" si="16"/>
        <v/>
      </c>
      <c r="AH21" s="49" t="str">
        <f t="shared" si="17"/>
        <v/>
      </c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</row>
    <row r="22" ht="15.75" customHeight="1">
      <c r="A22" s="51">
        <v>15.0</v>
      </c>
      <c r="B22" s="52"/>
      <c r="C22" s="53"/>
      <c r="D22" s="40"/>
      <c r="E22" s="41" t="str">
        <f t="shared" si="1"/>
        <v/>
      </c>
      <c r="F22" s="40"/>
      <c r="G22" s="41" t="str">
        <f t="shared" si="2"/>
        <v/>
      </c>
      <c r="H22" s="40"/>
      <c r="I22" s="41" t="str">
        <f t="shared" si="3"/>
        <v/>
      </c>
      <c r="J22" s="40"/>
      <c r="K22" s="41" t="str">
        <f t="shared" si="4"/>
        <v/>
      </c>
      <c r="L22" s="40"/>
      <c r="M22" s="41" t="str">
        <f t="shared" si="5"/>
        <v/>
      </c>
      <c r="N22" s="40"/>
      <c r="O22" s="41" t="str">
        <f t="shared" si="6"/>
        <v/>
      </c>
      <c r="P22" s="40"/>
      <c r="Q22" s="41" t="str">
        <f t="shared" si="7"/>
        <v/>
      </c>
      <c r="R22" s="40"/>
      <c r="S22" s="41" t="str">
        <f t="shared" si="8"/>
        <v/>
      </c>
      <c r="T22" s="40"/>
      <c r="U22" s="42" t="str">
        <f t="shared" si="9"/>
        <v/>
      </c>
      <c r="V22" s="54"/>
      <c r="W22" s="55" t="str">
        <f t="shared" si="10"/>
        <v/>
      </c>
      <c r="X22" s="56"/>
      <c r="Y22" s="57"/>
      <c r="Z22" s="41" t="str">
        <f t="shared" si="11"/>
        <v/>
      </c>
      <c r="AA22" s="40"/>
      <c r="AB22" s="41" t="str">
        <f t="shared" si="12"/>
        <v/>
      </c>
      <c r="AC22" s="40"/>
      <c r="AD22" s="45" t="str">
        <f t="shared" si="13"/>
        <v/>
      </c>
      <c r="AE22" s="46" t="str">
        <f t="shared" si="14"/>
        <v/>
      </c>
      <c r="AF22" s="47" t="str">
        <f t="shared" si="15"/>
        <v/>
      </c>
      <c r="AG22" s="48" t="str">
        <f t="shared" si="16"/>
        <v/>
      </c>
      <c r="AH22" s="49" t="str">
        <f t="shared" si="17"/>
        <v/>
      </c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</row>
    <row r="23" ht="15.75" customHeight="1">
      <c r="A23" s="51">
        <v>16.0</v>
      </c>
      <c r="B23" s="52"/>
      <c r="C23" s="53"/>
      <c r="D23" s="40"/>
      <c r="E23" s="41" t="str">
        <f t="shared" si="1"/>
        <v/>
      </c>
      <c r="F23" s="40"/>
      <c r="G23" s="41" t="str">
        <f t="shared" si="2"/>
        <v/>
      </c>
      <c r="H23" s="40"/>
      <c r="I23" s="41" t="str">
        <f t="shared" si="3"/>
        <v/>
      </c>
      <c r="J23" s="40"/>
      <c r="K23" s="41" t="str">
        <f t="shared" si="4"/>
        <v/>
      </c>
      <c r="L23" s="40"/>
      <c r="M23" s="41" t="str">
        <f t="shared" si="5"/>
        <v/>
      </c>
      <c r="N23" s="40"/>
      <c r="O23" s="41" t="str">
        <f t="shared" si="6"/>
        <v/>
      </c>
      <c r="P23" s="40"/>
      <c r="Q23" s="41" t="str">
        <f t="shared" si="7"/>
        <v/>
      </c>
      <c r="R23" s="40"/>
      <c r="S23" s="41" t="str">
        <f t="shared" si="8"/>
        <v/>
      </c>
      <c r="T23" s="40"/>
      <c r="U23" s="42" t="str">
        <f t="shared" si="9"/>
        <v/>
      </c>
      <c r="V23" s="54"/>
      <c r="W23" s="55" t="str">
        <f t="shared" si="10"/>
        <v/>
      </c>
      <c r="X23" s="56"/>
      <c r="Y23" s="57"/>
      <c r="Z23" s="41" t="str">
        <f t="shared" si="11"/>
        <v/>
      </c>
      <c r="AA23" s="40"/>
      <c r="AB23" s="41" t="str">
        <f t="shared" si="12"/>
        <v/>
      </c>
      <c r="AC23" s="40"/>
      <c r="AD23" s="45" t="str">
        <f t="shared" si="13"/>
        <v/>
      </c>
      <c r="AE23" s="46" t="str">
        <f t="shared" si="14"/>
        <v/>
      </c>
      <c r="AF23" s="47" t="str">
        <f t="shared" si="15"/>
        <v/>
      </c>
      <c r="AG23" s="48" t="str">
        <f t="shared" si="16"/>
        <v/>
      </c>
      <c r="AH23" s="49" t="str">
        <f t="shared" si="17"/>
        <v/>
      </c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</row>
    <row r="24" ht="15.75" customHeight="1">
      <c r="A24" s="51">
        <v>17.0</v>
      </c>
      <c r="B24" s="52"/>
      <c r="C24" s="53"/>
      <c r="D24" s="40"/>
      <c r="E24" s="41" t="str">
        <f t="shared" si="1"/>
        <v/>
      </c>
      <c r="F24" s="40"/>
      <c r="G24" s="41" t="str">
        <f t="shared" si="2"/>
        <v/>
      </c>
      <c r="H24" s="40"/>
      <c r="I24" s="41" t="str">
        <f t="shared" si="3"/>
        <v/>
      </c>
      <c r="J24" s="40"/>
      <c r="K24" s="41" t="str">
        <f t="shared" si="4"/>
        <v/>
      </c>
      <c r="L24" s="40"/>
      <c r="M24" s="41" t="str">
        <f t="shared" si="5"/>
        <v/>
      </c>
      <c r="N24" s="40"/>
      <c r="O24" s="41" t="str">
        <f t="shared" si="6"/>
        <v/>
      </c>
      <c r="P24" s="40"/>
      <c r="Q24" s="41" t="str">
        <f t="shared" si="7"/>
        <v/>
      </c>
      <c r="R24" s="40"/>
      <c r="S24" s="41" t="str">
        <f t="shared" si="8"/>
        <v/>
      </c>
      <c r="T24" s="40"/>
      <c r="U24" s="42" t="str">
        <f t="shared" si="9"/>
        <v/>
      </c>
      <c r="V24" s="54"/>
      <c r="W24" s="55" t="str">
        <f t="shared" si="10"/>
        <v/>
      </c>
      <c r="X24" s="56"/>
      <c r="Y24" s="57"/>
      <c r="Z24" s="41" t="str">
        <f t="shared" si="11"/>
        <v/>
      </c>
      <c r="AA24" s="40"/>
      <c r="AB24" s="41" t="str">
        <f t="shared" si="12"/>
        <v/>
      </c>
      <c r="AC24" s="40"/>
      <c r="AD24" s="45" t="str">
        <f t="shared" si="13"/>
        <v/>
      </c>
      <c r="AE24" s="46" t="str">
        <f t="shared" si="14"/>
        <v/>
      </c>
      <c r="AF24" s="47" t="str">
        <f t="shared" si="15"/>
        <v/>
      </c>
      <c r="AG24" s="48" t="str">
        <f t="shared" si="16"/>
        <v/>
      </c>
      <c r="AH24" s="49" t="str">
        <f t="shared" si="17"/>
        <v/>
      </c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</row>
    <row r="25" ht="15.75" customHeight="1">
      <c r="A25" s="51">
        <v>18.0</v>
      </c>
      <c r="B25" s="52"/>
      <c r="C25" s="53"/>
      <c r="D25" s="40"/>
      <c r="E25" s="41" t="str">
        <f t="shared" si="1"/>
        <v/>
      </c>
      <c r="F25" s="40"/>
      <c r="G25" s="41" t="str">
        <f t="shared" si="2"/>
        <v/>
      </c>
      <c r="H25" s="40"/>
      <c r="I25" s="41" t="str">
        <f t="shared" si="3"/>
        <v/>
      </c>
      <c r="J25" s="40"/>
      <c r="K25" s="41" t="str">
        <f t="shared" si="4"/>
        <v/>
      </c>
      <c r="L25" s="40"/>
      <c r="M25" s="41" t="str">
        <f t="shared" si="5"/>
        <v/>
      </c>
      <c r="N25" s="40"/>
      <c r="O25" s="41" t="str">
        <f t="shared" si="6"/>
        <v/>
      </c>
      <c r="P25" s="40"/>
      <c r="Q25" s="41" t="str">
        <f t="shared" si="7"/>
        <v/>
      </c>
      <c r="R25" s="40"/>
      <c r="S25" s="41" t="str">
        <f t="shared" si="8"/>
        <v/>
      </c>
      <c r="T25" s="40"/>
      <c r="U25" s="42" t="str">
        <f t="shared" si="9"/>
        <v/>
      </c>
      <c r="V25" s="54"/>
      <c r="W25" s="55" t="str">
        <f t="shared" si="10"/>
        <v/>
      </c>
      <c r="X25" s="56"/>
      <c r="Y25" s="57"/>
      <c r="Z25" s="41" t="str">
        <f t="shared" si="11"/>
        <v/>
      </c>
      <c r="AA25" s="40"/>
      <c r="AB25" s="41" t="str">
        <f t="shared" si="12"/>
        <v/>
      </c>
      <c r="AC25" s="40"/>
      <c r="AD25" s="45" t="str">
        <f t="shared" si="13"/>
        <v/>
      </c>
      <c r="AE25" s="46" t="str">
        <f t="shared" si="14"/>
        <v/>
      </c>
      <c r="AF25" s="47" t="str">
        <f t="shared" si="15"/>
        <v/>
      </c>
      <c r="AG25" s="48" t="str">
        <f t="shared" si="16"/>
        <v/>
      </c>
      <c r="AH25" s="49" t="str">
        <f t="shared" si="17"/>
        <v/>
      </c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</row>
    <row r="26" ht="15.75" customHeight="1">
      <c r="A26" s="51">
        <v>19.0</v>
      </c>
      <c r="B26" s="52"/>
      <c r="C26" s="53"/>
      <c r="D26" s="40"/>
      <c r="E26" s="41" t="str">
        <f t="shared" si="1"/>
        <v/>
      </c>
      <c r="F26" s="40"/>
      <c r="G26" s="41" t="str">
        <f t="shared" si="2"/>
        <v/>
      </c>
      <c r="H26" s="40"/>
      <c r="I26" s="41" t="str">
        <f t="shared" si="3"/>
        <v/>
      </c>
      <c r="J26" s="40"/>
      <c r="K26" s="41" t="str">
        <f t="shared" si="4"/>
        <v/>
      </c>
      <c r="L26" s="40"/>
      <c r="M26" s="41" t="str">
        <f t="shared" si="5"/>
        <v/>
      </c>
      <c r="N26" s="40"/>
      <c r="O26" s="41" t="str">
        <f t="shared" si="6"/>
        <v/>
      </c>
      <c r="P26" s="40"/>
      <c r="Q26" s="41" t="str">
        <f t="shared" si="7"/>
        <v/>
      </c>
      <c r="R26" s="40"/>
      <c r="S26" s="41" t="str">
        <f t="shared" si="8"/>
        <v/>
      </c>
      <c r="T26" s="40"/>
      <c r="U26" s="42" t="str">
        <f t="shared" si="9"/>
        <v/>
      </c>
      <c r="V26" s="54"/>
      <c r="W26" s="55" t="str">
        <f t="shared" si="10"/>
        <v/>
      </c>
      <c r="X26" s="56"/>
      <c r="Y26" s="57"/>
      <c r="Z26" s="41" t="str">
        <f t="shared" si="11"/>
        <v/>
      </c>
      <c r="AA26" s="40"/>
      <c r="AB26" s="41" t="str">
        <f t="shared" si="12"/>
        <v/>
      </c>
      <c r="AC26" s="40"/>
      <c r="AD26" s="45" t="str">
        <f t="shared" si="13"/>
        <v/>
      </c>
      <c r="AE26" s="46" t="str">
        <f t="shared" si="14"/>
        <v/>
      </c>
      <c r="AF26" s="47" t="str">
        <f t="shared" si="15"/>
        <v/>
      </c>
      <c r="AG26" s="48" t="str">
        <f t="shared" si="16"/>
        <v/>
      </c>
      <c r="AH26" s="49" t="str">
        <f t="shared" si="17"/>
        <v/>
      </c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</row>
    <row r="27" ht="15.75" customHeight="1">
      <c r="A27" s="51">
        <v>20.0</v>
      </c>
      <c r="B27" s="52"/>
      <c r="C27" s="53"/>
      <c r="D27" s="40"/>
      <c r="E27" s="41" t="str">
        <f t="shared" si="1"/>
        <v/>
      </c>
      <c r="F27" s="40"/>
      <c r="G27" s="41" t="str">
        <f t="shared" si="2"/>
        <v/>
      </c>
      <c r="H27" s="40"/>
      <c r="I27" s="41" t="str">
        <f t="shared" si="3"/>
        <v/>
      </c>
      <c r="J27" s="40"/>
      <c r="K27" s="41" t="str">
        <f t="shared" si="4"/>
        <v/>
      </c>
      <c r="L27" s="40"/>
      <c r="M27" s="41" t="str">
        <f t="shared" si="5"/>
        <v/>
      </c>
      <c r="N27" s="40"/>
      <c r="O27" s="41" t="str">
        <f t="shared" si="6"/>
        <v/>
      </c>
      <c r="P27" s="40"/>
      <c r="Q27" s="41" t="str">
        <f t="shared" si="7"/>
        <v/>
      </c>
      <c r="R27" s="40"/>
      <c r="S27" s="41" t="str">
        <f t="shared" si="8"/>
        <v/>
      </c>
      <c r="T27" s="40"/>
      <c r="U27" s="42" t="str">
        <f t="shared" si="9"/>
        <v/>
      </c>
      <c r="V27" s="54"/>
      <c r="W27" s="55" t="str">
        <f t="shared" si="10"/>
        <v/>
      </c>
      <c r="X27" s="56"/>
      <c r="Y27" s="57"/>
      <c r="Z27" s="41" t="str">
        <f t="shared" si="11"/>
        <v/>
      </c>
      <c r="AA27" s="40"/>
      <c r="AB27" s="41" t="str">
        <f t="shared" si="12"/>
        <v/>
      </c>
      <c r="AC27" s="40"/>
      <c r="AD27" s="45" t="str">
        <f t="shared" si="13"/>
        <v/>
      </c>
      <c r="AE27" s="46" t="str">
        <f t="shared" si="14"/>
        <v/>
      </c>
      <c r="AF27" s="47" t="str">
        <f t="shared" si="15"/>
        <v/>
      </c>
      <c r="AG27" s="48" t="str">
        <f t="shared" si="16"/>
        <v/>
      </c>
      <c r="AH27" s="49" t="str">
        <f t="shared" si="17"/>
        <v/>
      </c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</row>
    <row r="28" ht="15.75" customHeight="1">
      <c r="A28" s="51">
        <v>21.0</v>
      </c>
      <c r="B28" s="52"/>
      <c r="C28" s="53"/>
      <c r="D28" s="40"/>
      <c r="E28" s="41" t="str">
        <f t="shared" si="1"/>
        <v/>
      </c>
      <c r="F28" s="40"/>
      <c r="G28" s="41" t="str">
        <f t="shared" si="2"/>
        <v/>
      </c>
      <c r="H28" s="40"/>
      <c r="I28" s="41" t="str">
        <f t="shared" si="3"/>
        <v/>
      </c>
      <c r="J28" s="40"/>
      <c r="K28" s="41" t="str">
        <f t="shared" si="4"/>
        <v/>
      </c>
      <c r="L28" s="40"/>
      <c r="M28" s="41" t="str">
        <f t="shared" si="5"/>
        <v/>
      </c>
      <c r="N28" s="40"/>
      <c r="O28" s="41" t="str">
        <f t="shared" si="6"/>
        <v/>
      </c>
      <c r="P28" s="40"/>
      <c r="Q28" s="41" t="str">
        <f t="shared" si="7"/>
        <v/>
      </c>
      <c r="R28" s="40"/>
      <c r="S28" s="41" t="str">
        <f t="shared" si="8"/>
        <v/>
      </c>
      <c r="T28" s="40"/>
      <c r="U28" s="42" t="str">
        <f t="shared" si="9"/>
        <v/>
      </c>
      <c r="V28" s="54"/>
      <c r="W28" s="55" t="str">
        <f t="shared" si="10"/>
        <v/>
      </c>
      <c r="X28" s="56"/>
      <c r="Y28" s="57"/>
      <c r="Z28" s="41" t="str">
        <f t="shared" si="11"/>
        <v/>
      </c>
      <c r="AA28" s="40"/>
      <c r="AB28" s="41" t="str">
        <f t="shared" si="12"/>
        <v/>
      </c>
      <c r="AC28" s="40"/>
      <c r="AD28" s="45" t="str">
        <f t="shared" si="13"/>
        <v/>
      </c>
      <c r="AE28" s="46" t="str">
        <f t="shared" si="14"/>
        <v/>
      </c>
      <c r="AF28" s="47" t="str">
        <f t="shared" si="15"/>
        <v/>
      </c>
      <c r="AG28" s="48" t="str">
        <f t="shared" si="16"/>
        <v/>
      </c>
      <c r="AH28" s="49" t="str">
        <f t="shared" si="17"/>
        <v/>
      </c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</row>
    <row r="29" ht="15.75" customHeight="1">
      <c r="A29" s="51">
        <v>22.0</v>
      </c>
      <c r="B29" s="52"/>
      <c r="C29" s="53"/>
      <c r="D29" s="40"/>
      <c r="E29" s="41" t="str">
        <f t="shared" si="1"/>
        <v/>
      </c>
      <c r="F29" s="40"/>
      <c r="G29" s="41" t="str">
        <f t="shared" si="2"/>
        <v/>
      </c>
      <c r="H29" s="40"/>
      <c r="I29" s="41" t="str">
        <f t="shared" si="3"/>
        <v/>
      </c>
      <c r="J29" s="40"/>
      <c r="K29" s="41" t="str">
        <f t="shared" si="4"/>
        <v/>
      </c>
      <c r="L29" s="40"/>
      <c r="M29" s="41" t="str">
        <f t="shared" si="5"/>
        <v/>
      </c>
      <c r="N29" s="40"/>
      <c r="O29" s="41" t="str">
        <f t="shared" si="6"/>
        <v/>
      </c>
      <c r="P29" s="40"/>
      <c r="Q29" s="41" t="str">
        <f t="shared" si="7"/>
        <v/>
      </c>
      <c r="R29" s="40"/>
      <c r="S29" s="41" t="str">
        <f t="shared" si="8"/>
        <v/>
      </c>
      <c r="T29" s="40"/>
      <c r="U29" s="42" t="str">
        <f t="shared" si="9"/>
        <v/>
      </c>
      <c r="V29" s="54"/>
      <c r="W29" s="55" t="str">
        <f t="shared" si="10"/>
        <v/>
      </c>
      <c r="X29" s="56"/>
      <c r="Y29" s="57"/>
      <c r="Z29" s="41" t="str">
        <f t="shared" si="11"/>
        <v/>
      </c>
      <c r="AA29" s="40"/>
      <c r="AB29" s="41" t="str">
        <f t="shared" si="12"/>
        <v/>
      </c>
      <c r="AC29" s="40"/>
      <c r="AD29" s="45" t="str">
        <f t="shared" si="13"/>
        <v/>
      </c>
      <c r="AE29" s="46" t="str">
        <f t="shared" si="14"/>
        <v/>
      </c>
      <c r="AF29" s="47" t="str">
        <f t="shared" si="15"/>
        <v/>
      </c>
      <c r="AG29" s="48" t="str">
        <f t="shared" si="16"/>
        <v/>
      </c>
      <c r="AH29" s="49" t="str">
        <f t="shared" si="17"/>
        <v/>
      </c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</row>
    <row r="30" ht="15.75" customHeight="1">
      <c r="A30" s="51">
        <v>23.0</v>
      </c>
      <c r="B30" s="52"/>
      <c r="C30" s="53"/>
      <c r="D30" s="40"/>
      <c r="E30" s="41" t="str">
        <f t="shared" si="1"/>
        <v/>
      </c>
      <c r="F30" s="40"/>
      <c r="G30" s="41" t="str">
        <f t="shared" si="2"/>
        <v/>
      </c>
      <c r="H30" s="40"/>
      <c r="I30" s="41" t="str">
        <f t="shared" si="3"/>
        <v/>
      </c>
      <c r="J30" s="40"/>
      <c r="K30" s="41" t="str">
        <f t="shared" si="4"/>
        <v/>
      </c>
      <c r="L30" s="40"/>
      <c r="M30" s="41" t="str">
        <f t="shared" si="5"/>
        <v/>
      </c>
      <c r="N30" s="40"/>
      <c r="O30" s="41" t="str">
        <f t="shared" si="6"/>
        <v/>
      </c>
      <c r="P30" s="40"/>
      <c r="Q30" s="41" t="str">
        <f t="shared" si="7"/>
        <v/>
      </c>
      <c r="R30" s="40"/>
      <c r="S30" s="41" t="str">
        <f t="shared" si="8"/>
        <v/>
      </c>
      <c r="T30" s="40"/>
      <c r="U30" s="42" t="str">
        <f t="shared" si="9"/>
        <v/>
      </c>
      <c r="V30" s="54"/>
      <c r="W30" s="55" t="str">
        <f t="shared" si="10"/>
        <v/>
      </c>
      <c r="X30" s="56"/>
      <c r="Y30" s="57"/>
      <c r="Z30" s="41" t="str">
        <f t="shared" si="11"/>
        <v/>
      </c>
      <c r="AA30" s="40"/>
      <c r="AB30" s="41" t="str">
        <f t="shared" si="12"/>
        <v/>
      </c>
      <c r="AC30" s="40"/>
      <c r="AD30" s="45" t="str">
        <f t="shared" si="13"/>
        <v/>
      </c>
      <c r="AE30" s="46" t="str">
        <f t="shared" si="14"/>
        <v/>
      </c>
      <c r="AF30" s="47" t="str">
        <f t="shared" si="15"/>
        <v/>
      </c>
      <c r="AG30" s="48" t="str">
        <f t="shared" si="16"/>
        <v/>
      </c>
      <c r="AH30" s="49" t="str">
        <f t="shared" si="17"/>
        <v/>
      </c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</row>
    <row r="31" ht="15.75" customHeight="1">
      <c r="A31" s="51">
        <v>24.0</v>
      </c>
      <c r="B31" s="52"/>
      <c r="C31" s="53"/>
      <c r="D31" s="40"/>
      <c r="E31" s="41" t="str">
        <f t="shared" si="1"/>
        <v/>
      </c>
      <c r="F31" s="40"/>
      <c r="G31" s="41" t="str">
        <f t="shared" si="2"/>
        <v/>
      </c>
      <c r="H31" s="40"/>
      <c r="I31" s="41" t="str">
        <f t="shared" si="3"/>
        <v/>
      </c>
      <c r="J31" s="40"/>
      <c r="K31" s="41" t="str">
        <f t="shared" si="4"/>
        <v/>
      </c>
      <c r="L31" s="40"/>
      <c r="M31" s="41" t="str">
        <f t="shared" si="5"/>
        <v/>
      </c>
      <c r="N31" s="40"/>
      <c r="O31" s="41" t="str">
        <f t="shared" si="6"/>
        <v/>
      </c>
      <c r="P31" s="40"/>
      <c r="Q31" s="41" t="str">
        <f t="shared" si="7"/>
        <v/>
      </c>
      <c r="R31" s="40"/>
      <c r="S31" s="41" t="str">
        <f t="shared" si="8"/>
        <v/>
      </c>
      <c r="T31" s="40"/>
      <c r="U31" s="42" t="str">
        <f t="shared" si="9"/>
        <v/>
      </c>
      <c r="V31" s="54"/>
      <c r="W31" s="55" t="str">
        <f t="shared" si="10"/>
        <v/>
      </c>
      <c r="X31" s="56"/>
      <c r="Y31" s="57"/>
      <c r="Z31" s="41" t="str">
        <f t="shared" si="11"/>
        <v/>
      </c>
      <c r="AA31" s="40"/>
      <c r="AB31" s="41" t="str">
        <f t="shared" si="12"/>
        <v/>
      </c>
      <c r="AC31" s="40"/>
      <c r="AD31" s="45" t="str">
        <f t="shared" si="13"/>
        <v/>
      </c>
      <c r="AE31" s="46" t="str">
        <f t="shared" si="14"/>
        <v/>
      </c>
      <c r="AF31" s="47" t="str">
        <f t="shared" si="15"/>
        <v/>
      </c>
      <c r="AG31" s="48" t="str">
        <f t="shared" si="16"/>
        <v/>
      </c>
      <c r="AH31" s="49" t="str">
        <f t="shared" si="17"/>
        <v/>
      </c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</row>
    <row r="32" ht="15.75" customHeight="1">
      <c r="A32" s="51">
        <v>25.0</v>
      </c>
      <c r="B32" s="52"/>
      <c r="C32" s="53"/>
      <c r="D32" s="40"/>
      <c r="E32" s="41" t="str">
        <f t="shared" si="1"/>
        <v/>
      </c>
      <c r="F32" s="40"/>
      <c r="G32" s="41" t="str">
        <f t="shared" si="2"/>
        <v/>
      </c>
      <c r="H32" s="40"/>
      <c r="I32" s="41" t="str">
        <f t="shared" si="3"/>
        <v/>
      </c>
      <c r="J32" s="40"/>
      <c r="K32" s="41" t="str">
        <f t="shared" si="4"/>
        <v/>
      </c>
      <c r="L32" s="40"/>
      <c r="M32" s="41" t="str">
        <f t="shared" si="5"/>
        <v/>
      </c>
      <c r="N32" s="40"/>
      <c r="O32" s="41" t="str">
        <f t="shared" si="6"/>
        <v/>
      </c>
      <c r="P32" s="40"/>
      <c r="Q32" s="41" t="str">
        <f t="shared" si="7"/>
        <v/>
      </c>
      <c r="R32" s="40"/>
      <c r="S32" s="41" t="str">
        <f t="shared" si="8"/>
        <v/>
      </c>
      <c r="T32" s="40"/>
      <c r="U32" s="42" t="str">
        <f t="shared" si="9"/>
        <v/>
      </c>
      <c r="V32" s="54"/>
      <c r="W32" s="55" t="str">
        <f t="shared" si="10"/>
        <v/>
      </c>
      <c r="X32" s="56"/>
      <c r="Y32" s="57"/>
      <c r="Z32" s="41" t="str">
        <f t="shared" si="11"/>
        <v/>
      </c>
      <c r="AA32" s="40"/>
      <c r="AB32" s="41" t="str">
        <f t="shared" si="12"/>
        <v/>
      </c>
      <c r="AC32" s="40"/>
      <c r="AD32" s="45" t="str">
        <f t="shared" si="13"/>
        <v/>
      </c>
      <c r="AE32" s="46" t="str">
        <f t="shared" si="14"/>
        <v/>
      </c>
      <c r="AF32" s="47" t="str">
        <f t="shared" si="15"/>
        <v/>
      </c>
      <c r="AG32" s="48" t="str">
        <f t="shared" si="16"/>
        <v/>
      </c>
      <c r="AH32" s="49" t="str">
        <f t="shared" si="17"/>
        <v/>
      </c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</row>
    <row r="33" ht="15.75" customHeight="1">
      <c r="A33" s="51">
        <v>26.0</v>
      </c>
      <c r="B33" s="52"/>
      <c r="C33" s="53"/>
      <c r="D33" s="40"/>
      <c r="E33" s="41" t="str">
        <f t="shared" si="1"/>
        <v/>
      </c>
      <c r="F33" s="40"/>
      <c r="G33" s="41" t="str">
        <f t="shared" si="2"/>
        <v/>
      </c>
      <c r="H33" s="40"/>
      <c r="I33" s="41" t="str">
        <f t="shared" si="3"/>
        <v/>
      </c>
      <c r="J33" s="40"/>
      <c r="K33" s="41" t="str">
        <f t="shared" si="4"/>
        <v/>
      </c>
      <c r="L33" s="40"/>
      <c r="M33" s="41" t="str">
        <f t="shared" si="5"/>
        <v/>
      </c>
      <c r="N33" s="40"/>
      <c r="O33" s="41" t="str">
        <f t="shared" si="6"/>
        <v/>
      </c>
      <c r="P33" s="40"/>
      <c r="Q33" s="41" t="str">
        <f t="shared" si="7"/>
        <v/>
      </c>
      <c r="R33" s="40"/>
      <c r="S33" s="41" t="str">
        <f t="shared" si="8"/>
        <v/>
      </c>
      <c r="T33" s="40"/>
      <c r="U33" s="42" t="str">
        <f t="shared" si="9"/>
        <v/>
      </c>
      <c r="V33" s="54"/>
      <c r="W33" s="55" t="str">
        <f t="shared" si="10"/>
        <v/>
      </c>
      <c r="X33" s="56"/>
      <c r="Y33" s="57"/>
      <c r="Z33" s="41" t="str">
        <f t="shared" si="11"/>
        <v/>
      </c>
      <c r="AA33" s="40"/>
      <c r="AB33" s="41" t="str">
        <f t="shared" si="12"/>
        <v/>
      </c>
      <c r="AC33" s="40"/>
      <c r="AD33" s="45" t="str">
        <f t="shared" si="13"/>
        <v/>
      </c>
      <c r="AE33" s="46" t="str">
        <f t="shared" si="14"/>
        <v/>
      </c>
      <c r="AF33" s="47" t="str">
        <f t="shared" si="15"/>
        <v/>
      </c>
      <c r="AG33" s="48" t="str">
        <f t="shared" si="16"/>
        <v/>
      </c>
      <c r="AH33" s="49" t="str">
        <f t="shared" si="17"/>
        <v/>
      </c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</row>
    <row r="34" ht="15.75" customHeight="1">
      <c r="A34" s="51">
        <v>27.0</v>
      </c>
      <c r="B34" s="52"/>
      <c r="C34" s="53"/>
      <c r="D34" s="40"/>
      <c r="E34" s="41" t="str">
        <f t="shared" si="1"/>
        <v/>
      </c>
      <c r="F34" s="40"/>
      <c r="G34" s="41" t="str">
        <f t="shared" si="2"/>
        <v/>
      </c>
      <c r="H34" s="40"/>
      <c r="I34" s="41" t="str">
        <f t="shared" si="3"/>
        <v/>
      </c>
      <c r="J34" s="40"/>
      <c r="K34" s="41" t="str">
        <f t="shared" si="4"/>
        <v/>
      </c>
      <c r="L34" s="40"/>
      <c r="M34" s="41" t="str">
        <f t="shared" si="5"/>
        <v/>
      </c>
      <c r="N34" s="40"/>
      <c r="O34" s="41" t="str">
        <f t="shared" si="6"/>
        <v/>
      </c>
      <c r="P34" s="40"/>
      <c r="Q34" s="41" t="str">
        <f t="shared" si="7"/>
        <v/>
      </c>
      <c r="R34" s="40"/>
      <c r="S34" s="41" t="str">
        <f t="shared" si="8"/>
        <v/>
      </c>
      <c r="T34" s="40"/>
      <c r="U34" s="42" t="str">
        <f t="shared" si="9"/>
        <v/>
      </c>
      <c r="V34" s="54"/>
      <c r="W34" s="55" t="str">
        <f t="shared" si="10"/>
        <v/>
      </c>
      <c r="X34" s="56"/>
      <c r="Y34" s="57"/>
      <c r="Z34" s="41" t="str">
        <f t="shared" si="11"/>
        <v/>
      </c>
      <c r="AA34" s="40"/>
      <c r="AB34" s="41" t="str">
        <f t="shared" si="12"/>
        <v/>
      </c>
      <c r="AC34" s="40"/>
      <c r="AD34" s="45" t="str">
        <f t="shared" si="13"/>
        <v/>
      </c>
      <c r="AE34" s="46" t="str">
        <f t="shared" si="14"/>
        <v/>
      </c>
      <c r="AF34" s="47" t="str">
        <f t="shared" si="15"/>
        <v/>
      </c>
      <c r="AG34" s="48" t="str">
        <f t="shared" si="16"/>
        <v/>
      </c>
      <c r="AH34" s="49" t="str">
        <f t="shared" si="17"/>
        <v/>
      </c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</row>
    <row r="35" ht="15.75" customHeight="1">
      <c r="A35" s="51">
        <v>28.0</v>
      </c>
      <c r="B35" s="52"/>
      <c r="C35" s="53"/>
      <c r="D35" s="40"/>
      <c r="E35" s="41" t="str">
        <f t="shared" si="1"/>
        <v/>
      </c>
      <c r="F35" s="40"/>
      <c r="G35" s="41" t="str">
        <f t="shared" si="2"/>
        <v/>
      </c>
      <c r="H35" s="40"/>
      <c r="I35" s="41" t="str">
        <f t="shared" si="3"/>
        <v/>
      </c>
      <c r="J35" s="40"/>
      <c r="K35" s="41" t="str">
        <f t="shared" si="4"/>
        <v/>
      </c>
      <c r="L35" s="40"/>
      <c r="M35" s="41" t="str">
        <f t="shared" si="5"/>
        <v/>
      </c>
      <c r="N35" s="40"/>
      <c r="O35" s="41" t="str">
        <f t="shared" si="6"/>
        <v/>
      </c>
      <c r="P35" s="40"/>
      <c r="Q35" s="41" t="str">
        <f t="shared" si="7"/>
        <v/>
      </c>
      <c r="R35" s="40"/>
      <c r="S35" s="41" t="str">
        <f t="shared" si="8"/>
        <v/>
      </c>
      <c r="T35" s="40"/>
      <c r="U35" s="42" t="str">
        <f t="shared" si="9"/>
        <v/>
      </c>
      <c r="V35" s="54"/>
      <c r="W35" s="55" t="str">
        <f t="shared" si="10"/>
        <v/>
      </c>
      <c r="X35" s="56"/>
      <c r="Y35" s="57"/>
      <c r="Z35" s="41" t="str">
        <f t="shared" si="11"/>
        <v/>
      </c>
      <c r="AA35" s="40"/>
      <c r="AB35" s="41" t="str">
        <f t="shared" si="12"/>
        <v/>
      </c>
      <c r="AC35" s="40"/>
      <c r="AD35" s="45" t="str">
        <f t="shared" si="13"/>
        <v/>
      </c>
      <c r="AE35" s="46" t="str">
        <f t="shared" si="14"/>
        <v/>
      </c>
      <c r="AF35" s="47" t="str">
        <f t="shared" si="15"/>
        <v/>
      </c>
      <c r="AG35" s="48" t="str">
        <f t="shared" si="16"/>
        <v/>
      </c>
      <c r="AH35" s="49" t="str">
        <f t="shared" si="17"/>
        <v/>
      </c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</row>
    <row r="36" ht="15.75" customHeight="1">
      <c r="A36" s="51">
        <v>29.0</v>
      </c>
      <c r="B36" s="52"/>
      <c r="C36" s="53"/>
      <c r="D36" s="40"/>
      <c r="E36" s="41" t="str">
        <f t="shared" si="1"/>
        <v/>
      </c>
      <c r="F36" s="40"/>
      <c r="G36" s="41" t="str">
        <f t="shared" si="2"/>
        <v/>
      </c>
      <c r="H36" s="40"/>
      <c r="I36" s="41" t="str">
        <f t="shared" si="3"/>
        <v/>
      </c>
      <c r="J36" s="40"/>
      <c r="K36" s="41" t="str">
        <f t="shared" si="4"/>
        <v/>
      </c>
      <c r="L36" s="40"/>
      <c r="M36" s="41" t="str">
        <f t="shared" si="5"/>
        <v/>
      </c>
      <c r="N36" s="40"/>
      <c r="O36" s="41" t="str">
        <f t="shared" si="6"/>
        <v/>
      </c>
      <c r="P36" s="40"/>
      <c r="Q36" s="41" t="str">
        <f t="shared" si="7"/>
        <v/>
      </c>
      <c r="R36" s="40"/>
      <c r="S36" s="41" t="str">
        <f t="shared" si="8"/>
        <v/>
      </c>
      <c r="T36" s="40"/>
      <c r="U36" s="42" t="str">
        <f t="shared" si="9"/>
        <v/>
      </c>
      <c r="V36" s="54"/>
      <c r="W36" s="55" t="str">
        <f t="shared" si="10"/>
        <v/>
      </c>
      <c r="X36" s="56"/>
      <c r="Y36" s="57"/>
      <c r="Z36" s="41" t="str">
        <f t="shared" si="11"/>
        <v/>
      </c>
      <c r="AA36" s="40"/>
      <c r="AB36" s="41" t="str">
        <f t="shared" si="12"/>
        <v/>
      </c>
      <c r="AC36" s="40"/>
      <c r="AD36" s="45" t="str">
        <f t="shared" si="13"/>
        <v/>
      </c>
      <c r="AE36" s="46" t="str">
        <f t="shared" si="14"/>
        <v/>
      </c>
      <c r="AF36" s="47" t="str">
        <f t="shared" si="15"/>
        <v/>
      </c>
      <c r="AG36" s="48" t="str">
        <f t="shared" si="16"/>
        <v/>
      </c>
      <c r="AH36" s="49" t="str">
        <f t="shared" si="17"/>
        <v/>
      </c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</row>
    <row r="37" ht="15.75" customHeight="1">
      <c r="A37" s="51">
        <v>30.0</v>
      </c>
      <c r="B37" s="52"/>
      <c r="C37" s="53"/>
      <c r="D37" s="40"/>
      <c r="E37" s="41" t="str">
        <f t="shared" si="1"/>
        <v/>
      </c>
      <c r="F37" s="40"/>
      <c r="G37" s="41" t="str">
        <f t="shared" si="2"/>
        <v/>
      </c>
      <c r="H37" s="40"/>
      <c r="I37" s="41" t="str">
        <f t="shared" si="3"/>
        <v/>
      </c>
      <c r="J37" s="40"/>
      <c r="K37" s="41" t="str">
        <f t="shared" si="4"/>
        <v/>
      </c>
      <c r="L37" s="40"/>
      <c r="M37" s="41" t="str">
        <f t="shared" si="5"/>
        <v/>
      </c>
      <c r="N37" s="40"/>
      <c r="O37" s="41" t="str">
        <f t="shared" si="6"/>
        <v/>
      </c>
      <c r="P37" s="40"/>
      <c r="Q37" s="41" t="str">
        <f t="shared" si="7"/>
        <v/>
      </c>
      <c r="R37" s="40"/>
      <c r="S37" s="41" t="str">
        <f t="shared" si="8"/>
        <v/>
      </c>
      <c r="T37" s="40"/>
      <c r="U37" s="42" t="str">
        <f t="shared" si="9"/>
        <v/>
      </c>
      <c r="V37" s="54"/>
      <c r="W37" s="55" t="str">
        <f t="shared" si="10"/>
        <v/>
      </c>
      <c r="X37" s="56"/>
      <c r="Y37" s="57"/>
      <c r="Z37" s="41" t="str">
        <f t="shared" si="11"/>
        <v/>
      </c>
      <c r="AA37" s="40"/>
      <c r="AB37" s="41" t="str">
        <f t="shared" si="12"/>
        <v/>
      </c>
      <c r="AC37" s="40"/>
      <c r="AD37" s="45" t="str">
        <f t="shared" si="13"/>
        <v/>
      </c>
      <c r="AE37" s="46" t="str">
        <f t="shared" si="14"/>
        <v/>
      </c>
      <c r="AF37" s="47" t="str">
        <f t="shared" si="15"/>
        <v/>
      </c>
      <c r="AG37" s="48" t="str">
        <f t="shared" si="16"/>
        <v/>
      </c>
      <c r="AH37" s="49" t="str">
        <f t="shared" si="17"/>
        <v/>
      </c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</row>
    <row r="38" ht="15.75" customHeight="1">
      <c r="A38" s="51">
        <v>31.0</v>
      </c>
      <c r="B38" s="52"/>
      <c r="C38" s="53"/>
      <c r="D38" s="40"/>
      <c r="E38" s="41" t="str">
        <f t="shared" si="1"/>
        <v/>
      </c>
      <c r="F38" s="40"/>
      <c r="G38" s="41" t="str">
        <f t="shared" si="2"/>
        <v/>
      </c>
      <c r="H38" s="40"/>
      <c r="I38" s="41" t="str">
        <f t="shared" si="3"/>
        <v/>
      </c>
      <c r="J38" s="40"/>
      <c r="K38" s="41" t="str">
        <f t="shared" si="4"/>
        <v/>
      </c>
      <c r="L38" s="40"/>
      <c r="M38" s="41" t="str">
        <f t="shared" si="5"/>
        <v/>
      </c>
      <c r="N38" s="40"/>
      <c r="O38" s="41" t="str">
        <f t="shared" si="6"/>
        <v/>
      </c>
      <c r="P38" s="40"/>
      <c r="Q38" s="41" t="str">
        <f t="shared" si="7"/>
        <v/>
      </c>
      <c r="R38" s="40"/>
      <c r="S38" s="41" t="str">
        <f t="shared" si="8"/>
        <v/>
      </c>
      <c r="T38" s="40"/>
      <c r="U38" s="42" t="str">
        <f t="shared" si="9"/>
        <v/>
      </c>
      <c r="V38" s="54"/>
      <c r="W38" s="55" t="str">
        <f t="shared" si="10"/>
        <v/>
      </c>
      <c r="X38" s="56"/>
      <c r="Y38" s="57"/>
      <c r="Z38" s="41" t="str">
        <f t="shared" si="11"/>
        <v/>
      </c>
      <c r="AA38" s="40"/>
      <c r="AB38" s="41" t="str">
        <f t="shared" si="12"/>
        <v/>
      </c>
      <c r="AC38" s="40"/>
      <c r="AD38" s="45" t="str">
        <f t="shared" si="13"/>
        <v/>
      </c>
      <c r="AE38" s="46" t="str">
        <f t="shared" si="14"/>
        <v/>
      </c>
      <c r="AF38" s="47" t="str">
        <f t="shared" si="15"/>
        <v/>
      </c>
      <c r="AG38" s="48" t="str">
        <f t="shared" si="16"/>
        <v/>
      </c>
      <c r="AH38" s="49" t="str">
        <f t="shared" si="17"/>
        <v/>
      </c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</row>
    <row r="39" ht="15.75" customHeight="1">
      <c r="A39" s="51">
        <v>32.0</v>
      </c>
      <c r="B39" s="52"/>
      <c r="C39" s="53"/>
      <c r="D39" s="40"/>
      <c r="E39" s="41" t="str">
        <f t="shared" si="1"/>
        <v/>
      </c>
      <c r="F39" s="40"/>
      <c r="G39" s="41" t="str">
        <f t="shared" si="2"/>
        <v/>
      </c>
      <c r="H39" s="40"/>
      <c r="I39" s="41" t="str">
        <f t="shared" si="3"/>
        <v/>
      </c>
      <c r="J39" s="40"/>
      <c r="K39" s="41" t="str">
        <f t="shared" si="4"/>
        <v/>
      </c>
      <c r="L39" s="40"/>
      <c r="M39" s="41" t="str">
        <f t="shared" si="5"/>
        <v/>
      </c>
      <c r="N39" s="40"/>
      <c r="O39" s="41" t="str">
        <f t="shared" si="6"/>
        <v/>
      </c>
      <c r="P39" s="40"/>
      <c r="Q39" s="41" t="str">
        <f t="shared" si="7"/>
        <v/>
      </c>
      <c r="R39" s="40"/>
      <c r="S39" s="41" t="str">
        <f t="shared" si="8"/>
        <v/>
      </c>
      <c r="T39" s="40"/>
      <c r="U39" s="42" t="str">
        <f t="shared" si="9"/>
        <v/>
      </c>
      <c r="V39" s="54"/>
      <c r="W39" s="55" t="str">
        <f t="shared" si="10"/>
        <v/>
      </c>
      <c r="X39" s="56"/>
      <c r="Y39" s="57"/>
      <c r="Z39" s="41" t="str">
        <f t="shared" si="11"/>
        <v/>
      </c>
      <c r="AA39" s="40"/>
      <c r="AB39" s="41" t="str">
        <f t="shared" si="12"/>
        <v/>
      </c>
      <c r="AC39" s="40"/>
      <c r="AD39" s="45" t="str">
        <f t="shared" si="13"/>
        <v/>
      </c>
      <c r="AE39" s="46" t="str">
        <f t="shared" si="14"/>
        <v/>
      </c>
      <c r="AF39" s="47" t="str">
        <f t="shared" si="15"/>
        <v/>
      </c>
      <c r="AG39" s="48" t="str">
        <f t="shared" si="16"/>
        <v/>
      </c>
      <c r="AH39" s="49" t="str">
        <f t="shared" si="17"/>
        <v/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</row>
    <row r="40" ht="15.75" customHeight="1">
      <c r="A40" s="51">
        <v>33.0</v>
      </c>
      <c r="B40" s="52"/>
      <c r="C40" s="53"/>
      <c r="D40" s="40"/>
      <c r="E40" s="41" t="str">
        <f t="shared" si="1"/>
        <v/>
      </c>
      <c r="F40" s="40"/>
      <c r="G40" s="41" t="str">
        <f t="shared" si="2"/>
        <v/>
      </c>
      <c r="H40" s="40"/>
      <c r="I40" s="41" t="str">
        <f t="shared" si="3"/>
        <v/>
      </c>
      <c r="J40" s="40"/>
      <c r="K40" s="41" t="str">
        <f t="shared" si="4"/>
        <v/>
      </c>
      <c r="L40" s="40"/>
      <c r="M40" s="41" t="str">
        <f t="shared" si="5"/>
        <v/>
      </c>
      <c r="N40" s="40"/>
      <c r="O40" s="41" t="str">
        <f t="shared" si="6"/>
        <v/>
      </c>
      <c r="P40" s="40"/>
      <c r="Q40" s="41" t="str">
        <f t="shared" si="7"/>
        <v/>
      </c>
      <c r="R40" s="40"/>
      <c r="S40" s="41" t="str">
        <f t="shared" si="8"/>
        <v/>
      </c>
      <c r="T40" s="40"/>
      <c r="U40" s="42" t="str">
        <f t="shared" si="9"/>
        <v/>
      </c>
      <c r="V40" s="54"/>
      <c r="W40" s="55" t="str">
        <f t="shared" si="10"/>
        <v/>
      </c>
      <c r="X40" s="56"/>
      <c r="Y40" s="57"/>
      <c r="Z40" s="41" t="str">
        <f t="shared" si="11"/>
        <v/>
      </c>
      <c r="AA40" s="40"/>
      <c r="AB40" s="41" t="str">
        <f t="shared" si="12"/>
        <v/>
      </c>
      <c r="AC40" s="40"/>
      <c r="AD40" s="45" t="str">
        <f t="shared" si="13"/>
        <v/>
      </c>
      <c r="AE40" s="46" t="str">
        <f t="shared" si="14"/>
        <v/>
      </c>
      <c r="AF40" s="47" t="str">
        <f t="shared" si="15"/>
        <v/>
      </c>
      <c r="AG40" s="48" t="str">
        <f t="shared" si="16"/>
        <v/>
      </c>
      <c r="AH40" s="49" t="str">
        <f t="shared" si="17"/>
        <v/>
      </c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</row>
    <row r="41" ht="15.75" customHeight="1">
      <c r="A41" s="51">
        <v>34.0</v>
      </c>
      <c r="B41" s="52"/>
      <c r="C41" s="53"/>
      <c r="D41" s="40"/>
      <c r="E41" s="41" t="str">
        <f t="shared" si="1"/>
        <v/>
      </c>
      <c r="F41" s="40"/>
      <c r="G41" s="41" t="str">
        <f t="shared" si="2"/>
        <v/>
      </c>
      <c r="H41" s="40"/>
      <c r="I41" s="41" t="str">
        <f t="shared" si="3"/>
        <v/>
      </c>
      <c r="J41" s="40"/>
      <c r="K41" s="41" t="str">
        <f t="shared" si="4"/>
        <v/>
      </c>
      <c r="L41" s="40"/>
      <c r="M41" s="41" t="str">
        <f t="shared" si="5"/>
        <v/>
      </c>
      <c r="N41" s="40"/>
      <c r="O41" s="41" t="str">
        <f t="shared" si="6"/>
        <v/>
      </c>
      <c r="P41" s="40"/>
      <c r="Q41" s="41" t="str">
        <f t="shared" si="7"/>
        <v/>
      </c>
      <c r="R41" s="40"/>
      <c r="S41" s="41" t="str">
        <f t="shared" si="8"/>
        <v/>
      </c>
      <c r="T41" s="40"/>
      <c r="U41" s="42" t="str">
        <f t="shared" si="9"/>
        <v/>
      </c>
      <c r="V41" s="54"/>
      <c r="W41" s="55" t="str">
        <f t="shared" si="10"/>
        <v/>
      </c>
      <c r="X41" s="56"/>
      <c r="Y41" s="57"/>
      <c r="Z41" s="41" t="str">
        <f t="shared" si="11"/>
        <v/>
      </c>
      <c r="AA41" s="40"/>
      <c r="AB41" s="41" t="str">
        <f t="shared" si="12"/>
        <v/>
      </c>
      <c r="AC41" s="40"/>
      <c r="AD41" s="45" t="str">
        <f t="shared" si="13"/>
        <v/>
      </c>
      <c r="AE41" s="46" t="str">
        <f t="shared" si="14"/>
        <v/>
      </c>
      <c r="AF41" s="47" t="str">
        <f t="shared" si="15"/>
        <v/>
      </c>
      <c r="AG41" s="48" t="str">
        <f t="shared" si="16"/>
        <v/>
      </c>
      <c r="AH41" s="49" t="str">
        <f t="shared" si="17"/>
        <v/>
      </c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</row>
    <row r="42" ht="15.75" customHeight="1">
      <c r="A42" s="51">
        <v>35.0</v>
      </c>
      <c r="B42" s="52"/>
      <c r="C42" s="53"/>
      <c r="D42" s="40"/>
      <c r="E42" s="41" t="str">
        <f t="shared" si="1"/>
        <v/>
      </c>
      <c r="F42" s="40"/>
      <c r="G42" s="41" t="str">
        <f t="shared" si="2"/>
        <v/>
      </c>
      <c r="H42" s="40"/>
      <c r="I42" s="41" t="str">
        <f t="shared" si="3"/>
        <v/>
      </c>
      <c r="J42" s="40"/>
      <c r="K42" s="41" t="str">
        <f t="shared" si="4"/>
        <v/>
      </c>
      <c r="L42" s="40"/>
      <c r="M42" s="41" t="str">
        <f t="shared" si="5"/>
        <v/>
      </c>
      <c r="N42" s="40"/>
      <c r="O42" s="41" t="str">
        <f t="shared" si="6"/>
        <v/>
      </c>
      <c r="P42" s="40"/>
      <c r="Q42" s="41" t="str">
        <f t="shared" si="7"/>
        <v/>
      </c>
      <c r="R42" s="40"/>
      <c r="S42" s="41" t="str">
        <f t="shared" si="8"/>
        <v/>
      </c>
      <c r="T42" s="40"/>
      <c r="U42" s="42" t="str">
        <f t="shared" si="9"/>
        <v/>
      </c>
      <c r="V42" s="54"/>
      <c r="W42" s="55" t="str">
        <f t="shared" si="10"/>
        <v/>
      </c>
      <c r="X42" s="56"/>
      <c r="Y42" s="57"/>
      <c r="Z42" s="41" t="str">
        <f t="shared" si="11"/>
        <v/>
      </c>
      <c r="AA42" s="40"/>
      <c r="AB42" s="41" t="str">
        <f t="shared" si="12"/>
        <v/>
      </c>
      <c r="AC42" s="40"/>
      <c r="AD42" s="45" t="str">
        <f t="shared" si="13"/>
        <v/>
      </c>
      <c r="AE42" s="46" t="str">
        <f t="shared" si="14"/>
        <v/>
      </c>
      <c r="AF42" s="47" t="str">
        <f t="shared" si="15"/>
        <v/>
      </c>
      <c r="AG42" s="48" t="str">
        <f t="shared" si="16"/>
        <v/>
      </c>
      <c r="AH42" s="49" t="str">
        <f t="shared" si="17"/>
        <v/>
      </c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</row>
    <row r="43" ht="15.75" customHeight="1">
      <c r="A43" s="51">
        <v>36.0</v>
      </c>
      <c r="B43" s="52"/>
      <c r="C43" s="53"/>
      <c r="D43" s="40"/>
      <c r="E43" s="41" t="str">
        <f t="shared" si="1"/>
        <v/>
      </c>
      <c r="F43" s="40"/>
      <c r="G43" s="41" t="str">
        <f t="shared" si="2"/>
        <v/>
      </c>
      <c r="H43" s="40"/>
      <c r="I43" s="41" t="str">
        <f t="shared" si="3"/>
        <v/>
      </c>
      <c r="J43" s="40"/>
      <c r="K43" s="41" t="str">
        <f t="shared" si="4"/>
        <v/>
      </c>
      <c r="L43" s="40"/>
      <c r="M43" s="41" t="str">
        <f t="shared" si="5"/>
        <v/>
      </c>
      <c r="N43" s="40"/>
      <c r="O43" s="41" t="str">
        <f t="shared" si="6"/>
        <v/>
      </c>
      <c r="P43" s="40"/>
      <c r="Q43" s="41" t="str">
        <f t="shared" si="7"/>
        <v/>
      </c>
      <c r="R43" s="40"/>
      <c r="S43" s="41" t="str">
        <f t="shared" si="8"/>
        <v/>
      </c>
      <c r="T43" s="40"/>
      <c r="U43" s="42" t="str">
        <f t="shared" si="9"/>
        <v/>
      </c>
      <c r="V43" s="54"/>
      <c r="W43" s="55" t="str">
        <f t="shared" si="10"/>
        <v/>
      </c>
      <c r="X43" s="56"/>
      <c r="Y43" s="57"/>
      <c r="Z43" s="41" t="str">
        <f t="shared" si="11"/>
        <v/>
      </c>
      <c r="AA43" s="40"/>
      <c r="AB43" s="41" t="str">
        <f t="shared" si="12"/>
        <v/>
      </c>
      <c r="AC43" s="40"/>
      <c r="AD43" s="45" t="str">
        <f t="shared" si="13"/>
        <v/>
      </c>
      <c r="AE43" s="46" t="str">
        <f t="shared" si="14"/>
        <v/>
      </c>
      <c r="AF43" s="47" t="str">
        <f t="shared" si="15"/>
        <v/>
      </c>
      <c r="AG43" s="48" t="str">
        <f t="shared" si="16"/>
        <v/>
      </c>
      <c r="AH43" s="49" t="str">
        <f t="shared" si="17"/>
        <v/>
      </c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</row>
    <row r="44" ht="15.75" customHeight="1">
      <c r="A44" s="51">
        <v>37.0</v>
      </c>
      <c r="B44" s="52"/>
      <c r="C44" s="53"/>
      <c r="D44" s="40"/>
      <c r="E44" s="41" t="str">
        <f t="shared" si="1"/>
        <v/>
      </c>
      <c r="F44" s="40"/>
      <c r="G44" s="41" t="str">
        <f t="shared" si="2"/>
        <v/>
      </c>
      <c r="H44" s="40"/>
      <c r="I44" s="41" t="str">
        <f t="shared" si="3"/>
        <v/>
      </c>
      <c r="J44" s="40"/>
      <c r="K44" s="41" t="str">
        <f t="shared" si="4"/>
        <v/>
      </c>
      <c r="L44" s="40"/>
      <c r="M44" s="41" t="str">
        <f t="shared" si="5"/>
        <v/>
      </c>
      <c r="N44" s="40"/>
      <c r="O44" s="41" t="str">
        <f t="shared" si="6"/>
        <v/>
      </c>
      <c r="P44" s="40"/>
      <c r="Q44" s="41" t="str">
        <f t="shared" si="7"/>
        <v/>
      </c>
      <c r="R44" s="40"/>
      <c r="S44" s="41" t="str">
        <f t="shared" si="8"/>
        <v/>
      </c>
      <c r="T44" s="40"/>
      <c r="U44" s="42" t="str">
        <f t="shared" si="9"/>
        <v/>
      </c>
      <c r="V44" s="54"/>
      <c r="W44" s="55" t="str">
        <f t="shared" si="10"/>
        <v/>
      </c>
      <c r="X44" s="56"/>
      <c r="Y44" s="57"/>
      <c r="Z44" s="41" t="str">
        <f t="shared" si="11"/>
        <v/>
      </c>
      <c r="AA44" s="40"/>
      <c r="AB44" s="41" t="str">
        <f t="shared" si="12"/>
        <v/>
      </c>
      <c r="AC44" s="40"/>
      <c r="AD44" s="45" t="str">
        <f t="shared" si="13"/>
        <v/>
      </c>
      <c r="AE44" s="46" t="str">
        <f t="shared" si="14"/>
        <v/>
      </c>
      <c r="AF44" s="47" t="str">
        <f t="shared" si="15"/>
        <v/>
      </c>
      <c r="AG44" s="48" t="str">
        <f t="shared" si="16"/>
        <v/>
      </c>
      <c r="AH44" s="49" t="str">
        <f t="shared" si="17"/>
        <v/>
      </c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</row>
    <row r="45" ht="15.75" customHeight="1">
      <c r="A45" s="51">
        <v>38.0</v>
      </c>
      <c r="B45" s="52"/>
      <c r="C45" s="53"/>
      <c r="D45" s="40"/>
      <c r="E45" s="41" t="str">
        <f t="shared" si="1"/>
        <v/>
      </c>
      <c r="F45" s="40"/>
      <c r="G45" s="41" t="str">
        <f t="shared" si="2"/>
        <v/>
      </c>
      <c r="H45" s="40"/>
      <c r="I45" s="41" t="str">
        <f t="shared" si="3"/>
        <v/>
      </c>
      <c r="J45" s="40"/>
      <c r="K45" s="41" t="str">
        <f t="shared" si="4"/>
        <v/>
      </c>
      <c r="L45" s="40"/>
      <c r="M45" s="41" t="str">
        <f t="shared" si="5"/>
        <v/>
      </c>
      <c r="N45" s="40"/>
      <c r="O45" s="41" t="str">
        <f t="shared" si="6"/>
        <v/>
      </c>
      <c r="P45" s="40"/>
      <c r="Q45" s="41" t="str">
        <f t="shared" si="7"/>
        <v/>
      </c>
      <c r="R45" s="40"/>
      <c r="S45" s="41" t="str">
        <f t="shared" si="8"/>
        <v/>
      </c>
      <c r="T45" s="40"/>
      <c r="U45" s="42" t="str">
        <f t="shared" si="9"/>
        <v/>
      </c>
      <c r="V45" s="54"/>
      <c r="W45" s="55" t="str">
        <f t="shared" si="10"/>
        <v/>
      </c>
      <c r="X45" s="56"/>
      <c r="Y45" s="57"/>
      <c r="Z45" s="41" t="str">
        <f t="shared" si="11"/>
        <v/>
      </c>
      <c r="AA45" s="40"/>
      <c r="AB45" s="41" t="str">
        <f t="shared" si="12"/>
        <v/>
      </c>
      <c r="AC45" s="40"/>
      <c r="AD45" s="45" t="str">
        <f t="shared" si="13"/>
        <v/>
      </c>
      <c r="AE45" s="46" t="str">
        <f t="shared" si="14"/>
        <v/>
      </c>
      <c r="AF45" s="47" t="str">
        <f t="shared" si="15"/>
        <v/>
      </c>
      <c r="AG45" s="48" t="str">
        <f t="shared" si="16"/>
        <v/>
      </c>
      <c r="AH45" s="49" t="str">
        <f t="shared" si="17"/>
        <v/>
      </c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</row>
    <row r="46" ht="15.75" customHeight="1">
      <c r="A46" s="51">
        <v>39.0</v>
      </c>
      <c r="B46" s="52"/>
      <c r="C46" s="53"/>
      <c r="D46" s="40"/>
      <c r="E46" s="41" t="str">
        <f t="shared" si="1"/>
        <v/>
      </c>
      <c r="F46" s="40"/>
      <c r="G46" s="41" t="str">
        <f t="shared" si="2"/>
        <v/>
      </c>
      <c r="H46" s="40"/>
      <c r="I46" s="41" t="str">
        <f t="shared" si="3"/>
        <v/>
      </c>
      <c r="J46" s="40"/>
      <c r="K46" s="41" t="str">
        <f t="shared" si="4"/>
        <v/>
      </c>
      <c r="L46" s="40"/>
      <c r="M46" s="41" t="str">
        <f t="shared" si="5"/>
        <v/>
      </c>
      <c r="N46" s="40"/>
      <c r="O46" s="41" t="str">
        <f t="shared" si="6"/>
        <v/>
      </c>
      <c r="P46" s="40"/>
      <c r="Q46" s="41" t="str">
        <f t="shared" si="7"/>
        <v/>
      </c>
      <c r="R46" s="40"/>
      <c r="S46" s="41" t="str">
        <f t="shared" si="8"/>
        <v/>
      </c>
      <c r="T46" s="40"/>
      <c r="U46" s="42" t="str">
        <f t="shared" si="9"/>
        <v/>
      </c>
      <c r="V46" s="54"/>
      <c r="W46" s="55" t="str">
        <f t="shared" si="10"/>
        <v/>
      </c>
      <c r="X46" s="56"/>
      <c r="Y46" s="57"/>
      <c r="Z46" s="41" t="str">
        <f t="shared" si="11"/>
        <v/>
      </c>
      <c r="AA46" s="40"/>
      <c r="AB46" s="41" t="str">
        <f t="shared" si="12"/>
        <v/>
      </c>
      <c r="AC46" s="40"/>
      <c r="AD46" s="45" t="str">
        <f t="shared" si="13"/>
        <v/>
      </c>
      <c r="AE46" s="46" t="str">
        <f t="shared" si="14"/>
        <v/>
      </c>
      <c r="AF46" s="47" t="str">
        <f t="shared" si="15"/>
        <v/>
      </c>
      <c r="AG46" s="48" t="str">
        <f t="shared" si="16"/>
        <v/>
      </c>
      <c r="AH46" s="49" t="str">
        <f t="shared" si="17"/>
        <v/>
      </c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</row>
    <row r="47" ht="15.75" customHeight="1">
      <c r="A47" s="51">
        <v>40.0</v>
      </c>
      <c r="B47" s="52"/>
      <c r="C47" s="53"/>
      <c r="D47" s="40"/>
      <c r="E47" s="41" t="str">
        <f t="shared" si="1"/>
        <v/>
      </c>
      <c r="F47" s="40"/>
      <c r="G47" s="41" t="str">
        <f t="shared" si="2"/>
        <v/>
      </c>
      <c r="H47" s="40"/>
      <c r="I47" s="41" t="str">
        <f t="shared" si="3"/>
        <v/>
      </c>
      <c r="J47" s="40"/>
      <c r="K47" s="41" t="str">
        <f t="shared" si="4"/>
        <v/>
      </c>
      <c r="L47" s="40"/>
      <c r="M47" s="41" t="str">
        <f t="shared" si="5"/>
        <v/>
      </c>
      <c r="N47" s="40"/>
      <c r="O47" s="41" t="str">
        <f t="shared" si="6"/>
        <v/>
      </c>
      <c r="P47" s="40"/>
      <c r="Q47" s="41" t="str">
        <f t="shared" si="7"/>
        <v/>
      </c>
      <c r="R47" s="40"/>
      <c r="S47" s="41" t="str">
        <f t="shared" si="8"/>
        <v/>
      </c>
      <c r="T47" s="40"/>
      <c r="U47" s="42" t="str">
        <f t="shared" si="9"/>
        <v/>
      </c>
      <c r="V47" s="54"/>
      <c r="W47" s="55" t="str">
        <f t="shared" si="10"/>
        <v/>
      </c>
      <c r="X47" s="56"/>
      <c r="Y47" s="57"/>
      <c r="Z47" s="41" t="str">
        <f t="shared" si="11"/>
        <v/>
      </c>
      <c r="AA47" s="40"/>
      <c r="AB47" s="41" t="str">
        <f t="shared" si="12"/>
        <v/>
      </c>
      <c r="AC47" s="40"/>
      <c r="AD47" s="45" t="str">
        <f t="shared" si="13"/>
        <v/>
      </c>
      <c r="AE47" s="46" t="str">
        <f t="shared" si="14"/>
        <v/>
      </c>
      <c r="AF47" s="47" t="str">
        <f t="shared" si="15"/>
        <v/>
      </c>
      <c r="AG47" s="48" t="str">
        <f t="shared" si="16"/>
        <v/>
      </c>
      <c r="AH47" s="49" t="str">
        <f t="shared" si="17"/>
        <v/>
      </c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</row>
    <row r="48" ht="15.75" customHeight="1">
      <c r="A48" s="51">
        <v>41.0</v>
      </c>
      <c r="B48" s="52"/>
      <c r="C48" s="53"/>
      <c r="D48" s="40"/>
      <c r="E48" s="41" t="str">
        <f t="shared" si="1"/>
        <v/>
      </c>
      <c r="F48" s="40"/>
      <c r="G48" s="41" t="str">
        <f t="shared" si="2"/>
        <v/>
      </c>
      <c r="H48" s="40"/>
      <c r="I48" s="41" t="str">
        <f t="shared" si="3"/>
        <v/>
      </c>
      <c r="J48" s="40"/>
      <c r="K48" s="41" t="str">
        <f t="shared" si="4"/>
        <v/>
      </c>
      <c r="L48" s="40"/>
      <c r="M48" s="41" t="str">
        <f t="shared" si="5"/>
        <v/>
      </c>
      <c r="N48" s="40"/>
      <c r="O48" s="41" t="str">
        <f t="shared" si="6"/>
        <v/>
      </c>
      <c r="P48" s="40"/>
      <c r="Q48" s="41" t="str">
        <f t="shared" si="7"/>
        <v/>
      </c>
      <c r="R48" s="40"/>
      <c r="S48" s="41" t="str">
        <f t="shared" si="8"/>
        <v/>
      </c>
      <c r="T48" s="40"/>
      <c r="U48" s="42" t="str">
        <f t="shared" si="9"/>
        <v/>
      </c>
      <c r="V48" s="54"/>
      <c r="W48" s="55" t="str">
        <f t="shared" si="10"/>
        <v/>
      </c>
      <c r="X48" s="56"/>
      <c r="Y48" s="57"/>
      <c r="Z48" s="41" t="str">
        <f t="shared" si="11"/>
        <v/>
      </c>
      <c r="AA48" s="40"/>
      <c r="AB48" s="41" t="str">
        <f t="shared" si="12"/>
        <v/>
      </c>
      <c r="AC48" s="40"/>
      <c r="AD48" s="45" t="str">
        <f t="shared" si="13"/>
        <v/>
      </c>
      <c r="AE48" s="46" t="str">
        <f t="shared" si="14"/>
        <v/>
      </c>
      <c r="AF48" s="47" t="str">
        <f t="shared" si="15"/>
        <v/>
      </c>
      <c r="AG48" s="48" t="str">
        <f t="shared" si="16"/>
        <v/>
      </c>
      <c r="AH48" s="49" t="str">
        <f t="shared" si="17"/>
        <v/>
      </c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</row>
    <row r="49" ht="15.75" customHeight="1">
      <c r="A49" s="51">
        <v>42.0</v>
      </c>
      <c r="B49" s="52"/>
      <c r="C49" s="53"/>
      <c r="D49" s="40"/>
      <c r="E49" s="41" t="str">
        <f t="shared" si="1"/>
        <v/>
      </c>
      <c r="F49" s="40"/>
      <c r="G49" s="41" t="str">
        <f t="shared" si="2"/>
        <v/>
      </c>
      <c r="H49" s="40"/>
      <c r="I49" s="41" t="str">
        <f t="shared" si="3"/>
        <v/>
      </c>
      <c r="J49" s="40"/>
      <c r="K49" s="41" t="str">
        <f t="shared" si="4"/>
        <v/>
      </c>
      <c r="L49" s="40"/>
      <c r="M49" s="41" t="str">
        <f t="shared" si="5"/>
        <v/>
      </c>
      <c r="N49" s="40"/>
      <c r="O49" s="41" t="str">
        <f t="shared" si="6"/>
        <v/>
      </c>
      <c r="P49" s="40"/>
      <c r="Q49" s="41" t="str">
        <f t="shared" si="7"/>
        <v/>
      </c>
      <c r="R49" s="40"/>
      <c r="S49" s="41" t="str">
        <f t="shared" si="8"/>
        <v/>
      </c>
      <c r="T49" s="40"/>
      <c r="U49" s="42" t="str">
        <f t="shared" si="9"/>
        <v/>
      </c>
      <c r="V49" s="54"/>
      <c r="W49" s="55" t="str">
        <f t="shared" si="10"/>
        <v/>
      </c>
      <c r="X49" s="56"/>
      <c r="Y49" s="57"/>
      <c r="Z49" s="41" t="str">
        <f t="shared" si="11"/>
        <v/>
      </c>
      <c r="AA49" s="40"/>
      <c r="AB49" s="41" t="str">
        <f t="shared" si="12"/>
        <v/>
      </c>
      <c r="AC49" s="40"/>
      <c r="AD49" s="45" t="str">
        <f t="shared" si="13"/>
        <v/>
      </c>
      <c r="AE49" s="46" t="str">
        <f t="shared" si="14"/>
        <v/>
      </c>
      <c r="AF49" s="47" t="str">
        <f t="shared" si="15"/>
        <v/>
      </c>
      <c r="AG49" s="48" t="str">
        <f t="shared" si="16"/>
        <v/>
      </c>
      <c r="AH49" s="49" t="str">
        <f t="shared" si="17"/>
        <v/>
      </c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</row>
    <row r="50" ht="15.75" customHeight="1">
      <c r="A50" s="51">
        <v>43.0</v>
      </c>
      <c r="B50" s="52"/>
      <c r="C50" s="53"/>
      <c r="D50" s="40"/>
      <c r="E50" s="41" t="str">
        <f t="shared" si="1"/>
        <v/>
      </c>
      <c r="F50" s="40"/>
      <c r="G50" s="41" t="str">
        <f t="shared" si="2"/>
        <v/>
      </c>
      <c r="H50" s="40"/>
      <c r="I50" s="41" t="str">
        <f t="shared" si="3"/>
        <v/>
      </c>
      <c r="J50" s="40"/>
      <c r="K50" s="41" t="str">
        <f t="shared" si="4"/>
        <v/>
      </c>
      <c r="L50" s="40"/>
      <c r="M50" s="41" t="str">
        <f t="shared" si="5"/>
        <v/>
      </c>
      <c r="N50" s="40"/>
      <c r="O50" s="41" t="str">
        <f t="shared" si="6"/>
        <v/>
      </c>
      <c r="P50" s="40"/>
      <c r="Q50" s="41" t="str">
        <f t="shared" si="7"/>
        <v/>
      </c>
      <c r="R50" s="40"/>
      <c r="S50" s="41" t="str">
        <f t="shared" si="8"/>
        <v/>
      </c>
      <c r="T50" s="40"/>
      <c r="U50" s="42" t="str">
        <f t="shared" si="9"/>
        <v/>
      </c>
      <c r="V50" s="54"/>
      <c r="W50" s="55" t="str">
        <f t="shared" si="10"/>
        <v/>
      </c>
      <c r="X50" s="56"/>
      <c r="Y50" s="57"/>
      <c r="Z50" s="41" t="str">
        <f t="shared" si="11"/>
        <v/>
      </c>
      <c r="AA50" s="40"/>
      <c r="AB50" s="41" t="str">
        <f t="shared" si="12"/>
        <v/>
      </c>
      <c r="AC50" s="40"/>
      <c r="AD50" s="45" t="str">
        <f t="shared" si="13"/>
        <v/>
      </c>
      <c r="AE50" s="46" t="str">
        <f t="shared" si="14"/>
        <v/>
      </c>
      <c r="AF50" s="47" t="str">
        <f t="shared" si="15"/>
        <v/>
      </c>
      <c r="AG50" s="48" t="str">
        <f t="shared" si="16"/>
        <v/>
      </c>
      <c r="AH50" s="49" t="str">
        <f t="shared" si="17"/>
        <v/>
      </c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</row>
    <row r="51" ht="15.75" customHeight="1">
      <c r="A51" s="51">
        <v>44.0</v>
      </c>
      <c r="B51" s="52"/>
      <c r="C51" s="53"/>
      <c r="D51" s="40"/>
      <c r="E51" s="41" t="str">
        <f t="shared" si="1"/>
        <v/>
      </c>
      <c r="F51" s="40"/>
      <c r="G51" s="41" t="str">
        <f t="shared" si="2"/>
        <v/>
      </c>
      <c r="H51" s="40"/>
      <c r="I51" s="41" t="str">
        <f t="shared" si="3"/>
        <v/>
      </c>
      <c r="J51" s="40"/>
      <c r="K51" s="41" t="str">
        <f t="shared" si="4"/>
        <v/>
      </c>
      <c r="L51" s="40"/>
      <c r="M51" s="41" t="str">
        <f t="shared" si="5"/>
        <v/>
      </c>
      <c r="N51" s="40"/>
      <c r="O51" s="41" t="str">
        <f t="shared" si="6"/>
        <v/>
      </c>
      <c r="P51" s="40"/>
      <c r="Q51" s="41" t="str">
        <f t="shared" si="7"/>
        <v/>
      </c>
      <c r="R51" s="40"/>
      <c r="S51" s="41" t="str">
        <f t="shared" si="8"/>
        <v/>
      </c>
      <c r="T51" s="40"/>
      <c r="U51" s="42" t="str">
        <f t="shared" si="9"/>
        <v/>
      </c>
      <c r="V51" s="54"/>
      <c r="W51" s="55" t="str">
        <f t="shared" si="10"/>
        <v/>
      </c>
      <c r="X51" s="56"/>
      <c r="Y51" s="57"/>
      <c r="Z51" s="41" t="str">
        <f t="shared" si="11"/>
        <v/>
      </c>
      <c r="AA51" s="40"/>
      <c r="AB51" s="41" t="str">
        <f t="shared" si="12"/>
        <v/>
      </c>
      <c r="AC51" s="40"/>
      <c r="AD51" s="45" t="str">
        <f t="shared" si="13"/>
        <v/>
      </c>
      <c r="AE51" s="46" t="str">
        <f t="shared" si="14"/>
        <v/>
      </c>
      <c r="AF51" s="47" t="str">
        <f t="shared" si="15"/>
        <v/>
      </c>
      <c r="AG51" s="48" t="str">
        <f t="shared" si="16"/>
        <v/>
      </c>
      <c r="AH51" s="49" t="str">
        <f t="shared" si="17"/>
        <v/>
      </c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</row>
    <row r="52" ht="15.75" customHeight="1">
      <c r="A52" s="51">
        <v>45.0</v>
      </c>
      <c r="B52" s="52"/>
      <c r="C52" s="53"/>
      <c r="D52" s="40"/>
      <c r="E52" s="41" t="str">
        <f t="shared" si="1"/>
        <v/>
      </c>
      <c r="F52" s="40"/>
      <c r="G52" s="41" t="str">
        <f t="shared" si="2"/>
        <v/>
      </c>
      <c r="H52" s="40"/>
      <c r="I52" s="41" t="str">
        <f t="shared" si="3"/>
        <v/>
      </c>
      <c r="J52" s="40"/>
      <c r="K52" s="41" t="str">
        <f t="shared" si="4"/>
        <v/>
      </c>
      <c r="L52" s="40"/>
      <c r="M52" s="41" t="str">
        <f t="shared" si="5"/>
        <v/>
      </c>
      <c r="N52" s="40"/>
      <c r="O52" s="41" t="str">
        <f t="shared" si="6"/>
        <v/>
      </c>
      <c r="P52" s="40"/>
      <c r="Q52" s="41" t="str">
        <f t="shared" si="7"/>
        <v/>
      </c>
      <c r="R52" s="40"/>
      <c r="S52" s="41" t="str">
        <f t="shared" si="8"/>
        <v/>
      </c>
      <c r="T52" s="40"/>
      <c r="U52" s="42" t="str">
        <f t="shared" si="9"/>
        <v/>
      </c>
      <c r="V52" s="54"/>
      <c r="W52" s="55" t="str">
        <f t="shared" si="10"/>
        <v/>
      </c>
      <c r="X52" s="56"/>
      <c r="Y52" s="57"/>
      <c r="Z52" s="41" t="str">
        <f t="shared" si="11"/>
        <v/>
      </c>
      <c r="AA52" s="40"/>
      <c r="AB52" s="41" t="str">
        <f t="shared" si="12"/>
        <v/>
      </c>
      <c r="AC52" s="40"/>
      <c r="AD52" s="45" t="str">
        <f t="shared" si="13"/>
        <v/>
      </c>
      <c r="AE52" s="46" t="str">
        <f t="shared" si="14"/>
        <v/>
      </c>
      <c r="AF52" s="47" t="str">
        <f t="shared" si="15"/>
        <v/>
      </c>
      <c r="AG52" s="48" t="str">
        <f t="shared" si="16"/>
        <v/>
      </c>
      <c r="AH52" s="49" t="str">
        <f t="shared" si="17"/>
        <v/>
      </c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</row>
    <row r="53" ht="15.75" customHeight="1">
      <c r="A53" s="51">
        <v>46.0</v>
      </c>
      <c r="B53" s="52"/>
      <c r="C53" s="53"/>
      <c r="D53" s="40"/>
      <c r="E53" s="41" t="str">
        <f t="shared" si="1"/>
        <v/>
      </c>
      <c r="F53" s="40"/>
      <c r="G53" s="41" t="str">
        <f t="shared" si="2"/>
        <v/>
      </c>
      <c r="H53" s="40"/>
      <c r="I53" s="41" t="str">
        <f t="shared" si="3"/>
        <v/>
      </c>
      <c r="J53" s="40"/>
      <c r="K53" s="41" t="str">
        <f t="shared" si="4"/>
        <v/>
      </c>
      <c r="L53" s="40"/>
      <c r="M53" s="41" t="str">
        <f t="shared" si="5"/>
        <v/>
      </c>
      <c r="N53" s="40"/>
      <c r="O53" s="41" t="str">
        <f t="shared" si="6"/>
        <v/>
      </c>
      <c r="P53" s="40"/>
      <c r="Q53" s="41" t="str">
        <f t="shared" si="7"/>
        <v/>
      </c>
      <c r="R53" s="40"/>
      <c r="S53" s="41" t="str">
        <f t="shared" si="8"/>
        <v/>
      </c>
      <c r="T53" s="40"/>
      <c r="U53" s="42" t="str">
        <f t="shared" si="9"/>
        <v/>
      </c>
      <c r="V53" s="54"/>
      <c r="W53" s="55" t="str">
        <f t="shared" si="10"/>
        <v/>
      </c>
      <c r="X53" s="56"/>
      <c r="Y53" s="57"/>
      <c r="Z53" s="41" t="str">
        <f t="shared" si="11"/>
        <v/>
      </c>
      <c r="AA53" s="40"/>
      <c r="AB53" s="41" t="str">
        <f t="shared" si="12"/>
        <v/>
      </c>
      <c r="AC53" s="40"/>
      <c r="AD53" s="45" t="str">
        <f t="shared" si="13"/>
        <v/>
      </c>
      <c r="AE53" s="46" t="str">
        <f t="shared" si="14"/>
        <v/>
      </c>
      <c r="AF53" s="47" t="str">
        <f t="shared" si="15"/>
        <v/>
      </c>
      <c r="AG53" s="48" t="str">
        <f t="shared" si="16"/>
        <v/>
      </c>
      <c r="AH53" s="49" t="str">
        <f t="shared" si="17"/>
        <v/>
      </c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</row>
    <row r="54" ht="15.75" customHeight="1">
      <c r="A54" s="51">
        <v>47.0</v>
      </c>
      <c r="B54" s="52"/>
      <c r="C54" s="53"/>
      <c r="D54" s="40"/>
      <c r="E54" s="41" t="str">
        <f t="shared" si="1"/>
        <v/>
      </c>
      <c r="F54" s="40"/>
      <c r="G54" s="41" t="str">
        <f t="shared" si="2"/>
        <v/>
      </c>
      <c r="H54" s="40"/>
      <c r="I54" s="41" t="str">
        <f t="shared" si="3"/>
        <v/>
      </c>
      <c r="J54" s="40"/>
      <c r="K54" s="41" t="str">
        <f t="shared" si="4"/>
        <v/>
      </c>
      <c r="L54" s="40"/>
      <c r="M54" s="41" t="str">
        <f t="shared" si="5"/>
        <v/>
      </c>
      <c r="N54" s="40"/>
      <c r="O54" s="41" t="str">
        <f t="shared" si="6"/>
        <v/>
      </c>
      <c r="P54" s="40"/>
      <c r="Q54" s="41" t="str">
        <f t="shared" si="7"/>
        <v/>
      </c>
      <c r="R54" s="40"/>
      <c r="S54" s="41" t="str">
        <f t="shared" si="8"/>
        <v/>
      </c>
      <c r="T54" s="40"/>
      <c r="U54" s="42" t="str">
        <f t="shared" si="9"/>
        <v/>
      </c>
      <c r="V54" s="54"/>
      <c r="W54" s="55" t="str">
        <f t="shared" si="10"/>
        <v/>
      </c>
      <c r="X54" s="56"/>
      <c r="Y54" s="57"/>
      <c r="Z54" s="41" t="str">
        <f t="shared" si="11"/>
        <v/>
      </c>
      <c r="AA54" s="40"/>
      <c r="AB54" s="41" t="str">
        <f t="shared" si="12"/>
        <v/>
      </c>
      <c r="AC54" s="40"/>
      <c r="AD54" s="45" t="str">
        <f t="shared" si="13"/>
        <v/>
      </c>
      <c r="AE54" s="46" t="str">
        <f t="shared" si="14"/>
        <v/>
      </c>
      <c r="AF54" s="47" t="str">
        <f t="shared" si="15"/>
        <v/>
      </c>
      <c r="AG54" s="48" t="str">
        <f t="shared" si="16"/>
        <v/>
      </c>
      <c r="AH54" s="49" t="str">
        <f t="shared" si="17"/>
        <v/>
      </c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</row>
    <row r="55" ht="15.75" customHeight="1">
      <c r="A55" s="51">
        <v>48.0</v>
      </c>
      <c r="B55" s="52"/>
      <c r="C55" s="53"/>
      <c r="D55" s="40"/>
      <c r="E55" s="41" t="str">
        <f t="shared" si="1"/>
        <v/>
      </c>
      <c r="F55" s="40"/>
      <c r="G55" s="41" t="str">
        <f t="shared" si="2"/>
        <v/>
      </c>
      <c r="H55" s="40"/>
      <c r="I55" s="41" t="str">
        <f t="shared" si="3"/>
        <v/>
      </c>
      <c r="J55" s="40"/>
      <c r="K55" s="41" t="str">
        <f t="shared" si="4"/>
        <v/>
      </c>
      <c r="L55" s="40"/>
      <c r="M55" s="41" t="str">
        <f t="shared" si="5"/>
        <v/>
      </c>
      <c r="N55" s="40"/>
      <c r="O55" s="41" t="str">
        <f t="shared" si="6"/>
        <v/>
      </c>
      <c r="P55" s="40"/>
      <c r="Q55" s="41" t="str">
        <f t="shared" si="7"/>
        <v/>
      </c>
      <c r="R55" s="40"/>
      <c r="S55" s="41" t="str">
        <f t="shared" si="8"/>
        <v/>
      </c>
      <c r="T55" s="40"/>
      <c r="U55" s="42" t="str">
        <f t="shared" si="9"/>
        <v/>
      </c>
      <c r="V55" s="54"/>
      <c r="W55" s="55" t="str">
        <f t="shared" si="10"/>
        <v/>
      </c>
      <c r="X55" s="56"/>
      <c r="Y55" s="57"/>
      <c r="Z55" s="41" t="str">
        <f t="shared" si="11"/>
        <v/>
      </c>
      <c r="AA55" s="40"/>
      <c r="AB55" s="41" t="str">
        <f t="shared" si="12"/>
        <v/>
      </c>
      <c r="AC55" s="40"/>
      <c r="AD55" s="45" t="str">
        <f t="shared" si="13"/>
        <v/>
      </c>
      <c r="AE55" s="46" t="str">
        <f t="shared" si="14"/>
        <v/>
      </c>
      <c r="AF55" s="47" t="str">
        <f t="shared" si="15"/>
        <v/>
      </c>
      <c r="AG55" s="48" t="str">
        <f t="shared" si="16"/>
        <v/>
      </c>
      <c r="AH55" s="49" t="str">
        <f t="shared" si="17"/>
        <v/>
      </c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</row>
    <row r="56" ht="15.75" customHeight="1">
      <c r="A56" s="51">
        <v>49.0</v>
      </c>
      <c r="B56" s="52"/>
      <c r="C56" s="53"/>
      <c r="D56" s="40"/>
      <c r="E56" s="41" t="str">
        <f t="shared" si="1"/>
        <v/>
      </c>
      <c r="F56" s="40"/>
      <c r="G56" s="41" t="str">
        <f t="shared" si="2"/>
        <v/>
      </c>
      <c r="H56" s="40"/>
      <c r="I56" s="41" t="str">
        <f t="shared" si="3"/>
        <v/>
      </c>
      <c r="J56" s="40"/>
      <c r="K56" s="41" t="str">
        <f t="shared" si="4"/>
        <v/>
      </c>
      <c r="L56" s="40"/>
      <c r="M56" s="41" t="str">
        <f t="shared" si="5"/>
        <v/>
      </c>
      <c r="N56" s="40"/>
      <c r="O56" s="41" t="str">
        <f t="shared" si="6"/>
        <v/>
      </c>
      <c r="P56" s="40"/>
      <c r="Q56" s="41" t="str">
        <f t="shared" si="7"/>
        <v/>
      </c>
      <c r="R56" s="40"/>
      <c r="S56" s="41" t="str">
        <f t="shared" si="8"/>
        <v/>
      </c>
      <c r="T56" s="40"/>
      <c r="U56" s="42" t="str">
        <f t="shared" si="9"/>
        <v/>
      </c>
      <c r="V56" s="54"/>
      <c r="W56" s="55" t="str">
        <f t="shared" si="10"/>
        <v/>
      </c>
      <c r="X56" s="56"/>
      <c r="Y56" s="57"/>
      <c r="Z56" s="41" t="str">
        <f t="shared" si="11"/>
        <v/>
      </c>
      <c r="AA56" s="40"/>
      <c r="AB56" s="41" t="str">
        <f t="shared" si="12"/>
        <v/>
      </c>
      <c r="AC56" s="40"/>
      <c r="AD56" s="45" t="str">
        <f t="shared" si="13"/>
        <v/>
      </c>
      <c r="AE56" s="46" t="str">
        <f t="shared" si="14"/>
        <v/>
      </c>
      <c r="AF56" s="47" t="str">
        <f t="shared" si="15"/>
        <v/>
      </c>
      <c r="AG56" s="48" t="str">
        <f t="shared" si="16"/>
        <v/>
      </c>
      <c r="AH56" s="49" t="str">
        <f t="shared" si="17"/>
        <v/>
      </c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</row>
    <row r="57" ht="15.75" customHeight="1">
      <c r="A57" s="51">
        <v>50.0</v>
      </c>
      <c r="B57" s="52"/>
      <c r="C57" s="53"/>
      <c r="D57" s="40"/>
      <c r="E57" s="41" t="str">
        <f t="shared" si="1"/>
        <v/>
      </c>
      <c r="F57" s="40"/>
      <c r="G57" s="41" t="str">
        <f t="shared" si="2"/>
        <v/>
      </c>
      <c r="H57" s="40"/>
      <c r="I57" s="41" t="str">
        <f t="shared" si="3"/>
        <v/>
      </c>
      <c r="J57" s="40"/>
      <c r="K57" s="41" t="str">
        <f t="shared" si="4"/>
        <v/>
      </c>
      <c r="L57" s="40"/>
      <c r="M57" s="41" t="str">
        <f t="shared" si="5"/>
        <v/>
      </c>
      <c r="N57" s="40"/>
      <c r="O57" s="41" t="str">
        <f t="shared" si="6"/>
        <v/>
      </c>
      <c r="P57" s="40"/>
      <c r="Q57" s="41" t="str">
        <f t="shared" si="7"/>
        <v/>
      </c>
      <c r="R57" s="40"/>
      <c r="S57" s="41" t="str">
        <f t="shared" si="8"/>
        <v/>
      </c>
      <c r="T57" s="40"/>
      <c r="U57" s="42" t="str">
        <f t="shared" si="9"/>
        <v/>
      </c>
      <c r="V57" s="54"/>
      <c r="W57" s="55" t="str">
        <f t="shared" si="10"/>
        <v/>
      </c>
      <c r="X57" s="56"/>
      <c r="Y57" s="57"/>
      <c r="Z57" s="41" t="str">
        <f t="shared" si="11"/>
        <v/>
      </c>
      <c r="AA57" s="40"/>
      <c r="AB57" s="41" t="str">
        <f t="shared" si="12"/>
        <v/>
      </c>
      <c r="AC57" s="40"/>
      <c r="AD57" s="45" t="str">
        <f t="shared" si="13"/>
        <v/>
      </c>
      <c r="AE57" s="46" t="str">
        <f t="shared" si="14"/>
        <v/>
      </c>
      <c r="AF57" s="47" t="str">
        <f t="shared" si="15"/>
        <v/>
      </c>
      <c r="AG57" s="48" t="str">
        <f t="shared" si="16"/>
        <v/>
      </c>
      <c r="AH57" s="49" t="str">
        <f t="shared" si="17"/>
        <v/>
      </c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</row>
    <row r="58" ht="15.75" customHeight="1">
      <c r="A58" s="51">
        <v>51.0</v>
      </c>
      <c r="B58" s="52"/>
      <c r="C58" s="53"/>
      <c r="D58" s="40"/>
      <c r="E58" s="41" t="str">
        <f t="shared" si="1"/>
        <v/>
      </c>
      <c r="F58" s="40"/>
      <c r="G58" s="41" t="str">
        <f t="shared" si="2"/>
        <v/>
      </c>
      <c r="H58" s="40"/>
      <c r="I58" s="41" t="str">
        <f t="shared" si="3"/>
        <v/>
      </c>
      <c r="J58" s="40"/>
      <c r="K58" s="41" t="str">
        <f t="shared" si="4"/>
        <v/>
      </c>
      <c r="L58" s="40"/>
      <c r="M58" s="41" t="str">
        <f t="shared" si="5"/>
        <v/>
      </c>
      <c r="N58" s="40"/>
      <c r="O58" s="41" t="str">
        <f t="shared" si="6"/>
        <v/>
      </c>
      <c r="P58" s="40"/>
      <c r="Q58" s="41" t="str">
        <f t="shared" si="7"/>
        <v/>
      </c>
      <c r="R58" s="40"/>
      <c r="S58" s="41" t="str">
        <f t="shared" si="8"/>
        <v/>
      </c>
      <c r="T58" s="40"/>
      <c r="U58" s="42" t="str">
        <f t="shared" si="9"/>
        <v/>
      </c>
      <c r="V58" s="54"/>
      <c r="W58" s="55" t="str">
        <f t="shared" si="10"/>
        <v/>
      </c>
      <c r="X58" s="56"/>
      <c r="Y58" s="57"/>
      <c r="Z58" s="41" t="str">
        <f t="shared" si="11"/>
        <v/>
      </c>
      <c r="AA58" s="40"/>
      <c r="AB58" s="41" t="str">
        <f t="shared" si="12"/>
        <v/>
      </c>
      <c r="AC58" s="40"/>
      <c r="AD58" s="45" t="str">
        <f t="shared" si="13"/>
        <v/>
      </c>
      <c r="AE58" s="46" t="str">
        <f t="shared" si="14"/>
        <v/>
      </c>
      <c r="AF58" s="47" t="str">
        <f t="shared" si="15"/>
        <v/>
      </c>
      <c r="AG58" s="48" t="str">
        <f t="shared" si="16"/>
        <v/>
      </c>
      <c r="AH58" s="49" t="str">
        <f t="shared" si="17"/>
        <v/>
      </c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</row>
    <row r="59" ht="15.75" customHeight="1">
      <c r="A59" s="51">
        <v>52.0</v>
      </c>
      <c r="B59" s="52"/>
      <c r="C59" s="53"/>
      <c r="D59" s="40"/>
      <c r="E59" s="41" t="str">
        <f t="shared" si="1"/>
        <v/>
      </c>
      <c r="F59" s="40"/>
      <c r="G59" s="41" t="str">
        <f t="shared" si="2"/>
        <v/>
      </c>
      <c r="H59" s="40"/>
      <c r="I59" s="41" t="str">
        <f t="shared" si="3"/>
        <v/>
      </c>
      <c r="J59" s="40"/>
      <c r="K59" s="41" t="str">
        <f t="shared" si="4"/>
        <v/>
      </c>
      <c r="L59" s="40"/>
      <c r="M59" s="41" t="str">
        <f t="shared" si="5"/>
        <v/>
      </c>
      <c r="N59" s="40"/>
      <c r="O59" s="41" t="str">
        <f t="shared" si="6"/>
        <v/>
      </c>
      <c r="P59" s="40"/>
      <c r="Q59" s="41" t="str">
        <f t="shared" si="7"/>
        <v/>
      </c>
      <c r="R59" s="40"/>
      <c r="S59" s="41" t="str">
        <f t="shared" si="8"/>
        <v/>
      </c>
      <c r="T59" s="40"/>
      <c r="U59" s="42" t="str">
        <f t="shared" si="9"/>
        <v/>
      </c>
      <c r="V59" s="54"/>
      <c r="W59" s="55" t="str">
        <f t="shared" si="10"/>
        <v/>
      </c>
      <c r="X59" s="56"/>
      <c r="Y59" s="57"/>
      <c r="Z59" s="41" t="str">
        <f t="shared" si="11"/>
        <v/>
      </c>
      <c r="AA59" s="40"/>
      <c r="AB59" s="41" t="str">
        <f t="shared" si="12"/>
        <v/>
      </c>
      <c r="AC59" s="40"/>
      <c r="AD59" s="45" t="str">
        <f t="shared" si="13"/>
        <v/>
      </c>
      <c r="AE59" s="46" t="str">
        <f t="shared" si="14"/>
        <v/>
      </c>
      <c r="AF59" s="47" t="str">
        <f t="shared" si="15"/>
        <v/>
      </c>
      <c r="AG59" s="48" t="str">
        <f t="shared" si="16"/>
        <v/>
      </c>
      <c r="AH59" s="49" t="str">
        <f t="shared" si="17"/>
        <v/>
      </c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</row>
    <row r="60" ht="15.75" customHeight="1">
      <c r="A60" s="51">
        <v>53.0</v>
      </c>
      <c r="B60" s="52"/>
      <c r="C60" s="53"/>
      <c r="D60" s="40"/>
      <c r="E60" s="41" t="str">
        <f t="shared" si="1"/>
        <v/>
      </c>
      <c r="F60" s="40"/>
      <c r="G60" s="41" t="str">
        <f t="shared" si="2"/>
        <v/>
      </c>
      <c r="H60" s="40"/>
      <c r="I60" s="41" t="str">
        <f t="shared" si="3"/>
        <v/>
      </c>
      <c r="J60" s="40"/>
      <c r="K60" s="41" t="str">
        <f t="shared" si="4"/>
        <v/>
      </c>
      <c r="L60" s="40"/>
      <c r="M60" s="41" t="str">
        <f t="shared" si="5"/>
        <v/>
      </c>
      <c r="N60" s="40"/>
      <c r="O60" s="41" t="str">
        <f t="shared" si="6"/>
        <v/>
      </c>
      <c r="P60" s="40"/>
      <c r="Q60" s="41" t="str">
        <f t="shared" si="7"/>
        <v/>
      </c>
      <c r="R60" s="40"/>
      <c r="S60" s="41" t="str">
        <f t="shared" si="8"/>
        <v/>
      </c>
      <c r="T60" s="40"/>
      <c r="U60" s="42" t="str">
        <f t="shared" si="9"/>
        <v/>
      </c>
      <c r="V60" s="54"/>
      <c r="W60" s="55" t="str">
        <f t="shared" si="10"/>
        <v/>
      </c>
      <c r="X60" s="56"/>
      <c r="Y60" s="57"/>
      <c r="Z60" s="41" t="str">
        <f t="shared" si="11"/>
        <v/>
      </c>
      <c r="AA60" s="40"/>
      <c r="AB60" s="41" t="str">
        <f t="shared" si="12"/>
        <v/>
      </c>
      <c r="AC60" s="40"/>
      <c r="AD60" s="45" t="str">
        <f t="shared" si="13"/>
        <v/>
      </c>
      <c r="AE60" s="46" t="str">
        <f t="shared" si="14"/>
        <v/>
      </c>
      <c r="AF60" s="47" t="str">
        <f t="shared" si="15"/>
        <v/>
      </c>
      <c r="AG60" s="48" t="str">
        <f t="shared" si="16"/>
        <v/>
      </c>
      <c r="AH60" s="49" t="str">
        <f t="shared" si="17"/>
        <v/>
      </c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</row>
    <row r="61" ht="15.75" customHeight="1">
      <c r="A61" s="51">
        <v>54.0</v>
      </c>
      <c r="B61" s="52"/>
      <c r="C61" s="53"/>
      <c r="D61" s="40"/>
      <c r="E61" s="41" t="str">
        <f t="shared" si="1"/>
        <v/>
      </c>
      <c r="F61" s="40"/>
      <c r="G61" s="41" t="str">
        <f t="shared" si="2"/>
        <v/>
      </c>
      <c r="H61" s="40"/>
      <c r="I61" s="41" t="str">
        <f t="shared" si="3"/>
        <v/>
      </c>
      <c r="J61" s="40"/>
      <c r="K61" s="41" t="str">
        <f t="shared" si="4"/>
        <v/>
      </c>
      <c r="L61" s="40"/>
      <c r="M61" s="41" t="str">
        <f t="shared" si="5"/>
        <v/>
      </c>
      <c r="N61" s="40"/>
      <c r="O61" s="41" t="str">
        <f t="shared" si="6"/>
        <v/>
      </c>
      <c r="P61" s="40"/>
      <c r="Q61" s="41" t="str">
        <f t="shared" si="7"/>
        <v/>
      </c>
      <c r="R61" s="40"/>
      <c r="S61" s="41" t="str">
        <f t="shared" si="8"/>
        <v/>
      </c>
      <c r="T61" s="40"/>
      <c r="U61" s="42" t="str">
        <f t="shared" si="9"/>
        <v/>
      </c>
      <c r="V61" s="40"/>
      <c r="W61" s="55" t="str">
        <f t="shared" si="10"/>
        <v/>
      </c>
      <c r="X61" s="56"/>
      <c r="Y61" s="40"/>
      <c r="Z61" s="41" t="str">
        <f t="shared" si="11"/>
        <v/>
      </c>
      <c r="AA61" s="40"/>
      <c r="AB61" s="41" t="str">
        <f t="shared" si="12"/>
        <v/>
      </c>
      <c r="AC61" s="40"/>
      <c r="AD61" s="45" t="str">
        <f t="shared" si="13"/>
        <v/>
      </c>
      <c r="AE61" s="46" t="str">
        <f t="shared" si="14"/>
        <v/>
      </c>
      <c r="AF61" s="47" t="str">
        <f t="shared" si="15"/>
        <v/>
      </c>
      <c r="AG61" s="48" t="str">
        <f t="shared" si="16"/>
        <v/>
      </c>
      <c r="AH61" s="49" t="str">
        <f t="shared" si="17"/>
        <v/>
      </c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</row>
    <row r="62" ht="15.75" customHeight="1">
      <c r="A62" s="51">
        <v>55.0</v>
      </c>
      <c r="B62" s="58"/>
      <c r="C62" s="53"/>
      <c r="D62" s="40"/>
      <c r="E62" s="41" t="str">
        <f t="shared" si="1"/>
        <v/>
      </c>
      <c r="F62" s="40"/>
      <c r="G62" s="41" t="str">
        <f t="shared" si="2"/>
        <v/>
      </c>
      <c r="H62" s="40"/>
      <c r="I62" s="41" t="str">
        <f t="shared" si="3"/>
        <v/>
      </c>
      <c r="J62" s="40"/>
      <c r="K62" s="41" t="str">
        <f t="shared" si="4"/>
        <v/>
      </c>
      <c r="L62" s="40"/>
      <c r="M62" s="41" t="str">
        <f t="shared" si="5"/>
        <v/>
      </c>
      <c r="N62" s="40"/>
      <c r="O62" s="41" t="str">
        <f t="shared" si="6"/>
        <v/>
      </c>
      <c r="P62" s="40"/>
      <c r="Q62" s="41" t="str">
        <f t="shared" si="7"/>
        <v/>
      </c>
      <c r="R62" s="40"/>
      <c r="S62" s="41" t="str">
        <f t="shared" si="8"/>
        <v/>
      </c>
      <c r="T62" s="40"/>
      <c r="U62" s="42" t="str">
        <f t="shared" si="9"/>
        <v/>
      </c>
      <c r="V62" s="40"/>
      <c r="W62" s="59" t="str">
        <f t="shared" si="10"/>
        <v/>
      </c>
      <c r="X62" s="56"/>
      <c r="Y62" s="40"/>
      <c r="Z62" s="41" t="str">
        <f t="shared" si="11"/>
        <v/>
      </c>
      <c r="AA62" s="40"/>
      <c r="AB62" s="41" t="str">
        <f t="shared" si="12"/>
        <v/>
      </c>
      <c r="AC62" s="40"/>
      <c r="AD62" s="45" t="str">
        <f t="shared" si="13"/>
        <v/>
      </c>
      <c r="AE62" s="46" t="str">
        <f t="shared" si="14"/>
        <v/>
      </c>
      <c r="AF62" s="47" t="str">
        <f t="shared" si="15"/>
        <v/>
      </c>
      <c r="AG62" s="48" t="str">
        <f t="shared" si="16"/>
        <v/>
      </c>
      <c r="AH62" s="49" t="str">
        <f t="shared" si="17"/>
        <v/>
      </c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</row>
    <row r="63" ht="15.75" customHeight="1">
      <c r="A63" s="60" t="s">
        <v>30</v>
      </c>
      <c r="B63" s="23"/>
      <c r="C63" s="24"/>
      <c r="D63" s="61" t="str">
        <f>IF(COUNT(D8:D62)=0,"",(SUM(D8:D62)))</f>
        <v/>
      </c>
      <c r="E63" s="24"/>
      <c r="F63" s="61" t="str">
        <f>IF(COUNT(F8:F62)=0,"",(SUM(F8:F62)))</f>
        <v/>
      </c>
      <c r="G63" s="24"/>
      <c r="H63" s="61" t="str">
        <f>IF(COUNT(H8:H62)=0,"",(SUM(H8:H62)))</f>
        <v/>
      </c>
      <c r="I63" s="24"/>
      <c r="J63" s="61" t="str">
        <f>IF(COUNT(J8:J62)=0,"",(SUM(J8:J62)))</f>
        <v/>
      </c>
      <c r="K63" s="24"/>
      <c r="L63" s="61" t="str">
        <f>IF(COUNT(L8:L62)=0,"",(SUM(L8:L62)))</f>
        <v/>
      </c>
      <c r="M63" s="24"/>
      <c r="N63" s="61" t="str">
        <f>IF(COUNT(N8:N62)=0,"",(SUM(N8:N62)))</f>
        <v/>
      </c>
      <c r="O63" s="24"/>
      <c r="P63" s="61" t="str">
        <f>IF(COUNT(P8:P62)=0,"",(SUM(P8:P62)))</f>
        <v/>
      </c>
      <c r="Q63" s="24"/>
      <c r="R63" s="61" t="str">
        <f>IF(COUNT(R8:R62)=0,"",(SUM(R8:R62)))</f>
        <v/>
      </c>
      <c r="S63" s="24"/>
      <c r="T63" s="61" t="str">
        <f>IF(COUNT(T8:T62)=0,"",(SUM(T8:T62)))</f>
        <v/>
      </c>
      <c r="U63" s="24"/>
      <c r="V63" s="61" t="str">
        <f>IF(COUNT(V8:V62)=0,"",(SUM(V8:V62)))</f>
        <v/>
      </c>
      <c r="W63" s="62"/>
      <c r="X63" s="63"/>
      <c r="Y63" s="61" t="str">
        <f>IF(COUNT(Y8:Y62)=0,"",(SUM(Y8:Y62)))</f>
        <v/>
      </c>
      <c r="Z63" s="24"/>
      <c r="AA63" s="61" t="str">
        <f>IF(COUNT(AA8:AA62)=0,"",(SUM(AA8:AA62)))</f>
        <v/>
      </c>
      <c r="AB63" s="24"/>
      <c r="AC63" s="61" t="str">
        <f>IF(COUNT(AC8:AC62)=0,"",(SUM(AC8:AC62)))</f>
        <v/>
      </c>
      <c r="AD63" s="23"/>
      <c r="AE63" s="64" t="s">
        <v>31</v>
      </c>
      <c r="AF63" s="65"/>
      <c r="AG63" s="66"/>
      <c r="AH63" s="67" t="str">
        <f>IF(OR(COUNTIF(AH8:AH62,"P")&lt;&gt;0,COUNTIF(AH8:AH62,"F")&lt;&gt;0,COUNTIF(AH8:AH62,"ab")&lt;&gt;0),(COUNTIF(AH8:AH62,"P")),"")</f>
        <v/>
      </c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</row>
    <row r="64" ht="15.75" customHeight="1">
      <c r="A64" s="68" t="s">
        <v>32</v>
      </c>
      <c r="B64" s="69"/>
      <c r="C64" s="70"/>
      <c r="D64" s="71" t="str">
        <f>IF(D63="","",AVERAGE(D8:D62))</f>
        <v/>
      </c>
      <c r="E64" s="70"/>
      <c r="F64" s="71" t="str">
        <f>IF(F63="","",AVERAGE(F8:F62))</f>
        <v/>
      </c>
      <c r="G64" s="70"/>
      <c r="H64" s="71" t="str">
        <f>IF(H63="","",AVERAGE(H8:H62))</f>
        <v/>
      </c>
      <c r="I64" s="70"/>
      <c r="J64" s="71" t="str">
        <f>IF(J63="","",AVERAGE(J8:J62))</f>
        <v/>
      </c>
      <c r="K64" s="70"/>
      <c r="L64" s="71" t="str">
        <f>IF(L63="","",AVERAGE(L8:L62))</f>
        <v/>
      </c>
      <c r="M64" s="70"/>
      <c r="N64" s="71" t="str">
        <f>IF(N63="","",AVERAGE(N8:N62))</f>
        <v/>
      </c>
      <c r="O64" s="70"/>
      <c r="P64" s="71" t="str">
        <f>IF(P63="","",AVERAGE(P8:P62))</f>
        <v/>
      </c>
      <c r="Q64" s="70"/>
      <c r="R64" s="71" t="str">
        <f>IF(R63="","",AVERAGE(R8:R62))</f>
        <v/>
      </c>
      <c r="S64" s="70"/>
      <c r="T64" s="71" t="str">
        <f>IF(T63="","",AVERAGE(T8:T62))</f>
        <v/>
      </c>
      <c r="U64" s="70"/>
      <c r="V64" s="71" t="str">
        <f>IF(V63="","",AVERAGE(V8:V62))</f>
        <v/>
      </c>
      <c r="W64" s="72"/>
      <c r="X64" s="73"/>
      <c r="Y64" s="71" t="str">
        <f>IF(Y63="","",AVERAGE(Y8:Y62))</f>
        <v/>
      </c>
      <c r="Z64" s="70"/>
      <c r="AA64" s="71" t="str">
        <f>IF(AA63="","",AVERAGE(AA8:AA62))</f>
        <v/>
      </c>
      <c r="AB64" s="70"/>
      <c r="AC64" s="71" t="str">
        <f>IF(AC63="","",AVERAGE(AC8:AC62))</f>
        <v/>
      </c>
      <c r="AD64" s="69"/>
      <c r="AE64" s="74" t="s">
        <v>33</v>
      </c>
      <c r="AF64" s="9"/>
      <c r="AG64" s="10"/>
      <c r="AH64" s="67" t="str">
        <f>IF(OR(COUNTIF(AH8:AH62,"P")&lt;&gt;0,COUNTIF(AH8:AH62,"F")&lt;&gt;0,COUNTIF(AH8:AH62,"ab")&lt;&gt;0),(COUNTIF(AH8:AH62,"F")),"")</f>
        <v/>
      </c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</row>
    <row r="65" ht="15.75" customHeight="1">
      <c r="A65" s="75" t="s">
        <v>34</v>
      </c>
      <c r="B65" s="76"/>
      <c r="C65" s="77" t="s">
        <v>35</v>
      </c>
      <c r="D65" s="78"/>
      <c r="E65" s="79" t="str">
        <f>IF(D$63="","",(COUNTIF(E$8:E$62,"A")))</f>
        <v/>
      </c>
      <c r="F65" s="80"/>
      <c r="G65" s="79" t="str">
        <f>IF(F$63="","",(COUNTIF(G$8:G$62,"A")))</f>
        <v/>
      </c>
      <c r="H65" s="80"/>
      <c r="I65" s="79" t="str">
        <f>IF(H$63="","",(COUNTIF(I$8:I$62,"A")))</f>
        <v/>
      </c>
      <c r="J65" s="80"/>
      <c r="K65" s="79" t="str">
        <f>IF(J$63="","",(COUNTIF(K$8:K$62,"A")))</f>
        <v/>
      </c>
      <c r="L65" s="80"/>
      <c r="M65" s="79" t="str">
        <f>IF(L$63="","",(COUNTIF(M$8:M$62,"A")))</f>
        <v/>
      </c>
      <c r="N65" s="80"/>
      <c r="O65" s="79" t="str">
        <f>IF(N$63="","",(COUNTIF(O$8:O$62,"A")))</f>
        <v/>
      </c>
      <c r="P65" s="80"/>
      <c r="Q65" s="79" t="str">
        <f>IF(P$63="","",(COUNTIF(Q$8:Q$62,"A")))</f>
        <v/>
      </c>
      <c r="R65" s="80"/>
      <c r="S65" s="79" t="str">
        <f>IF(R$63="","",(COUNTIF(S$8:S$62,"A")))</f>
        <v/>
      </c>
      <c r="T65" s="80"/>
      <c r="U65" s="79" t="str">
        <f>IF(T$63="","",(COUNTIF(U$8:U$62,"A")))</f>
        <v/>
      </c>
      <c r="V65" s="81"/>
      <c r="W65" s="82" t="str">
        <f>IF(V$63="","",(COUNTIF(W$8:W$62,"A")))</f>
        <v/>
      </c>
      <c r="X65" s="81"/>
      <c r="Y65" s="80"/>
      <c r="Z65" s="79" t="str">
        <f>IF(Y$63="","",(COUNTIF(Z$8:Z$62,"A")))</f>
        <v/>
      </c>
      <c r="AA65" s="80"/>
      <c r="AB65" s="79" t="str">
        <f>IF(AA$63="","",(COUNTIF(AB$8:AB$62,"A")))</f>
        <v/>
      </c>
      <c r="AC65" s="80"/>
      <c r="AD65" s="83" t="str">
        <f>IF(AC$63="","",(COUNTIF(AD$8:AD$62,"A")))</f>
        <v/>
      </c>
      <c r="AE65" s="84" t="s">
        <v>36</v>
      </c>
      <c r="AF65" s="6"/>
      <c r="AG65" s="85"/>
      <c r="AH65" s="67" t="str">
        <f>IF(OR(COUNTIF(AH8:AH62,"P")&lt;&gt;0,COUNTIF(AH8:AH62,"F")&lt;&gt;0,COUNTIF(AH8:AH62,"ab")&lt;&gt;0),(COUNTIF(AH8:AH62,"ab")),"")</f>
        <v/>
      </c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</row>
    <row r="66" ht="15.75" customHeight="1">
      <c r="A66" s="86"/>
      <c r="B66" s="87"/>
      <c r="C66" s="88" t="s">
        <v>37</v>
      </c>
      <c r="D66" s="89"/>
      <c r="E66" s="90" t="str">
        <f>IF(D$63="","",(COUNTIF(E$8:E$62,"B")))</f>
        <v/>
      </c>
      <c r="F66" s="91"/>
      <c r="G66" s="90" t="str">
        <f>IF(F$63="","",(COUNTIF(G$8:G$62,"B")))</f>
        <v/>
      </c>
      <c r="H66" s="91"/>
      <c r="I66" s="90" t="str">
        <f>IF(H$63="","",(COUNTIF(I$8:I$62,"B")))</f>
        <v/>
      </c>
      <c r="J66" s="91"/>
      <c r="K66" s="90" t="str">
        <f>IF(J$63="","",(COUNTIF(K$8:K$62,"B")))</f>
        <v/>
      </c>
      <c r="L66" s="91"/>
      <c r="M66" s="90" t="str">
        <f>IF(L$63="","",(COUNTIF(M$8:M$62,"B")))</f>
        <v/>
      </c>
      <c r="N66" s="91"/>
      <c r="O66" s="90" t="str">
        <f>IF(N$63="","",(COUNTIF(O$8:O$62,"B")))</f>
        <v/>
      </c>
      <c r="P66" s="91"/>
      <c r="Q66" s="90" t="str">
        <f>IF(P$63="","",(COUNTIF(Q$8:Q$62,"B")))</f>
        <v/>
      </c>
      <c r="R66" s="91"/>
      <c r="S66" s="90" t="str">
        <f>IF(R$63="","",(COUNTIF(S$8:S$62,"B")))</f>
        <v/>
      </c>
      <c r="T66" s="91"/>
      <c r="U66" s="90" t="str">
        <f>IF(T$63="","",(COUNTIF(U$8:U$62,"B")))</f>
        <v/>
      </c>
      <c r="V66" s="91"/>
      <c r="W66" s="90" t="str">
        <f>IF(V$63="","",(COUNTIF(W$8:W$62,"B")))</f>
        <v/>
      </c>
      <c r="X66" s="91"/>
      <c r="Y66" s="91"/>
      <c r="Z66" s="90" t="str">
        <f>IF(Y$63="","",(COUNTIF(Z$8:Z$62,"B")))</f>
        <v/>
      </c>
      <c r="AA66" s="91"/>
      <c r="AB66" s="90" t="str">
        <f>IF(AA$63="","",(COUNTIF(AB$8:AB$62,"B")))</f>
        <v/>
      </c>
      <c r="AC66" s="91"/>
      <c r="AD66" s="92" t="str">
        <f>IF(AC$63="","",(COUNTIF(AD$8:AD$62,"B")))</f>
        <v/>
      </c>
      <c r="AE66" s="93"/>
      <c r="AF66" s="93"/>
      <c r="AG66" s="81"/>
      <c r="AH66" s="94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</row>
    <row r="67" ht="15.75" customHeight="1">
      <c r="A67" s="86"/>
      <c r="B67" s="87"/>
      <c r="C67" s="88" t="s">
        <v>38</v>
      </c>
      <c r="D67" s="89"/>
      <c r="E67" s="90" t="str">
        <f>IF(D$63="","",(COUNTIF(E$8:E$62,"C")))</f>
        <v/>
      </c>
      <c r="F67" s="91"/>
      <c r="G67" s="90" t="str">
        <f>IF(F$63="","",(COUNTIF(G$8:G$62,"C")))</f>
        <v/>
      </c>
      <c r="H67" s="91"/>
      <c r="I67" s="90" t="str">
        <f>IF(H$63="","",(COUNTIF(I$8:I$62,"C")))</f>
        <v/>
      </c>
      <c r="J67" s="91"/>
      <c r="K67" s="90" t="str">
        <f>IF(J$63="","",(COUNTIF(K$8:K$62,"C")))</f>
        <v/>
      </c>
      <c r="L67" s="91"/>
      <c r="M67" s="90" t="str">
        <f>IF(L$63="","",(COUNTIF(M$8:M$62,"C")))</f>
        <v/>
      </c>
      <c r="N67" s="91"/>
      <c r="O67" s="90" t="str">
        <f>IF(N$63="","",(COUNTIF(O$8:O$62,"C")))</f>
        <v/>
      </c>
      <c r="P67" s="91"/>
      <c r="Q67" s="90" t="str">
        <f>IF(P$63="","",(COUNTIF(Q$8:Q$62,"C")))</f>
        <v/>
      </c>
      <c r="R67" s="91"/>
      <c r="S67" s="90" t="str">
        <f>IF(R$63="","",(COUNTIF(S$8:S$62,"C")))</f>
        <v/>
      </c>
      <c r="T67" s="91"/>
      <c r="U67" s="90" t="str">
        <f>IF(T$63="","",(COUNTIF(U$8:U$62,"C")))</f>
        <v/>
      </c>
      <c r="V67" s="91"/>
      <c r="W67" s="90" t="str">
        <f>IF(V$63="","",(COUNTIF(W$8:W$62,"C")))</f>
        <v/>
      </c>
      <c r="X67" s="91"/>
      <c r="Y67" s="91"/>
      <c r="Z67" s="90" t="str">
        <f>IF(Y$63="","",(COUNTIF(Z$8:Z$62,"C")))</f>
        <v/>
      </c>
      <c r="AA67" s="91"/>
      <c r="AB67" s="90" t="str">
        <f>IF(AA$63="","",(COUNTIF(AB$8:AB$62,"C")))</f>
        <v/>
      </c>
      <c r="AC67" s="91"/>
      <c r="AD67" s="92" t="str">
        <f>IF(AC$63="","",(COUNTIF(AD$8:AD$62,"C")))</f>
        <v/>
      </c>
      <c r="AE67" s="95"/>
      <c r="AF67" s="95"/>
      <c r="AG67" s="91"/>
      <c r="AH67" s="96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</row>
    <row r="68" ht="15.75" customHeight="1">
      <c r="A68" s="86"/>
      <c r="B68" s="87"/>
      <c r="C68" s="88" t="s">
        <v>39</v>
      </c>
      <c r="D68" s="89"/>
      <c r="E68" s="90" t="str">
        <f>IF(D$63="","",(COUNTIF(E$8:E$62,"S")))</f>
        <v/>
      </c>
      <c r="F68" s="91"/>
      <c r="G68" s="90" t="str">
        <f>IF(F$63="","",(COUNTIF(G$8:G$62,"S")))</f>
        <v/>
      </c>
      <c r="H68" s="91"/>
      <c r="I68" s="90" t="str">
        <f>IF(H$63="","",(COUNTIF(I$8:I$62,"S")))</f>
        <v/>
      </c>
      <c r="J68" s="91"/>
      <c r="K68" s="90" t="str">
        <f>IF(J$63="","",(COUNTIF(K$8:K$62,"S")))</f>
        <v/>
      </c>
      <c r="L68" s="91"/>
      <c r="M68" s="90" t="str">
        <f>IF(L$63="","",(COUNTIF(M$8:M$62,"S")))</f>
        <v/>
      </c>
      <c r="N68" s="91"/>
      <c r="O68" s="90" t="str">
        <f>IF(N$63="","",(COUNTIF(O$8:O$62,"S")))</f>
        <v/>
      </c>
      <c r="P68" s="91"/>
      <c r="Q68" s="90" t="str">
        <f>IF(P$63="","",(COUNTIF(Q$8:Q$62,"S")))</f>
        <v/>
      </c>
      <c r="R68" s="91"/>
      <c r="S68" s="90" t="str">
        <f>IF(R$63="","",(COUNTIF(S$8:S$62,"S")))</f>
        <v/>
      </c>
      <c r="T68" s="91"/>
      <c r="U68" s="90" t="str">
        <f>IF(T$63="","",(COUNTIF(U$8:U$62,"S")))</f>
        <v/>
      </c>
      <c r="V68" s="91"/>
      <c r="W68" s="90" t="str">
        <f>IF(V$63="","",(COUNTIF(W$8:W$62,"S")))</f>
        <v/>
      </c>
      <c r="X68" s="91"/>
      <c r="Y68" s="91"/>
      <c r="Z68" s="90" t="str">
        <f>IF(Y$63="","",(COUNTIF(Z$8:Z$62,"S")))</f>
        <v/>
      </c>
      <c r="AA68" s="91"/>
      <c r="AB68" s="90" t="str">
        <f>IF(AA$63="","",(COUNTIF(AB$8:AB$62,"S")))</f>
        <v/>
      </c>
      <c r="AC68" s="91"/>
      <c r="AD68" s="92" t="str">
        <f>IF(AC$63="","",(COUNTIF(AD$8:AD$62,"S")))</f>
        <v/>
      </c>
      <c r="AE68" s="95"/>
      <c r="AF68" s="95"/>
      <c r="AG68" s="91"/>
      <c r="AH68" s="96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</row>
    <row r="69" ht="15.75" customHeight="1">
      <c r="A69" s="97"/>
      <c r="B69" s="98"/>
      <c r="C69" s="99" t="s">
        <v>40</v>
      </c>
      <c r="D69" s="89"/>
      <c r="E69" s="100" t="str">
        <f>IF(D$63="","",(COUNTIF(E$8:E$62,"W")))</f>
        <v/>
      </c>
      <c r="F69" s="101"/>
      <c r="G69" s="100" t="str">
        <f>IF(F$63="","",(COUNTIF(G$8:G$62,"W")))</f>
        <v/>
      </c>
      <c r="H69" s="101"/>
      <c r="I69" s="100" t="str">
        <f>IF(H$63="","",(COUNTIF(I$8:I$62,"W")))</f>
        <v/>
      </c>
      <c r="J69" s="101"/>
      <c r="K69" s="100" t="str">
        <f>IF(J$63="","",(COUNTIF(K$8:K$62,"W")))</f>
        <v/>
      </c>
      <c r="L69" s="101"/>
      <c r="M69" s="100" t="str">
        <f>IF(L$63="","",(COUNTIF(M$8:M$62,"W")))</f>
        <v/>
      </c>
      <c r="N69" s="101"/>
      <c r="O69" s="100" t="str">
        <f>IF(N$63="","",(COUNTIF(O$8:O$62,"W")))</f>
        <v/>
      </c>
      <c r="P69" s="101"/>
      <c r="Q69" s="100" t="str">
        <f>IF(P$63="","",(COUNTIF(Q$8:Q$62,"W")))</f>
        <v/>
      </c>
      <c r="R69" s="101"/>
      <c r="S69" s="100" t="str">
        <f>IF(R$63="","",(COUNTIF(S$8:S$62,"W")))</f>
        <v/>
      </c>
      <c r="T69" s="101"/>
      <c r="U69" s="100" t="str">
        <f>IF(T$63="","",(COUNTIF(U$8:U$62,"W")))</f>
        <v/>
      </c>
      <c r="V69" s="101"/>
      <c r="W69" s="100" t="str">
        <f>IF(V$63="","",(COUNTIF(W$8:W$62,"W")))</f>
        <v/>
      </c>
      <c r="X69" s="101"/>
      <c r="Y69" s="101"/>
      <c r="Z69" s="100" t="str">
        <f>IF(Y$63="","",(COUNTIF(Z$8:Z$62,"W")))</f>
        <v/>
      </c>
      <c r="AA69" s="101"/>
      <c r="AB69" s="100" t="str">
        <f>IF(AA$63="","",(COUNTIF(AB$8:AB$62,"W")))</f>
        <v/>
      </c>
      <c r="AC69" s="101"/>
      <c r="AD69" s="102" t="str">
        <f>IF(AC$63="","",(COUNTIF(AD$8:AD$62,"W")))</f>
        <v/>
      </c>
      <c r="AE69" s="95"/>
      <c r="AF69" s="95"/>
      <c r="AG69" s="91"/>
      <c r="AH69" s="96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</row>
    <row r="70" ht="15.75" customHeight="1">
      <c r="A70" s="74" t="s">
        <v>30</v>
      </c>
      <c r="B70" s="9"/>
      <c r="C70" s="10"/>
      <c r="D70" s="68"/>
      <c r="E70" s="103" t="str">
        <f>IF(D$63="","",(SUM(E65:E69)))</f>
        <v/>
      </c>
      <c r="F70" s="104"/>
      <c r="G70" s="105" t="str">
        <f>IF(F$63="","",(SUM(G65:G69)))</f>
        <v/>
      </c>
      <c r="H70" s="104"/>
      <c r="I70" s="105" t="str">
        <f>IF(H$63="","",(SUM(I65:I69)))</f>
        <v/>
      </c>
      <c r="J70" s="104"/>
      <c r="K70" s="105" t="str">
        <f>IF(J$63="","",(SUM(K65:K69)))</f>
        <v/>
      </c>
      <c r="L70" s="104"/>
      <c r="M70" s="105" t="str">
        <f>IF(L$63="","",(SUM(M65:M69)))</f>
        <v/>
      </c>
      <c r="N70" s="104"/>
      <c r="O70" s="105" t="str">
        <f>IF(N$63="","",(SUM(O65:O69)))</f>
        <v/>
      </c>
      <c r="P70" s="104"/>
      <c r="Q70" s="105" t="str">
        <f>IF(P$63="","",(SUM(Q65:Q69)))</f>
        <v/>
      </c>
      <c r="R70" s="104"/>
      <c r="S70" s="105" t="str">
        <f>IF(R$63="","",(SUM(S65:S69)))</f>
        <v/>
      </c>
      <c r="T70" s="104"/>
      <c r="U70" s="105" t="str">
        <f>IF(T$63="","",(SUM(U65:U69)))</f>
        <v/>
      </c>
      <c r="V70" s="104"/>
      <c r="W70" s="105" t="str">
        <f>IF(V$63="","",(SUM(W65:W69)))</f>
        <v/>
      </c>
      <c r="X70" s="104"/>
      <c r="Y70" s="104"/>
      <c r="Z70" s="105" t="str">
        <f>IF(Y$63="","",(SUM(Z65:Z69)))</f>
        <v/>
      </c>
      <c r="AA70" s="104"/>
      <c r="AB70" s="105" t="str">
        <f>IF(AA$63="","",(SUM(AB65:AB69)))</f>
        <v/>
      </c>
      <c r="AC70" s="104"/>
      <c r="AD70" s="106" t="str">
        <f>IF(AC$63="","",(SUM(AD65:AD69)))</f>
        <v/>
      </c>
      <c r="AE70" s="107"/>
      <c r="AF70" s="107"/>
      <c r="AG70" s="108"/>
      <c r="AH70" s="109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</row>
    <row r="71" ht="15.75" customHeight="1">
      <c r="A71" s="50"/>
      <c r="B71" s="50"/>
      <c r="C71" s="50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7"/>
      <c r="AF71" s="107"/>
      <c r="AG71" s="108"/>
      <c r="AH71" s="109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</row>
    <row r="72" ht="15.75" customHeight="1">
      <c r="A72" s="50"/>
      <c r="B72" s="50"/>
      <c r="C72" s="110" t="s">
        <v>41</v>
      </c>
      <c r="D72" s="111" t="str">
        <f>IF(D$63="","",(COUNTIFS(D$8:D$62,"&lt;=39",D$8:D$62,"&gt;=31")))</f>
        <v/>
      </c>
      <c r="E72" s="80"/>
      <c r="F72" s="111" t="str">
        <f>IF(F$63="","",(COUNTIFS(F$8:F$62,"&lt;=39",F$8:F$62,"&gt;=31")))</f>
        <v/>
      </c>
      <c r="G72" s="80"/>
      <c r="H72" s="111" t="str">
        <f>IF(H$63="","",(COUNTIFS(H$8:H$62,"&lt;=39",H$8:H$62,"&gt;=31")))</f>
        <v/>
      </c>
      <c r="I72" s="80"/>
      <c r="J72" s="111" t="str">
        <f>IF(J$63="","",(COUNTIFS(J$8:J$62,"&lt;=39",J$8:J$62,"&gt;=31")))</f>
        <v/>
      </c>
      <c r="K72" s="80"/>
      <c r="L72" s="111" t="str">
        <f>IF(L$63="","",(COUNTIFS(L$8:L$62,"&lt;=39",L$8:L$62,"&gt;=31")))</f>
        <v/>
      </c>
      <c r="M72" s="80"/>
      <c r="N72" s="111" t="str">
        <f>IF(N$63="","",(COUNTIFS(N$8:N$62,"&lt;=39",N$8:N$62,"&gt;=31")))</f>
        <v/>
      </c>
      <c r="O72" s="80"/>
      <c r="P72" s="111" t="str">
        <f>IF(P$63="","",(COUNTIFS(P$8:P$62,"&lt;=39",P$8:P$62,"&gt;=31")))</f>
        <v/>
      </c>
      <c r="Q72" s="80"/>
      <c r="R72" s="111" t="str">
        <f>IF(R$63="","",(COUNTIFS(R$8:R$62,"&lt;=39",R$8:R$62,"&gt;=31")))</f>
        <v/>
      </c>
      <c r="S72" s="80"/>
      <c r="T72" s="111" t="str">
        <f>IF(T$63="","",(COUNTIFS(T$8:T$62,"&lt;=39",T$8:T$62,"&gt;=31")))</f>
        <v/>
      </c>
      <c r="U72" s="80"/>
      <c r="V72" s="111" t="str">
        <f>IF(V$63="","",(COUNTIFS(V$8:V$62,"&lt;=39",V$8:V$62,"&gt;=31")))</f>
        <v/>
      </c>
      <c r="W72" s="80"/>
      <c r="X72" s="80"/>
      <c r="Y72" s="111" t="str">
        <f>IF(Y$63="","",(COUNTIFS(Y$8:Y$62,"&lt;=39",Y$8:Y$62,"&gt;=31")))</f>
        <v/>
      </c>
      <c r="Z72" s="80"/>
      <c r="AA72" s="111" t="str">
        <f>IF(AA$63="","",(COUNTIFS(AA$8:AA$62,"&lt;=39",AA$8:AA$62,"&gt;=31")))</f>
        <v/>
      </c>
      <c r="AB72" s="80"/>
      <c r="AC72" s="111" t="str">
        <f>IF(AC$63="","",(COUNTIFS(AC$8:AC$62,"&lt;=39",AC$8:AC$62,"&gt;=31")))</f>
        <v/>
      </c>
      <c r="AD72" s="112"/>
      <c r="AE72" s="50"/>
      <c r="AF72" s="50"/>
      <c r="AG72" s="50"/>
      <c r="AH72" s="109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</row>
    <row r="73" ht="15.75" customHeight="1">
      <c r="A73" s="50"/>
      <c r="B73" s="50"/>
      <c r="C73" s="113" t="s">
        <v>42</v>
      </c>
      <c r="D73" s="114" t="str">
        <f>IF(D$63="","",(COUNTIFS(D$8:D$62,"&lt;=30",D$8:D$62,"&gt;=21")))</f>
        <v/>
      </c>
      <c r="E73" s="91"/>
      <c r="F73" s="114" t="str">
        <f>IF(F$63="","",(COUNTIFS(F$8:F$62,"&lt;=30",F$8:F$62,"&gt;=21")))</f>
        <v/>
      </c>
      <c r="G73" s="91"/>
      <c r="H73" s="114" t="str">
        <f>IF(H$63="","",(COUNTIFS(H$8:H$62,"&lt;=30",H$8:H$62,"&gt;=21")))</f>
        <v/>
      </c>
      <c r="I73" s="91"/>
      <c r="J73" s="114" t="str">
        <f>IF(J$63="","",(COUNTIFS(J$8:J$62,"&lt;=30",J$8:J$62,"&gt;=21")))</f>
        <v/>
      </c>
      <c r="K73" s="91"/>
      <c r="L73" s="114" t="str">
        <f>IF(L$63="","",(COUNTIFS(L$8:L$62,"&lt;=30",L$8:L$62,"&gt;=21")))</f>
        <v/>
      </c>
      <c r="M73" s="91"/>
      <c r="N73" s="114" t="str">
        <f>IF(N$63="","",(COUNTIFS(N$8:N$62,"&lt;=30",N$8:N$62,"&gt;=21")))</f>
        <v/>
      </c>
      <c r="O73" s="91"/>
      <c r="P73" s="114" t="str">
        <f>IF(P$63="","",(COUNTIFS(P$8:P$62,"&lt;=30",P$8:P$62,"&gt;=21")))</f>
        <v/>
      </c>
      <c r="Q73" s="91"/>
      <c r="R73" s="114" t="str">
        <f>IF(R$63="","",(COUNTIFS(R$8:R$62,"&lt;=30",R$8:R$62,"&gt;=21")))</f>
        <v/>
      </c>
      <c r="S73" s="91"/>
      <c r="T73" s="114" t="str">
        <f>IF(T$63="","",(COUNTIFS(T$8:T$62,"&lt;=30",T$8:T$62,"&gt;=21")))</f>
        <v/>
      </c>
      <c r="U73" s="91"/>
      <c r="V73" s="114" t="str">
        <f>IF(V$63="","",(COUNTIFS(V$8:V$62,"&lt;=30",V$8:V$62,"&gt;=21")))</f>
        <v/>
      </c>
      <c r="W73" s="91"/>
      <c r="X73" s="91"/>
      <c r="Y73" s="114" t="str">
        <f>IF(Y$63="","",(COUNTIFS(Y$8:Y$62,"&lt;=30",Y$8:Y$62,"&gt;=21")))</f>
        <v/>
      </c>
      <c r="Z73" s="91"/>
      <c r="AA73" s="114" t="str">
        <f>IF(AA$63="","",(COUNTIFS(AA$8:AA$62,"&lt;=30",AA$8:AA$62,"&gt;=21")))</f>
        <v/>
      </c>
      <c r="AB73" s="91"/>
      <c r="AC73" s="114" t="str">
        <f>IF(AC$63="","",(COUNTIFS(AC$8:AC$62,"&lt;=30",AC$8:AC$62,"&gt;=21")))</f>
        <v/>
      </c>
      <c r="AD73" s="115"/>
      <c r="AE73" s="116"/>
      <c r="AF73" s="50"/>
      <c r="AG73" s="50"/>
      <c r="AH73" s="109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</row>
    <row r="74" ht="15.75" customHeight="1">
      <c r="A74" s="50"/>
      <c r="B74" s="50"/>
      <c r="C74" s="117" t="s">
        <v>43</v>
      </c>
      <c r="D74" s="114" t="str">
        <f>IF(D$63="","",(COUNTIFS(D$8:D$62,"&lt;=20",D$8:D$62,"&gt;=11")))</f>
        <v/>
      </c>
      <c r="E74" s="91"/>
      <c r="F74" s="114" t="str">
        <f>IF(F$63="","",(COUNTIFS(F$8:F$62,"&lt;=20",F$8:F$62,"&gt;=11")))</f>
        <v/>
      </c>
      <c r="G74" s="91"/>
      <c r="H74" s="114" t="str">
        <f>IF(H$63="","",(COUNTIFS(H$8:H$62,"&lt;=20",H$8:H$62,"&gt;=11")))</f>
        <v/>
      </c>
      <c r="I74" s="91"/>
      <c r="J74" s="114" t="str">
        <f>IF(J$63="","",(COUNTIFS(J$8:J$62,"&lt;=20",J$8:J$62,"&gt;=11")))</f>
        <v/>
      </c>
      <c r="K74" s="91"/>
      <c r="L74" s="114" t="str">
        <f>IF(L$63="","",(COUNTIFS(L$8:L$62,"&lt;=20",L$8:L$62,"&gt;=11")))</f>
        <v/>
      </c>
      <c r="M74" s="91"/>
      <c r="N74" s="114" t="str">
        <f>IF(N$63="","",(COUNTIFS(N$8:N$62,"&lt;=20",N$8:N$62,"&gt;=11")))</f>
        <v/>
      </c>
      <c r="O74" s="91"/>
      <c r="P74" s="114" t="str">
        <f>IF(P$63="","",(COUNTIFS(P$8:P$62,"&lt;=20",P$8:P$62,"&gt;=11")))</f>
        <v/>
      </c>
      <c r="Q74" s="91"/>
      <c r="R74" s="114" t="str">
        <f>IF(R$63="","",(COUNTIFS(R$8:R$62,"&lt;=20",R$8:R$62,"&gt;=11")))</f>
        <v/>
      </c>
      <c r="S74" s="91"/>
      <c r="T74" s="114" t="str">
        <f>IF(T$63="","",(COUNTIFS(T$8:T$62,"&lt;=20",T$8:T$62,"&gt;=11")))</f>
        <v/>
      </c>
      <c r="U74" s="91"/>
      <c r="V74" s="114" t="str">
        <f>IF(V$63="","",(COUNTIFS(V$8:V$62,"&lt;=20",V$8:V$62,"&gt;=11")))</f>
        <v/>
      </c>
      <c r="W74" s="91"/>
      <c r="X74" s="91"/>
      <c r="Y74" s="114" t="str">
        <f>IF(Y$63="","",(COUNTIFS(Y$8:Y$62,"&lt;=20",Y$8:Y$62,"&gt;=11")))</f>
        <v/>
      </c>
      <c r="Z74" s="91"/>
      <c r="AA74" s="114" t="str">
        <f>IF(AA$63="","",(COUNTIFS(AA$8:AA$62,"&lt;=20",AA$8:AA$62,"&gt;=11")))</f>
        <v/>
      </c>
      <c r="AB74" s="91"/>
      <c r="AC74" s="114" t="str">
        <f>IF(AC$63="","",(COUNTIFS(AC$8:AC$62,"&lt;=20",AC$8:AC$62,"&gt;=11")))</f>
        <v/>
      </c>
      <c r="AD74" s="115"/>
      <c r="AE74" s="116"/>
      <c r="AF74" s="50"/>
      <c r="AG74" s="118"/>
      <c r="AH74" s="109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</row>
    <row r="75" ht="15.75" customHeight="1">
      <c r="A75" s="50"/>
      <c r="B75" s="50"/>
      <c r="C75" s="119" t="s">
        <v>44</v>
      </c>
      <c r="D75" s="120" t="str">
        <f>IF(D$63="","",(COUNTIFS(D$8:D$62,"&gt;=0",D$8:D$62,"&lt;=10")))</f>
        <v/>
      </c>
      <c r="E75" s="121"/>
      <c r="F75" s="120" t="str">
        <f>IF(F$63="","",(COUNTIFS(F$8:F$62,"&gt;=0",F$8:F$62,"&lt;=10")))</f>
        <v/>
      </c>
      <c r="G75" s="121"/>
      <c r="H75" s="120" t="str">
        <f>IF(H$63="","",(COUNTIFS(H$8:H$62,"&gt;=0",H$8:H$62,"&lt;=10")))</f>
        <v/>
      </c>
      <c r="I75" s="121"/>
      <c r="J75" s="120" t="str">
        <f>IF(J$63="","",(COUNTIFS(J$8:J$62,"&gt;=0",J$8:J$62,"&lt;=10")))</f>
        <v/>
      </c>
      <c r="K75" s="121"/>
      <c r="L75" s="120" t="str">
        <f>IF(L$63="","",(COUNTIFS(L$8:L$62,"&gt;=0",L$8:L$62,"&lt;=10")))</f>
        <v/>
      </c>
      <c r="M75" s="121"/>
      <c r="N75" s="120" t="str">
        <f>IF(N$63="","",(COUNTIFS(N$8:N$62,"&gt;=0",N$8:N$62,"&lt;=10")))</f>
        <v/>
      </c>
      <c r="O75" s="121"/>
      <c r="P75" s="120" t="str">
        <f>IF(P$63="","",(COUNTIFS(P$8:P$62,"&gt;=0",P$8:P$62,"&lt;=10")))</f>
        <v/>
      </c>
      <c r="Q75" s="121"/>
      <c r="R75" s="120" t="str">
        <f>IF(R$63="","",(COUNTIFS(R$8:R$62,"&gt;=0",R$8:R$62,"&lt;=10")))</f>
        <v/>
      </c>
      <c r="S75" s="121"/>
      <c r="T75" s="120" t="str">
        <f>IF(T$63="","",(COUNTIFS(T$8:T$62,"&gt;=0",T$8:T$62,"&lt;=10")))</f>
        <v/>
      </c>
      <c r="U75" s="121"/>
      <c r="V75" s="120" t="str">
        <f>IF(V$63="","",(COUNTIFS(V$8:V$62,"&gt;=0",V$8:V$62,"&lt;=10")))</f>
        <v/>
      </c>
      <c r="W75" s="121"/>
      <c r="X75" s="121"/>
      <c r="Y75" s="120" t="str">
        <f>IF(Y$63="","",(COUNTIFS(Y$8:Y$62,"&gt;=0",Y$8:Y$62,"&lt;=10")))</f>
        <v/>
      </c>
      <c r="Z75" s="121"/>
      <c r="AA75" s="120" t="str">
        <f>IF(AA$63="","",(COUNTIFS(AA$8:AA$62,"&gt;=0",AA$8:AA$62,"&lt;=10")))</f>
        <v/>
      </c>
      <c r="AB75" s="121"/>
      <c r="AC75" s="120" t="str">
        <f>IF(AC$63="","",(COUNTIFS(AC$8:AC$62,"&gt;=0",AC$8:AC$62,"&lt;=10")))</f>
        <v/>
      </c>
      <c r="AD75" s="122"/>
      <c r="AE75" s="116"/>
      <c r="AF75" s="50"/>
      <c r="AG75" s="118"/>
      <c r="AH75" s="109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</row>
    <row r="76" ht="15.75" customHeight="1">
      <c r="A76" s="50"/>
      <c r="B76" s="50"/>
      <c r="C76" s="123"/>
      <c r="D76" s="50"/>
      <c r="E76" s="108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116"/>
      <c r="AF76" s="50"/>
      <c r="AG76" s="50"/>
      <c r="AH76" s="109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</row>
    <row r="77" ht="15.75" customHeight="1">
      <c r="A77" s="50"/>
      <c r="B77" s="124"/>
      <c r="C77" s="50" t="s">
        <v>45</v>
      </c>
      <c r="D77" s="124" t="s">
        <v>46</v>
      </c>
      <c r="E77" s="118" t="s">
        <v>47</v>
      </c>
      <c r="K77" s="123"/>
      <c r="L77" s="124" t="s">
        <v>46</v>
      </c>
      <c r="M77" s="118" t="s">
        <v>48</v>
      </c>
      <c r="N77" s="123"/>
      <c r="O77" s="123"/>
      <c r="P77" s="50"/>
      <c r="Q77" s="123"/>
      <c r="R77" s="123"/>
      <c r="S77" s="123"/>
      <c r="T77" s="124" t="s">
        <v>46</v>
      </c>
      <c r="U77" s="118" t="s">
        <v>49</v>
      </c>
      <c r="W77" s="50"/>
      <c r="X77" s="50"/>
      <c r="Y77" s="123"/>
      <c r="Z77" s="123"/>
      <c r="AA77" s="125" t="s">
        <v>29</v>
      </c>
      <c r="AB77" s="126" t="s">
        <v>50</v>
      </c>
      <c r="AC77" s="127"/>
      <c r="AD77" s="127"/>
      <c r="AE77" s="127"/>
      <c r="AF77" s="127"/>
      <c r="AG77" s="127"/>
      <c r="AH77" s="128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</row>
    <row r="78" ht="15.75" customHeight="1">
      <c r="A78" s="50"/>
      <c r="B78" s="50"/>
      <c r="C78" s="123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129" t="s">
        <v>51</v>
      </c>
      <c r="AB78" s="130" t="s">
        <v>52</v>
      </c>
      <c r="AC78" s="127"/>
      <c r="AD78" s="127"/>
      <c r="AE78" s="127"/>
      <c r="AF78" s="127"/>
      <c r="AG78" s="127"/>
      <c r="AH78" s="128"/>
      <c r="AI78" s="1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</row>
    <row r="79" ht="15.75" customHeight="1">
      <c r="A79" s="50"/>
      <c r="B79" s="50"/>
      <c r="C79" s="123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129" t="s">
        <v>53</v>
      </c>
      <c r="AB79" s="130" t="s">
        <v>54</v>
      </c>
      <c r="AC79" s="127"/>
      <c r="AD79" s="127"/>
      <c r="AE79" s="127"/>
      <c r="AF79" s="127"/>
      <c r="AG79" s="127"/>
      <c r="AH79" s="128"/>
      <c r="AI79" s="1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</row>
    <row r="80" ht="15.75" customHeight="1">
      <c r="A80" s="50"/>
      <c r="B80" s="50"/>
      <c r="C80" s="123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129" t="s">
        <v>55</v>
      </c>
      <c r="AB80" s="130" t="s">
        <v>56</v>
      </c>
      <c r="AC80" s="127"/>
      <c r="AD80" s="127"/>
      <c r="AE80" s="127"/>
      <c r="AF80" s="127"/>
      <c r="AG80" s="127"/>
      <c r="AH80" s="128"/>
      <c r="AI80" s="1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</row>
    <row r="81" ht="15.75" customHeight="1">
      <c r="A81" s="50"/>
      <c r="B81" s="50"/>
      <c r="C81" s="123"/>
      <c r="D81" s="50"/>
      <c r="E81" s="108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129" t="s">
        <v>57</v>
      </c>
      <c r="AB81" s="130" t="s">
        <v>58</v>
      </c>
      <c r="AC81" s="127"/>
      <c r="AD81" s="127"/>
      <c r="AE81" s="127"/>
      <c r="AF81" s="127"/>
      <c r="AG81" s="127"/>
      <c r="AH81" s="128"/>
      <c r="AI81" s="1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</row>
    <row r="82" ht="15.75" customHeight="1">
      <c r="A82" s="50"/>
      <c r="B82" s="50"/>
      <c r="C82" s="123"/>
      <c r="D82" s="50"/>
      <c r="E82" s="108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129" t="s">
        <v>59</v>
      </c>
      <c r="AB82" s="130" t="s">
        <v>60</v>
      </c>
      <c r="AC82" s="127"/>
      <c r="AD82" s="127"/>
      <c r="AE82" s="127"/>
      <c r="AF82" s="127"/>
      <c r="AG82" s="127"/>
      <c r="AH82" s="128"/>
      <c r="AI82" s="1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129" t="s">
        <v>61</v>
      </c>
      <c r="AB83" s="130" t="s">
        <v>62</v>
      </c>
      <c r="AC83" s="127"/>
      <c r="AD83" s="127"/>
      <c r="AE83" s="127"/>
      <c r="AF83" s="127"/>
      <c r="AG83" s="127"/>
      <c r="AH83" s="128"/>
      <c r="AI83" s="1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</row>
    <row r="84" ht="15.75" customHeight="1">
      <c r="A84" s="1"/>
      <c r="B84" s="3" t="s">
        <v>63</v>
      </c>
      <c r="D84" s="1"/>
      <c r="E84" s="1"/>
      <c r="F84" s="3" t="s">
        <v>64</v>
      </c>
      <c r="K84" s="1"/>
      <c r="L84" s="1"/>
      <c r="M84" s="3" t="s">
        <v>63</v>
      </c>
      <c r="V84" s="1"/>
      <c r="W84" s="1"/>
      <c r="X84" s="1"/>
      <c r="Y84" s="1"/>
      <c r="Z84" s="1"/>
      <c r="AA84" s="129" t="s">
        <v>65</v>
      </c>
      <c r="AB84" s="131"/>
      <c r="AC84" s="127"/>
      <c r="AD84" s="127"/>
      <c r="AE84" s="127"/>
      <c r="AF84" s="127"/>
      <c r="AG84" s="127"/>
      <c r="AH84" s="128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ht="15.75" customHeight="1">
      <c r="A85" s="1"/>
      <c r="B85" s="3" t="s">
        <v>66</v>
      </c>
      <c r="D85" s="1"/>
      <c r="E85" s="1"/>
      <c r="F85" s="3" t="s">
        <v>67</v>
      </c>
      <c r="K85" s="1"/>
      <c r="L85" s="1"/>
      <c r="M85" s="4" t="s">
        <v>68</v>
      </c>
      <c r="V85" s="1"/>
      <c r="W85" s="1"/>
      <c r="X85" s="1"/>
      <c r="Y85" s="1"/>
      <c r="Z85" s="1"/>
      <c r="AA85" s="129" t="s">
        <v>69</v>
      </c>
      <c r="AB85" s="131"/>
      <c r="AC85" s="127"/>
      <c r="AD85" s="127"/>
      <c r="AE85" s="127"/>
      <c r="AF85" s="127"/>
      <c r="AG85" s="127"/>
      <c r="AH85" s="128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V86" s="1"/>
      <c r="W86" s="1"/>
      <c r="X86" s="1"/>
      <c r="Y86" s="1"/>
      <c r="Z86" s="1"/>
      <c r="AA86" s="129" t="s">
        <v>70</v>
      </c>
      <c r="AB86" s="131"/>
      <c r="AC86" s="127"/>
      <c r="AD86" s="127"/>
      <c r="AE86" s="127"/>
      <c r="AF86" s="127"/>
      <c r="AG86" s="127"/>
      <c r="AH86" s="128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2"/>
      <c r="AF87" s="2"/>
      <c r="AG87" s="3"/>
      <c r="AH87" s="4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2"/>
      <c r="AF88" s="2"/>
      <c r="AG88" s="3"/>
      <c r="AH88" s="4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2"/>
      <c r="AF89" s="2"/>
      <c r="AG89" s="3"/>
      <c r="AH89" s="4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2"/>
      <c r="AF90" s="2"/>
      <c r="AG90" s="3"/>
      <c r="AH90" s="4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2"/>
      <c r="AF91" s="2"/>
      <c r="AG91" s="3"/>
      <c r="AH91" s="4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2"/>
      <c r="AF92" s="2"/>
      <c r="AG92" s="3"/>
      <c r="AH92" s="4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2"/>
      <c r="AF93" s="2"/>
      <c r="AG93" s="3"/>
      <c r="AH93" s="4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2"/>
      <c r="AF94" s="2"/>
      <c r="AG94" s="3"/>
      <c r="AH94" s="4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2"/>
      <c r="AF95" s="2"/>
      <c r="AG95" s="3"/>
      <c r="AH95" s="4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2"/>
      <c r="AF96" s="2"/>
      <c r="AG96" s="3"/>
      <c r="AH96" s="4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2"/>
      <c r="AF97" s="2"/>
      <c r="AG97" s="3"/>
      <c r="AH97" s="4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2"/>
      <c r="AF98" s="2"/>
      <c r="AG98" s="3"/>
      <c r="AH98" s="4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2"/>
      <c r="AF99" s="2"/>
      <c r="AG99" s="3"/>
      <c r="AH99" s="4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2"/>
      <c r="AF100" s="2"/>
      <c r="AG100" s="3"/>
      <c r="AH100" s="4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3:AH3"/>
    <mergeCell ref="A4:C4"/>
    <mergeCell ref="D4:O4"/>
    <mergeCell ref="P4:U4"/>
    <mergeCell ref="V4:AB4"/>
    <mergeCell ref="AC4:AE4"/>
    <mergeCell ref="AF4:AH4"/>
    <mergeCell ref="F6:G6"/>
    <mergeCell ref="H6:I6"/>
    <mergeCell ref="J6:K6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65:B69"/>
    <mergeCell ref="A70:C70"/>
    <mergeCell ref="E77:J77"/>
    <mergeCell ref="B6:B7"/>
    <mergeCell ref="D6:E6"/>
    <mergeCell ref="A63:C63"/>
    <mergeCell ref="D63:E63"/>
    <mergeCell ref="F63:G63"/>
    <mergeCell ref="H63:I63"/>
    <mergeCell ref="J63:K63"/>
    <mergeCell ref="AB83:AH83"/>
    <mergeCell ref="AB84:AH84"/>
    <mergeCell ref="F84:J84"/>
    <mergeCell ref="F85:J85"/>
    <mergeCell ref="AB82:AH82"/>
    <mergeCell ref="AB85:AH85"/>
    <mergeCell ref="AB79:AH79"/>
    <mergeCell ref="AB80:AH80"/>
    <mergeCell ref="AB81:AH81"/>
    <mergeCell ref="B84:C84"/>
    <mergeCell ref="M84:U84"/>
    <mergeCell ref="B85:C85"/>
    <mergeCell ref="M85:U86"/>
    <mergeCell ref="AB86:AH86"/>
    <mergeCell ref="AE6:AE7"/>
    <mergeCell ref="AF6:AF7"/>
    <mergeCell ref="AG6:AG7"/>
    <mergeCell ref="AH6:AH7"/>
    <mergeCell ref="A5:C5"/>
    <mergeCell ref="D5:K5"/>
    <mergeCell ref="L5:O5"/>
    <mergeCell ref="P5:U5"/>
    <mergeCell ref="V5:AB5"/>
    <mergeCell ref="AC5:AH5"/>
    <mergeCell ref="A6:A7"/>
    <mergeCell ref="L63:M63"/>
    <mergeCell ref="N63:O63"/>
    <mergeCell ref="P63:Q63"/>
    <mergeCell ref="R63:S63"/>
    <mergeCell ref="T63:U63"/>
    <mergeCell ref="V63:W63"/>
    <mergeCell ref="Y63:Z63"/>
    <mergeCell ref="P64:Q64"/>
    <mergeCell ref="R64:S64"/>
    <mergeCell ref="T64:U64"/>
    <mergeCell ref="V64:W64"/>
    <mergeCell ref="Y64:Z64"/>
    <mergeCell ref="AA64:AB64"/>
    <mergeCell ref="AC64:AD64"/>
    <mergeCell ref="AE64:AG64"/>
    <mergeCell ref="A64:C64"/>
    <mergeCell ref="D64:E64"/>
    <mergeCell ref="F64:G64"/>
    <mergeCell ref="H64:I64"/>
    <mergeCell ref="J64:K64"/>
    <mergeCell ref="L64:M64"/>
    <mergeCell ref="N64:O64"/>
    <mergeCell ref="AA63:AB63"/>
    <mergeCell ref="AC63:AD63"/>
    <mergeCell ref="AE63:AG63"/>
    <mergeCell ref="AE65:AG65"/>
    <mergeCell ref="U77:V77"/>
    <mergeCell ref="AB77:AH77"/>
    <mergeCell ref="AB78:AH78"/>
  </mergeCells>
  <conditionalFormatting sqref="D8:D62 F8:F62 H8:H62 J8:J62 L8:L62 N8:N62 Y9:Y61 AA9:AA61 AC9:AC61">
    <cfRule type="cellIs" dxfId="0" priority="1" operator="between">
      <formula>31</formula>
      <formula>39</formula>
    </cfRule>
  </conditionalFormatting>
  <conditionalFormatting sqref="D8:D62 F8:F62 H8:H62 J8:J62 L8:L62 N8:N62 Y9:Y61 AA9:AA61 AC9:AC61">
    <cfRule type="cellIs" dxfId="1" priority="2" operator="between">
      <formula>21</formula>
      <formula>30</formula>
    </cfRule>
  </conditionalFormatting>
  <conditionalFormatting sqref="D8:D62 F8:F62 H8:H62 J8:J62 L8:L62 N8:N62 Y9:Y61 AA9:AA61 AC9:AC61">
    <cfRule type="cellIs" dxfId="2" priority="3" operator="between">
      <formula>11</formula>
      <formula>20</formula>
    </cfRule>
  </conditionalFormatting>
  <conditionalFormatting sqref="D8:D62 F8:F62 H8:H62 J8:J62 L8:L62 N8:N62 Y9:Y61 AA9:AA61 AC9:AC61">
    <cfRule type="containsBlanks" dxfId="3" priority="4">
      <formula>LEN(TRIM(D8))=0</formula>
    </cfRule>
  </conditionalFormatting>
  <conditionalFormatting sqref="D8:D62 F8:F62 H8:H62 J8:J62 L8:L62 N8:N62 Y9:Y61 AA9:AA61 AC9:AC61">
    <cfRule type="cellIs" dxfId="4" priority="5" operator="between">
      <formula>0</formula>
      <formula>10</formula>
    </cfRule>
  </conditionalFormatting>
  <conditionalFormatting sqref="R9:R60">
    <cfRule type="cellIs" dxfId="0" priority="6" operator="between">
      <formula>31</formula>
      <formula>39</formula>
    </cfRule>
  </conditionalFormatting>
  <conditionalFormatting sqref="R9:R60">
    <cfRule type="cellIs" dxfId="1" priority="7" operator="between">
      <formula>21</formula>
      <formula>30</formula>
    </cfRule>
  </conditionalFormatting>
  <conditionalFormatting sqref="R9:R60">
    <cfRule type="cellIs" dxfId="2" priority="8" operator="between">
      <formula>11</formula>
      <formula>20</formula>
    </cfRule>
  </conditionalFormatting>
  <conditionalFormatting sqref="R9:R60">
    <cfRule type="containsBlanks" dxfId="3" priority="9">
      <formula>LEN(TRIM(R9))=0</formula>
    </cfRule>
  </conditionalFormatting>
  <conditionalFormatting sqref="R9:R60">
    <cfRule type="cellIs" dxfId="4" priority="10" operator="between">
      <formula>0</formula>
      <formula>10</formula>
    </cfRule>
  </conditionalFormatting>
  <conditionalFormatting sqref="P9:P60">
    <cfRule type="cellIs" dxfId="0" priority="11" operator="between">
      <formula>31</formula>
      <formula>39</formula>
    </cfRule>
  </conditionalFormatting>
  <conditionalFormatting sqref="P9:P60">
    <cfRule type="cellIs" dxfId="1" priority="12" operator="between">
      <formula>21</formula>
      <formula>30</formula>
    </cfRule>
  </conditionalFormatting>
  <conditionalFormatting sqref="P9:P60">
    <cfRule type="cellIs" dxfId="2" priority="13" operator="between">
      <formula>11</formula>
      <formula>20</formula>
    </cfRule>
  </conditionalFormatting>
  <conditionalFormatting sqref="P9:P60">
    <cfRule type="containsBlanks" dxfId="3" priority="14">
      <formula>LEN(TRIM(P9))=0</formula>
    </cfRule>
  </conditionalFormatting>
  <conditionalFormatting sqref="P9:P60">
    <cfRule type="cellIs" dxfId="4" priority="15" operator="between">
      <formula>0</formula>
      <formula>10</formula>
    </cfRule>
  </conditionalFormatting>
  <conditionalFormatting sqref="V9:V60">
    <cfRule type="cellIs" dxfId="0" priority="16" operator="between">
      <formula>31</formula>
      <formula>39</formula>
    </cfRule>
  </conditionalFormatting>
  <conditionalFormatting sqref="V9:V60">
    <cfRule type="cellIs" dxfId="1" priority="17" operator="between">
      <formula>21</formula>
      <formula>30</formula>
    </cfRule>
  </conditionalFormatting>
  <conditionalFormatting sqref="V9:V60">
    <cfRule type="cellIs" dxfId="2" priority="18" operator="between">
      <formula>11</formula>
      <formula>20</formula>
    </cfRule>
  </conditionalFormatting>
  <conditionalFormatting sqref="V9:V60">
    <cfRule type="containsBlanks" dxfId="3" priority="19">
      <formula>LEN(TRIM(V9))=0</formula>
    </cfRule>
  </conditionalFormatting>
  <conditionalFormatting sqref="V9:V60">
    <cfRule type="cellIs" dxfId="4" priority="20" operator="between">
      <formula>0</formula>
      <formula>10</formula>
    </cfRule>
  </conditionalFormatting>
  <conditionalFormatting sqref="T9:T60">
    <cfRule type="cellIs" dxfId="0" priority="21" operator="between">
      <formula>31</formula>
      <formula>39</formula>
    </cfRule>
  </conditionalFormatting>
  <conditionalFormatting sqref="T9:T60">
    <cfRule type="cellIs" dxfId="1" priority="22" operator="between">
      <formula>21</formula>
      <formula>30</formula>
    </cfRule>
  </conditionalFormatting>
  <conditionalFormatting sqref="T9:T60">
    <cfRule type="cellIs" dxfId="2" priority="23" operator="between">
      <formula>11</formula>
      <formula>20</formula>
    </cfRule>
  </conditionalFormatting>
  <conditionalFormatting sqref="T9:T60">
    <cfRule type="containsBlanks" dxfId="3" priority="24">
      <formula>LEN(TRIM(T9))=0</formula>
    </cfRule>
  </conditionalFormatting>
  <conditionalFormatting sqref="T9:T60">
    <cfRule type="cellIs" dxfId="4" priority="25" operator="between">
      <formula>0</formula>
      <formula>10</formula>
    </cfRule>
  </conditionalFormatting>
  <conditionalFormatting sqref="V62">
    <cfRule type="cellIs" dxfId="0" priority="26" operator="between">
      <formula>31</formula>
      <formula>39</formula>
    </cfRule>
  </conditionalFormatting>
  <conditionalFormatting sqref="V62">
    <cfRule type="cellIs" dxfId="1" priority="27" operator="between">
      <formula>21</formula>
      <formula>30</formula>
    </cfRule>
  </conditionalFormatting>
  <conditionalFormatting sqref="V62">
    <cfRule type="cellIs" dxfId="2" priority="28" operator="between">
      <formula>11</formula>
      <formula>20</formula>
    </cfRule>
  </conditionalFormatting>
  <conditionalFormatting sqref="V62">
    <cfRule type="containsBlanks" dxfId="3" priority="29">
      <formula>LEN(TRIM(V62))=0</formula>
    </cfRule>
  </conditionalFormatting>
  <conditionalFormatting sqref="V62">
    <cfRule type="cellIs" dxfId="4" priority="30" operator="between">
      <formula>0</formula>
      <formula>10</formula>
    </cfRule>
  </conditionalFormatting>
  <conditionalFormatting sqref="P8">
    <cfRule type="cellIs" dxfId="0" priority="31" operator="between">
      <formula>31</formula>
      <formula>39</formula>
    </cfRule>
  </conditionalFormatting>
  <conditionalFormatting sqref="P8">
    <cfRule type="cellIs" dxfId="1" priority="32" operator="between">
      <formula>21</formula>
      <formula>30</formula>
    </cfRule>
  </conditionalFormatting>
  <conditionalFormatting sqref="P8">
    <cfRule type="cellIs" dxfId="2" priority="33" operator="between">
      <formula>11</formula>
      <formula>20</formula>
    </cfRule>
  </conditionalFormatting>
  <conditionalFormatting sqref="P8">
    <cfRule type="containsBlanks" dxfId="3" priority="34">
      <formula>LEN(TRIM(P8))=0</formula>
    </cfRule>
  </conditionalFormatting>
  <conditionalFormatting sqref="P8">
    <cfRule type="cellIs" dxfId="4" priority="35" operator="between">
      <formula>0</formula>
      <formula>10</formula>
    </cfRule>
  </conditionalFormatting>
  <conditionalFormatting sqref="R8">
    <cfRule type="cellIs" dxfId="0" priority="36" operator="between">
      <formula>31</formula>
      <formula>39</formula>
    </cfRule>
  </conditionalFormatting>
  <conditionalFormatting sqref="R8">
    <cfRule type="cellIs" dxfId="1" priority="37" operator="between">
      <formula>21</formula>
      <formula>30</formula>
    </cfRule>
  </conditionalFormatting>
  <conditionalFormatting sqref="R8">
    <cfRule type="cellIs" dxfId="2" priority="38" operator="between">
      <formula>11</formula>
      <formula>20</formula>
    </cfRule>
  </conditionalFormatting>
  <conditionalFormatting sqref="R8">
    <cfRule type="containsBlanks" dxfId="3" priority="39">
      <formula>LEN(TRIM(R8))=0</formula>
    </cfRule>
  </conditionalFormatting>
  <conditionalFormatting sqref="R8">
    <cfRule type="cellIs" dxfId="4" priority="40" operator="between">
      <formula>0</formula>
      <formula>10</formula>
    </cfRule>
  </conditionalFormatting>
  <conditionalFormatting sqref="P62">
    <cfRule type="cellIs" dxfId="0" priority="41" operator="between">
      <formula>31</formula>
      <formula>39</formula>
    </cfRule>
  </conditionalFormatting>
  <conditionalFormatting sqref="P62">
    <cfRule type="cellIs" dxfId="1" priority="42" operator="between">
      <formula>21</formula>
      <formula>30</formula>
    </cfRule>
  </conditionalFormatting>
  <conditionalFormatting sqref="P62">
    <cfRule type="cellIs" dxfId="2" priority="43" operator="between">
      <formula>11</formula>
      <formula>20</formula>
    </cfRule>
  </conditionalFormatting>
  <conditionalFormatting sqref="P62">
    <cfRule type="containsBlanks" dxfId="3" priority="44">
      <formula>LEN(TRIM(P62))=0</formula>
    </cfRule>
  </conditionalFormatting>
  <conditionalFormatting sqref="P62">
    <cfRule type="cellIs" dxfId="4" priority="45" operator="between">
      <formula>0</formula>
      <formula>10</formula>
    </cfRule>
  </conditionalFormatting>
  <conditionalFormatting sqref="R62">
    <cfRule type="cellIs" dxfId="0" priority="46" operator="between">
      <formula>31</formula>
      <formula>39</formula>
    </cfRule>
  </conditionalFormatting>
  <conditionalFormatting sqref="R62">
    <cfRule type="cellIs" dxfId="1" priority="47" operator="between">
      <formula>21</formula>
      <formula>30</formula>
    </cfRule>
  </conditionalFormatting>
  <conditionalFormatting sqref="R62">
    <cfRule type="cellIs" dxfId="2" priority="48" operator="between">
      <formula>11</formula>
      <formula>20</formula>
    </cfRule>
  </conditionalFormatting>
  <conditionalFormatting sqref="R62">
    <cfRule type="containsBlanks" dxfId="3" priority="49">
      <formula>LEN(TRIM(R62))=0</formula>
    </cfRule>
  </conditionalFormatting>
  <conditionalFormatting sqref="R62">
    <cfRule type="cellIs" dxfId="4" priority="50" operator="between">
      <formula>0</formula>
      <formula>10</formula>
    </cfRule>
  </conditionalFormatting>
  <conditionalFormatting sqref="T62">
    <cfRule type="cellIs" dxfId="0" priority="51" operator="between">
      <formula>31</formula>
      <formula>39</formula>
    </cfRule>
  </conditionalFormatting>
  <conditionalFormatting sqref="T62">
    <cfRule type="cellIs" dxfId="1" priority="52" operator="between">
      <formula>21</formula>
      <formula>30</formula>
    </cfRule>
  </conditionalFormatting>
  <conditionalFormatting sqref="T62">
    <cfRule type="cellIs" dxfId="2" priority="53" operator="between">
      <formula>11</formula>
      <formula>20</formula>
    </cfRule>
  </conditionalFormatting>
  <conditionalFormatting sqref="T62">
    <cfRule type="containsBlanks" dxfId="3" priority="54">
      <formula>LEN(TRIM(T62))=0</formula>
    </cfRule>
  </conditionalFormatting>
  <conditionalFormatting sqref="T62">
    <cfRule type="cellIs" dxfId="4" priority="55" operator="between">
      <formula>0</formula>
      <formula>10</formula>
    </cfRule>
  </conditionalFormatting>
  <conditionalFormatting sqref="AA62">
    <cfRule type="cellIs" dxfId="0" priority="56" operator="between">
      <formula>31</formula>
      <formula>39</formula>
    </cfRule>
  </conditionalFormatting>
  <conditionalFormatting sqref="AA62">
    <cfRule type="cellIs" dxfId="1" priority="57" operator="between">
      <formula>21</formula>
      <formula>30</formula>
    </cfRule>
  </conditionalFormatting>
  <conditionalFormatting sqref="AA62">
    <cfRule type="cellIs" dxfId="2" priority="58" operator="between">
      <formula>11</formula>
      <formula>20</formula>
    </cfRule>
  </conditionalFormatting>
  <conditionalFormatting sqref="AA62">
    <cfRule type="containsBlanks" dxfId="3" priority="59">
      <formula>LEN(TRIM(AA62))=0</formula>
    </cfRule>
  </conditionalFormatting>
  <conditionalFormatting sqref="AA62">
    <cfRule type="cellIs" dxfId="4" priority="60" operator="between">
      <formula>0</formula>
      <formula>10</formula>
    </cfRule>
  </conditionalFormatting>
  <conditionalFormatting sqref="AC62">
    <cfRule type="cellIs" dxfId="0" priority="61" operator="between">
      <formula>31</formula>
      <formula>39</formula>
    </cfRule>
  </conditionalFormatting>
  <conditionalFormatting sqref="AC62">
    <cfRule type="cellIs" dxfId="1" priority="62" operator="between">
      <formula>21</formula>
      <formula>30</formula>
    </cfRule>
  </conditionalFormatting>
  <conditionalFormatting sqref="AC62">
    <cfRule type="cellIs" dxfId="2" priority="63" operator="between">
      <formula>11</formula>
      <formula>20</formula>
    </cfRule>
  </conditionalFormatting>
  <conditionalFormatting sqref="AC62">
    <cfRule type="containsBlanks" dxfId="3" priority="64">
      <formula>LEN(TRIM(AC62))=0</formula>
    </cfRule>
  </conditionalFormatting>
  <conditionalFormatting sqref="AC62">
    <cfRule type="cellIs" dxfId="4" priority="65" operator="between">
      <formula>0</formula>
      <formula>10</formula>
    </cfRule>
  </conditionalFormatting>
  <conditionalFormatting sqref="V61">
    <cfRule type="cellIs" dxfId="0" priority="66" operator="between">
      <formula>31</formula>
      <formula>39</formula>
    </cfRule>
  </conditionalFormatting>
  <conditionalFormatting sqref="V61">
    <cfRule type="cellIs" dxfId="1" priority="67" operator="between">
      <formula>21</formula>
      <formula>30</formula>
    </cfRule>
  </conditionalFormatting>
  <conditionalFormatting sqref="V61">
    <cfRule type="cellIs" dxfId="2" priority="68" operator="between">
      <formula>11</formula>
      <formula>20</formula>
    </cfRule>
  </conditionalFormatting>
  <conditionalFormatting sqref="V61">
    <cfRule type="containsBlanks" dxfId="3" priority="69">
      <formula>LEN(TRIM(V61))=0</formula>
    </cfRule>
  </conditionalFormatting>
  <conditionalFormatting sqref="V61">
    <cfRule type="cellIs" dxfId="4" priority="70" operator="between">
      <formula>0</formula>
      <formula>10</formula>
    </cfRule>
  </conditionalFormatting>
  <conditionalFormatting sqref="T61">
    <cfRule type="cellIs" dxfId="0" priority="71" operator="between">
      <formula>31</formula>
      <formula>39</formula>
    </cfRule>
  </conditionalFormatting>
  <conditionalFormatting sqref="T61">
    <cfRule type="cellIs" dxfId="1" priority="72" operator="between">
      <formula>21</formula>
      <formula>30</formula>
    </cfRule>
  </conditionalFormatting>
  <conditionalFormatting sqref="T61">
    <cfRule type="cellIs" dxfId="2" priority="73" operator="between">
      <formula>11</formula>
      <formula>20</formula>
    </cfRule>
  </conditionalFormatting>
  <conditionalFormatting sqref="T61">
    <cfRule type="containsBlanks" dxfId="3" priority="74">
      <formula>LEN(TRIM(T61))=0</formula>
    </cfRule>
  </conditionalFormatting>
  <conditionalFormatting sqref="T61">
    <cfRule type="cellIs" dxfId="4" priority="75" operator="between">
      <formula>0</formula>
      <formula>10</formula>
    </cfRule>
  </conditionalFormatting>
  <conditionalFormatting sqref="R61">
    <cfRule type="cellIs" dxfId="0" priority="76" operator="between">
      <formula>31</formula>
      <formula>39</formula>
    </cfRule>
  </conditionalFormatting>
  <conditionalFormatting sqref="R61">
    <cfRule type="cellIs" dxfId="1" priority="77" operator="between">
      <formula>21</formula>
      <formula>30</formula>
    </cfRule>
  </conditionalFormatting>
  <conditionalFormatting sqref="R61">
    <cfRule type="cellIs" dxfId="2" priority="78" operator="between">
      <formula>11</formula>
      <formula>20</formula>
    </cfRule>
  </conditionalFormatting>
  <conditionalFormatting sqref="R61">
    <cfRule type="containsBlanks" dxfId="3" priority="79">
      <formula>LEN(TRIM(R61))=0</formula>
    </cfRule>
  </conditionalFormatting>
  <conditionalFormatting sqref="R61">
    <cfRule type="cellIs" dxfId="4" priority="80" operator="between">
      <formula>0</formula>
      <formula>10</formula>
    </cfRule>
  </conditionalFormatting>
  <conditionalFormatting sqref="P61">
    <cfRule type="cellIs" dxfId="0" priority="81" operator="between">
      <formula>31</formula>
      <formula>39</formula>
    </cfRule>
  </conditionalFormatting>
  <conditionalFormatting sqref="P61">
    <cfRule type="cellIs" dxfId="1" priority="82" operator="between">
      <formula>21</formula>
      <formula>30</formula>
    </cfRule>
  </conditionalFormatting>
  <conditionalFormatting sqref="P61">
    <cfRule type="cellIs" dxfId="2" priority="83" operator="between">
      <formula>11</formula>
      <formula>20</formula>
    </cfRule>
  </conditionalFormatting>
  <conditionalFormatting sqref="P61">
    <cfRule type="containsBlanks" dxfId="3" priority="84">
      <formula>LEN(TRIM(P61))=0</formula>
    </cfRule>
  </conditionalFormatting>
  <conditionalFormatting sqref="P61">
    <cfRule type="cellIs" dxfId="4" priority="85" operator="between">
      <formula>0</formula>
      <formula>10</formula>
    </cfRule>
  </conditionalFormatting>
  <conditionalFormatting sqref="Y62">
    <cfRule type="cellIs" dxfId="0" priority="86" operator="between">
      <formula>31</formula>
      <formula>39</formula>
    </cfRule>
  </conditionalFormatting>
  <conditionalFormatting sqref="Y62">
    <cfRule type="cellIs" dxfId="1" priority="87" operator="between">
      <formula>21</formula>
      <formula>30</formula>
    </cfRule>
  </conditionalFormatting>
  <conditionalFormatting sqref="Y62">
    <cfRule type="cellIs" dxfId="2" priority="88" operator="between">
      <formula>11</formula>
      <formula>20</formula>
    </cfRule>
  </conditionalFormatting>
  <conditionalFormatting sqref="Y62">
    <cfRule type="containsBlanks" dxfId="3" priority="89">
      <formula>LEN(TRIM(Y62))=0</formula>
    </cfRule>
  </conditionalFormatting>
  <conditionalFormatting sqref="Y62">
    <cfRule type="cellIs" dxfId="4" priority="90" operator="between">
      <formula>0</formula>
      <formula>10</formula>
    </cfRule>
  </conditionalFormatting>
  <dataValidations>
    <dataValidation type="custom" allowBlank="1" showInputMessage="1" showErrorMessage="1" prompt="Error - 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F60 H60 J60 L60 N60 P60 R60 T60 V60 Y60 AA60 AC60">
      <formula1>OR(AND(F60:F115&gt;=0,F60:F115&lt;=100),F60:F115="ab")</formula1>
    </dataValidation>
    <dataValidation type="custom" allowBlank="1" showErrorMessage="1" sqref="AJ6">
      <formula1>EXACT(AJ6,LOWER(AJ10))</formula1>
    </dataValidation>
    <dataValidation type="list" allowBlank="1" showErrorMessage="1" sqref="X8:X62">
      <formula1>$AA$78:$AA$86</formula1>
    </dataValidation>
    <dataValidation type="custom" allowBlank="1" showInputMessage="1" showErrorMessage="1" prompt="Error - 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F23:F59 H23:H59 J23:J59 L23:L59 N23:N59 P23:P59 R23:R59 T23:T59 V23:V59 Y23:Y59 AA27:AA59 AC23:AC59">
      <formula1>OR(AND(F23:F83&gt;=0,F23:F83&lt;=100),F23:F83="ab")</formula1>
    </dataValidation>
    <dataValidation type="custom" allowBlank="1" showInputMessage="1" showErrorMessage="1" prompt="Error - 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AA23:AA26">
      <formula1>OR(AND(AA23:AA76&gt;=0,AA23:AA76&lt;=100),AA23:AA76="ab")</formula1>
    </dataValidation>
    <dataValidation type="custom" allowBlank="1" showInputMessage="1" showErrorMessage="1" prompt="Error - 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F8:F22 H8:H22 J8:J22 L8:L22 N8:N22 P8:P22 R8:R22 T8:T22 V8:V22 Y8:Y22 AA8:AA22 AC8:AC22 D8:D23">
      <formula1>OR(AND(D8:D62&gt;=0,D8:D62&lt;=100),D8:D62="ab")</formula1>
    </dataValidation>
    <dataValidation type="custom" allowBlank="1" showInputMessage="1" showErrorMessage="1" prompt="Error - 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62 F61:F62 H61:H62 J61:J62 L61:L62 N61:N62 P61:P62 R61:R62 T61:T62 V61:V62 Y61:Y62 AA61:AA62 AC61:AC62">
      <formula1>OR(AND(D24:D82&gt;=0,D24:D82&lt;=100),D24:D82="ab")</formula1>
    </dataValidation>
  </dataValidations>
  <printOptions/>
  <pageMargins bottom="0.1" footer="0.0" header="0.0" left="0.2" right="0.2" top="0.1"/>
  <pageSetup paperSize="8" orientation="portrait"/>
  <drawing r:id="rId1"/>
</worksheet>
</file>